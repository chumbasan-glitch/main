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ホーム" sheetId="1" state="visible" r:id="rId1"/>
    <sheet xmlns:r="http://schemas.openxmlformats.org/officeDocument/2006/relationships" name="設定" sheetId="2" state="visible" r:id="rId2"/>
    <sheet xmlns:r="http://schemas.openxmlformats.org/officeDocument/2006/relationships" name="名簿" sheetId="3" state="visible" r:id="rId3"/>
    <sheet xmlns:r="http://schemas.openxmlformats.org/officeDocument/2006/relationships" name="×入力" sheetId="4" state="visible" r:id="rId4"/>
    <sheet xmlns:r="http://schemas.openxmlformats.org/officeDocument/2006/relationships" name="自動案A" sheetId="5" state="visible" r:id="rId5"/>
    <sheet xmlns:r="http://schemas.openxmlformats.org/officeDocument/2006/relationships" name="自動案B" sheetId="6" state="visible" r:id="rId6"/>
    <sheet xmlns:r="http://schemas.openxmlformats.org/officeDocument/2006/relationships" name="調整・決定" sheetId="7" state="visible" r:id="rId7"/>
    <sheet xmlns:r="http://schemas.openxmlformats.org/officeDocument/2006/relationships" name="兄弟確認用" sheetId="8" state="visible" r:id="rId8"/>
    <sheet xmlns:r="http://schemas.openxmlformats.org/officeDocument/2006/relationships" name="お手紙（夏）" sheetId="9" state="visible" r:id="rId9"/>
    <sheet xmlns:r="http://schemas.openxmlformats.org/officeDocument/2006/relationships" name="お手紙（秋）" sheetId="10" state="visible" r:id="rId10"/>
    <sheet xmlns:r="http://schemas.openxmlformats.org/officeDocument/2006/relationships" name="calcA" sheetId="11" state="hidden" r:id="rId11"/>
    <sheet xmlns:r="http://schemas.openxmlformats.org/officeDocument/2006/relationships" name="calcB" sheetId="12" state="hidden" r:id="rId12"/>
    <sheet xmlns:r="http://schemas.openxmlformats.org/officeDocument/2006/relationships" name="calcC" sheetId="13" state="hidden" r:id="rId13"/>
  </sheets>
  <definedNames>
    <definedName name="自動案Aの表">'自動案A'!$C$6:$H$29</definedName>
    <definedName name="自動案Bの表">'自動案B'!$C$6:$H$29</definedName>
    <definedName name="決定の表">'調整・決定'!$C$6:$H$29</definedName>
    <definedName name="_xlnm._FilterDatabase" localSheetId="2" hidden="1">'名簿'!$A$4:$Y$49</definedName>
    <definedName name="_xlnm._FilterDatabase" localSheetId="3" hidden="1">'×入力'!$A$4:$S$1124</definedName>
    <definedName name="_xlnm.Print_Area" localSheetId="7">OFFSET('兄弟確認用'!$B$3,0,0,3+'設定'!$B$6,1+COUNT('設定'!$B$11:$B$16))</definedName>
    <definedName name="_xlnm.Print_Area" localSheetId="8">OFFSET('お手紙（夏）'!$B$4,0,0,64,IF(COUNT('設定'!$B$11:$B$16)&gt;5,7,6))</definedName>
    <definedName name="_xlnm._FilterDatabase" localSheetId="8" hidden="1">'お手紙（夏）'!$B$13:$M$67</definedName>
    <definedName name="_xlnm.Print_Area" localSheetId="9">OFFSET('お手紙（秋）'!$B$4,0,0,43,IF(COUNT('設定'!$B$11:$B$16)&gt;5,10,9))</definedName>
    <definedName name="_xlnm._FilterDatabase" localSheetId="9" hidden="1">'お手紙（秋）'!$B$16:$L$46</definedName>
  </definedNames>
  <calcPr calcId="124519" fullCalcOnLoad="1"/>
</workbook>
</file>

<file path=xl/styles.xml><?xml version="1.0" encoding="utf-8"?>
<styleSheet xmlns="http://schemas.openxmlformats.org/spreadsheetml/2006/main">
  <numFmts count="4">
    <numFmt numFmtId="164" formatCode="0&quot;人&quot;"/>
    <numFmt numFmtId="165" formatCode="m/d"/>
    <numFmt numFmtId="166" formatCode="0&quot;年&quot;"/>
    <numFmt numFmtId="167" formatCode="0&quot;組&quot;"/>
  </numFmts>
  <fonts count="55">
    <font>
      <name val="Calibri"/>
      <family val="2"/>
      <color theme="1"/>
      <sz val="11"/>
      <scheme val="minor"/>
    </font>
    <font>
      <name val="BIZ UDPゴシック"/>
    </font>
    <font>
      <name val="BIZ UDPゴシック"/>
      <b val="1"/>
      <color rgb="001B365D"/>
      <sz val="13"/>
    </font>
    <font>
      <name val="BIZ UDPゴシック"/>
      <b val="1"/>
      <color rgb="001B365D"/>
      <sz val="10"/>
    </font>
    <font>
      <name val="BIZ UDPゴシック"/>
      <b val="1"/>
      <color rgb="001B365D"/>
      <sz val="24"/>
    </font>
    <font>
      <name val="BIZ UDPゴシック"/>
      <b val="1"/>
      <color rgb="00FFFFFF"/>
      <sz val="20"/>
    </font>
    <font>
      <name val="BIZ UDPゴシック"/>
      <b val="1"/>
      <sz val="13"/>
    </font>
    <font>
      <name val="BIZ UDPゴシック"/>
      <color rgb="004A5568"/>
      <sz val="10"/>
    </font>
    <font>
      <name val="BIZ UDPゴシック"/>
      <b val="1"/>
      <color rgb="00FFFFFF"/>
      <sz val="12"/>
    </font>
    <font>
      <name val="BIZ UDPゴシック"/>
      <b val="1"/>
      <sz val="12"/>
    </font>
    <font>
      <name val="BIZ UDPゴシック"/>
      <sz val="10.5"/>
    </font>
    <font>
      <name val="BIZ UDPゴシック"/>
      <color rgb="009A6A00"/>
    </font>
    <font>
      <name val="BIZ UDPゴシック"/>
      <b val="1"/>
      <sz val="16"/>
    </font>
    <font>
      <name val="BIZ UDPゴシック"/>
      <color rgb="00666666"/>
      <sz val="9"/>
    </font>
    <font>
      <name val="BIZ UDPゴシック"/>
      <b val="1"/>
      <color rgb="00B23A3A"/>
      <sz val="10"/>
    </font>
    <font>
      <name val="BIZ UDPゴシック"/>
      <b val="1"/>
    </font>
    <font>
      <name val="BIZ UDPゴシック"/>
      <color rgb="00999999"/>
      <sz val="9"/>
    </font>
    <font>
      <name val="BIZ UDPゴシック"/>
      <b val="1"/>
      <color rgb="00B23A3A"/>
      <sz val="9"/>
    </font>
    <font>
      <name val="BIZ UDPゴシック"/>
      <b val="1"/>
      <color rgb="00B23A3A"/>
      <sz val="14"/>
    </font>
    <font>
      <name val="BIZ UDPゴシック"/>
      <b val="1"/>
      <color rgb="001B365D"/>
    </font>
    <font>
      <name val="BIZ UDPゴシック"/>
      <color rgb="00444444"/>
      <sz val="10"/>
    </font>
    <font>
      <name val="BIZ UDPゴシック"/>
      <b val="1"/>
      <color rgb="009A6A00"/>
      <sz val="10"/>
    </font>
    <font>
      <name val="BIZ UDPゴシック"/>
      <color rgb="002D5FA8"/>
      <u val="single"/>
    </font>
    <font>
      <name val="BIZ UDPゴシック"/>
      <b val="1"/>
      <color rgb="001B365D"/>
      <sz val="11"/>
    </font>
    <font>
      <name val="BIZ UDPゴシック"/>
      <b val="1"/>
      <color rgb="00FFFFFF"/>
      <sz val="11"/>
    </font>
    <font>
      <name val="BIZ UDPゴシック"/>
      <b val="1"/>
      <sz val="14"/>
    </font>
    <font>
      <name val="BIZ UDPゴシック"/>
      <b val="1"/>
      <color rgb="003A6DB5"/>
      <u val="single"/>
    </font>
    <font>
      <name val="BIZ UDPゴシック"/>
      <b val="1"/>
      <color rgb="00B23A3A"/>
      <sz val="13"/>
    </font>
    <font>
      <name val="BIZ UDPゴシック"/>
      <b val="1"/>
      <color rgb="00B23A3A"/>
      <sz val="16"/>
    </font>
    <font>
      <name val="BIZ UDPゴシック"/>
      <b val="1"/>
      <color rgb="00FFFFFF"/>
      <sz val="14"/>
    </font>
    <font>
      <name val="BIZ UDPゴシック"/>
      <b val="1"/>
      <color rgb="00B23A3A"/>
      <sz val="11"/>
    </font>
    <font>
      <name val="BIZ UDPゴシック"/>
      <color rgb="00666666"/>
    </font>
    <font>
      <name val="BIZ UDPゴシック"/>
      <sz val="9"/>
    </font>
    <font>
      <name val="BIZ UDPゴシック"/>
      <b val="1"/>
      <color rgb="008A4B00"/>
      <sz val="10"/>
    </font>
    <font>
      <name val="BIZ UDPゴシック"/>
      <b val="1"/>
      <sz val="9"/>
    </font>
    <font>
      <name val="BIZ UDPゴシック"/>
      <b val="1"/>
      <color rgb="00B23A3A"/>
    </font>
    <font>
      <name val="BIZ UDPゴシック"/>
      <b val="1"/>
      <color rgb="009A6A00"/>
    </font>
    <font>
      <name val="BIZ UDPゴシック"/>
      <sz val="10"/>
    </font>
    <font>
      <name val="BIZ UDPゴシック"/>
      <b val="1"/>
      <sz val="10"/>
    </font>
    <font>
      <name val="BIZ UDPゴシック"/>
      <b val="1"/>
      <color rgb="001B365D"/>
      <sz val="14"/>
    </font>
    <font>
      <name val="BIZ UDPゴシック"/>
      <sz val="11"/>
    </font>
    <font>
      <name val="ＭＳ 明朝"/>
      <sz val="12"/>
    </font>
    <font>
      <name val="ＭＳ ゴシック"/>
      <sz val="24"/>
    </font>
    <font>
      <name val="HG丸ｺﾞｼｯｸM-PRO"/>
      <sz val="8"/>
    </font>
    <font>
      <name val="HG丸ｺﾞｼｯｸM-PRO"/>
      <sz val="9"/>
    </font>
    <font>
      <name val="HG丸ｺﾞｼｯｸM-PRO"/>
      <sz val="10.5"/>
    </font>
    <font>
      <name val="BIZ UDPゴシック"/>
      <b val="1"/>
      <color rgb="00FFFFFF"/>
      <sz val="13"/>
    </font>
    <font>
      <name val="ＭＳ ゴシック"/>
      <sz val="20"/>
    </font>
    <font>
      <name val="BIZ UDPゴシック"/>
      <b val="1"/>
      <color rgb="00FFFFFF"/>
      <sz val="18"/>
    </font>
    <font>
      <name val="BIZ UDPゴシック"/>
      <color rgb="001B365D"/>
      <sz val="10"/>
    </font>
    <font>
      <name val="BIZ UDPゴシック"/>
      <b val="1"/>
      <color rgb="00FFFFFF"/>
    </font>
    <font>
      <name val="BIZ UDPゴシック"/>
      <color rgb="00DDE6F5"/>
      <sz val="10"/>
    </font>
    <font>
      <name val="BIZ UDPゴシック"/>
      <b val="1"/>
      <color rgb="005A3A00"/>
      <sz val="10"/>
    </font>
    <font>
      <name val="BIZ UDPゴシック"/>
      <b val="1"/>
      <color rgb="00FFFFFF"/>
      <sz val="10"/>
    </font>
    <font>
      <name val="BIZ UDPゴシック"/>
      <b val="1"/>
      <color rgb="00FFFFFF"/>
      <sz val="9"/>
    </font>
  </fonts>
  <fills count="26">
    <fill>
      <patternFill/>
    </fill>
    <fill>
      <patternFill patternType="gray125"/>
    </fill>
    <fill>
      <patternFill patternType="solid">
        <fgColor rgb="00DCE6F2"/>
        <bgColor rgb="00DCE6F2"/>
      </patternFill>
    </fill>
    <fill>
      <patternFill patternType="solid">
        <fgColor rgb="00FFFFFF"/>
        <bgColor rgb="00FFFFFF"/>
      </patternFill>
    </fill>
    <fill>
      <patternFill patternType="solid">
        <fgColor rgb="002B5797"/>
        <bgColor rgb="002B5797"/>
      </patternFill>
    </fill>
    <fill>
      <patternFill patternType="solid">
        <fgColor rgb="00F4F7FC"/>
        <bgColor rgb="00F4F7FC"/>
      </patternFill>
    </fill>
    <fill>
      <patternFill patternType="solid">
        <fgColor rgb="003A6DB5"/>
        <bgColor rgb="003A6DB5"/>
      </patternFill>
    </fill>
    <fill>
      <patternFill patternType="solid">
        <fgColor rgb="005B8BD0"/>
        <bgColor rgb="005B8BD0"/>
      </patternFill>
    </fill>
    <fill>
      <patternFill patternType="solid">
        <fgColor rgb="001E90A0"/>
        <bgColor rgb="001E90A0"/>
      </patternFill>
    </fill>
    <fill>
      <patternFill patternType="solid">
        <fgColor rgb="002E8B57"/>
        <bgColor rgb="002E8B57"/>
      </patternFill>
    </fill>
    <fill>
      <patternFill patternType="solid">
        <fgColor rgb="00FFF8D6"/>
        <bgColor rgb="00FFF8D6"/>
      </patternFill>
    </fill>
    <fill>
      <patternFill patternType="solid">
        <fgColor rgb="00E8EEF7"/>
        <bgColor rgb="00E8EEF7"/>
      </patternFill>
    </fill>
    <fill>
      <patternFill patternType="solid">
        <fgColor rgb="00FDECEA"/>
        <bgColor rgb="00FDECEA"/>
      </patternFill>
    </fill>
    <fill>
      <patternFill patternType="solid">
        <fgColor rgb="002F6CC4"/>
        <bgColor rgb="002F6CC4"/>
      </patternFill>
    </fill>
    <fill>
      <patternFill patternType="solid">
        <fgColor rgb="007A8699"/>
        <bgColor rgb="007A8699"/>
      </patternFill>
    </fill>
    <fill>
      <patternFill patternType="solid">
        <fgColor rgb="00FFF4D6"/>
        <bgColor rgb="00FFF4D6"/>
      </patternFill>
    </fill>
    <fill>
      <patternFill patternType="solid">
        <fgColor rgb="003C8D3C"/>
        <bgColor rgb="003C8D3C"/>
      </patternFill>
    </fill>
    <fill>
      <patternFill patternType="solid">
        <fgColor rgb="00D6F0DF"/>
        <bgColor rgb="00D6F0DF"/>
      </patternFill>
    </fill>
    <fill>
      <patternFill patternType="lightUp">
        <fgColor rgb="005B8BD0"/>
      </patternFill>
    </fill>
    <fill>
      <patternFill patternType="lightUp">
        <fgColor rgb="00BBBBBB"/>
      </patternFill>
    </fill>
    <fill>
      <patternFill patternType="solid">
        <fgColor rgb="00D9D9D9"/>
        <bgColor rgb="00D9D9D9"/>
      </patternFill>
    </fill>
    <fill>
      <patternFill patternType="solid">
        <fgColor rgb="00D9822B"/>
        <bgColor rgb="00D9822B"/>
      </patternFill>
    </fill>
    <fill>
      <patternFill patternType="solid">
        <fgColor rgb="001B365D"/>
        <bgColor rgb="001B365D"/>
      </patternFill>
    </fill>
    <fill>
      <patternFill patternType="solid">
        <fgColor rgb="00FFE9A8"/>
        <bgColor rgb="00FFE9A8"/>
      </patternFill>
    </fill>
    <fill>
      <patternFill patternType="solid">
        <fgColor rgb="00FFD966"/>
        <bgColor rgb="00FFD966"/>
      </patternFill>
    </fill>
    <fill>
      <patternFill patternType="solid">
        <fgColor rgb="00B7791F"/>
        <bgColor rgb="00B7791F"/>
      </patternFill>
    </fill>
  </fills>
  <borders count="34">
    <border>
      <left/>
      <right/>
      <top/>
      <bottom/>
      <diagonal/>
    </border>
    <border>
      <left style="thin">
        <color rgb="00FFFFFF"/>
      </left>
      <right style="thin">
        <color rgb="00FFFFFF"/>
      </right>
      <top style="thin">
        <color rgb="00DCE6F2"/>
      </top>
    </border>
    <border>
      <left style="thin">
        <color rgb="00FFFFFF"/>
      </left>
      <right style="thin">
        <color rgb="00FFFFFF"/>
      </right>
      <top style="thin">
        <color rgb="00DCE6F2"/>
      </top>
      <bottom style="medium">
        <color rgb="002B5797"/>
      </bottom>
    </border>
    <border>
      <bottom style="thin">
        <color rgb="00D3DEEC"/>
      </bottom>
    </border>
    <border>
      <left style="thin">
        <color rgb="00B4C3D6"/>
      </left>
      <right style="thin">
        <color rgb="00B4C3D6"/>
      </right>
      <top style="thin">
        <color rgb="00B4C3D6"/>
      </top>
      <bottom style="thin">
        <color rgb="00B4C3D6"/>
      </bottom>
    </border>
    <border>
      <left/>
      <right/>
      <top style="thin">
        <color rgb="00B4C3D6"/>
      </top>
      <bottom/>
      <diagonal/>
    </border>
    <border>
      <left/>
      <right style="thin">
        <color rgb="00B4C3D6"/>
      </right>
      <top style="thin">
        <color rgb="00B4C3D6"/>
      </top>
      <bottom/>
      <diagonal/>
    </border>
    <border>
      <left/>
      <right/>
      <top style="thin">
        <color rgb="00B4C3D6"/>
      </top>
      <bottom style="thin">
        <color rgb="00B4C3D6"/>
      </bottom>
      <diagonal/>
    </border>
    <border>
      <left/>
      <right style="thin">
        <color rgb="00B4C3D6"/>
      </right>
      <top style="thin">
        <color rgb="00B4C3D6"/>
      </top>
      <bottom style="thin">
        <color rgb="00B4C3D6"/>
      </bottom>
      <diagonal/>
    </border>
    <border>
      <left style="thin">
        <color rgb="00B4C3D6"/>
      </left>
      <right/>
      <top/>
      <bottom/>
      <diagonal/>
    </border>
    <border>
      <left/>
      <right style="thin">
        <color rgb="00B4C3D6"/>
      </right>
      <top/>
      <bottom/>
      <diagonal/>
    </border>
    <border>
      <left style="thin">
        <color rgb="00B4C3D6"/>
      </left>
      <right/>
      <top/>
      <bottom style="thin">
        <color rgb="00B4C3D6"/>
      </bottom>
      <diagonal/>
    </border>
    <border>
      <left/>
      <right/>
      <top/>
      <bottom style="thin">
        <color rgb="00B4C3D6"/>
      </bottom>
      <diagonal/>
    </border>
    <border>
      <left/>
      <right style="thin">
        <color rgb="00B4C3D6"/>
      </right>
      <top/>
      <bottom style="thin">
        <color rgb="00B4C3D6"/>
      </bottom>
      <diagonal/>
    </border>
    <border>
      <left style="medium">
        <color rgb="001F3F7A"/>
      </left>
      <right style="medium">
        <color rgb="001F3F7A"/>
      </right>
      <top style="medium">
        <color rgb="001F3F7A"/>
      </top>
      <bottom style="medium">
        <color rgb="001F3F7A"/>
      </bottom>
    </border>
    <border>
      <left/>
      <right/>
      <top style="medium">
        <color rgb="001F3F7A"/>
      </top>
      <bottom/>
      <diagonal/>
    </border>
    <border>
      <left/>
      <right style="medium">
        <color rgb="001F3F7A"/>
      </right>
      <top style="medium">
        <color rgb="001F3F7A"/>
      </top>
      <bottom/>
      <diagonal/>
    </border>
    <border>
      <left/>
      <right style="medium">
        <color rgb="001F3F7A"/>
      </right>
      <top style="medium">
        <color rgb="001F3F7A"/>
      </top>
      <bottom style="medium">
        <color rgb="001F3F7A"/>
      </bottom>
      <diagonal/>
    </border>
    <border>
      <left style="medium">
        <color rgb="00C77D1A"/>
      </left>
      <right style="medium">
        <color rgb="00C77D1A"/>
      </right>
      <top style="medium">
        <color rgb="00C77D1A"/>
      </top>
      <bottom style="medium">
        <color rgb="00C77D1A"/>
      </bottom>
    </border>
    <border>
      <left/>
      <right/>
      <top style="medium">
        <color rgb="00C77D1A"/>
      </top>
      <bottom/>
      <diagonal/>
    </border>
    <border>
      <left/>
      <right style="medium">
        <color rgb="00C77D1A"/>
      </right>
      <top style="medium">
        <color rgb="00C77D1A"/>
      </top>
      <bottom/>
      <diagonal/>
    </border>
    <border>
      <left/>
      <right/>
      <top style="medium">
        <color rgb="00C77D1A"/>
      </top>
      <bottom style="medium">
        <color rgb="00C77D1A"/>
      </bottom>
      <diagonal/>
    </border>
    <border>
      <left/>
      <right style="medium">
        <color rgb="00C77D1A"/>
      </right>
      <top style="medium">
        <color rgb="00C77D1A"/>
      </top>
      <bottom style="medium">
        <color rgb="00C77D1A"/>
      </bottom>
      <diagonal/>
    </border>
    <border>
      <left style="medium">
        <color rgb="001F3F7A"/>
      </left>
      <right/>
      <top/>
      <bottom/>
      <diagonal/>
    </border>
    <border>
      <left style="medium">
        <color rgb="001F3F7A"/>
      </left>
      <right style="medium">
        <color rgb="001F3F7A"/>
      </right>
      <top/>
      <bottom/>
      <diagonal/>
    </border>
    <border>
      <left style="medium">
        <color rgb="001F3F7A"/>
      </left>
      <right style="medium">
        <color rgb="001F3F7A"/>
      </right>
      <top/>
      <bottom style="medium">
        <color rgb="001F3F7A"/>
      </bottom>
      <diagonal/>
    </border>
    <border>
      <left style="medium">
        <color rgb="001B365D"/>
      </left>
      <right style="medium">
        <color rgb="001B365D"/>
      </right>
      <top style="medium">
        <color rgb="001B365D"/>
      </top>
      <bottom style="medium">
        <color rgb="001B365D"/>
      </bottom>
    </border>
    <border>
      <left/>
      <right/>
      <top style="medium">
        <color rgb="001B365D"/>
      </top>
      <bottom/>
      <diagonal/>
    </border>
    <border>
      <left/>
      <right style="medium">
        <color rgb="001B365D"/>
      </right>
      <top style="medium">
        <color rgb="001B365D"/>
      </top>
      <bottom/>
      <diagonal/>
    </border>
    <border>
      <left/>
      <right style="medium">
        <color rgb="001B365D"/>
      </right>
      <top style="medium">
        <color rgb="001B365D"/>
      </top>
      <bottom style="medium">
        <color rgb="001B365D"/>
      </bottom>
      <diagonal/>
    </border>
    <border>
      <left/>
      <right/>
      <top style="thin">
        <color rgb="00DCE6F2"/>
      </top>
      <bottom/>
      <diagonal/>
    </border>
    <border>
      <left/>
      <right style="thin">
        <color rgb="00FFFFFF"/>
      </right>
      <top style="thin">
        <color rgb="00DCE6F2"/>
      </top>
      <bottom/>
      <diagonal/>
    </border>
    <border>
      <left/>
      <right style="thin">
        <color rgb="00FFFFFF"/>
      </right>
      <top style="thin">
        <color rgb="00DCE6F2"/>
      </top>
      <bottom style="medium">
        <color rgb="002B5797"/>
      </bottom>
      <diagonal/>
    </border>
    <border>
      <left/>
      <right/>
      <top/>
      <bottom style="thin">
        <color rgb="00D3DEEC"/>
      </bottom>
      <diagonal/>
    </border>
  </borders>
  <cellStyleXfs count="1">
    <xf numFmtId="0" fontId="0" fillId="0" borderId="0"/>
  </cellStyleXfs>
  <cellXfs count="132">
    <xf numFmtId="0" fontId="0" fillId="0" borderId="0" pivotButton="0" quotePrefix="0" xfId="0"/>
    <xf numFmtId="0" fontId="48" fillId="22" borderId="0" applyAlignment="1" pivotButton="0" quotePrefix="0" xfId="0">
      <alignment vertical="center" indent="1"/>
    </xf>
    <xf numFmtId="0" fontId="0" fillId="22" borderId="0" pivotButton="0" quotePrefix="0" xfId="0"/>
    <xf numFmtId="0" fontId="51" fillId="22" borderId="0" applyAlignment="1" pivotButton="0" quotePrefix="0" xfId="0">
      <alignment horizontal="right" vertical="center"/>
    </xf>
    <xf numFmtId="0" fontId="49" fillId="2" borderId="0" applyAlignment="1" pivotButton="0" quotePrefix="0" xfId="0">
      <alignment vertical="center" indent="1"/>
    </xf>
    <xf numFmtId="0" fontId="0" fillId="2" borderId="0" pivotButton="0" quotePrefix="0" xfId="0"/>
    <xf numFmtId="0" fontId="2" fillId="0" borderId="0" pivotButton="0" quotePrefix="0" xfId="0"/>
    <xf numFmtId="0" fontId="3" fillId="2" borderId="1" applyAlignment="1" pivotButton="0" quotePrefix="0" xfId="0">
      <alignment horizontal="center" vertical="center" wrapText="1"/>
    </xf>
    <xf numFmtId="0" fontId="0" fillId="0" borderId="1" pivotButton="0" quotePrefix="0" xfId="0"/>
    <xf numFmtId="164" fontId="4" fillId="3" borderId="2" applyAlignment="1" pivotButton="0" quotePrefix="0" xfId="0">
      <alignment horizontal="center" vertical="center" wrapText="1"/>
    </xf>
    <xf numFmtId="0" fontId="0" fillId="0" borderId="2" pivotButton="0" quotePrefix="0" xfId="0"/>
    <xf numFmtId="0" fontId="5" fillId="4" borderId="0" applyAlignment="1" pivotButton="0" quotePrefix="0" xfId="0">
      <alignment horizontal="center" vertical="center" wrapText="1"/>
    </xf>
    <xf numFmtId="0" fontId="6" fillId="5" borderId="0" applyAlignment="1" pivotButton="0" quotePrefix="0" xfId="0">
      <alignment vertical="bottom" indent="1"/>
    </xf>
    <xf numFmtId="0" fontId="8" fillId="6" borderId="0" applyAlignment="1" pivotButton="0" quotePrefix="0" xfId="0">
      <alignment horizontal="center" vertical="center" wrapText="1"/>
    </xf>
    <xf numFmtId="0" fontId="7" fillId="5" borderId="3" applyAlignment="1" pivotButton="0" quotePrefix="0" xfId="0">
      <alignment vertical="top" wrapText="1" indent="1"/>
    </xf>
    <xf numFmtId="0" fontId="0" fillId="0" borderId="3" pivotButton="0" quotePrefix="0" xfId="0"/>
    <xf numFmtId="0" fontId="8" fillId="7" borderId="0" applyAlignment="1" pivotButton="0" quotePrefix="0" xfId="0">
      <alignment horizontal="center" vertical="center" wrapText="1"/>
    </xf>
    <xf numFmtId="0" fontId="8" fillId="8" borderId="0" applyAlignment="1" pivotButton="0" quotePrefix="0" xfId="0">
      <alignment horizontal="center" vertical="center" wrapText="1"/>
    </xf>
    <xf numFmtId="0" fontId="8" fillId="9" borderId="0" applyAlignment="1" pivotButton="0" quotePrefix="0" xfId="0">
      <alignment horizontal="center" vertical="center" wrapText="1"/>
    </xf>
    <xf numFmtId="0" fontId="9" fillId="0" borderId="0" applyAlignment="1" pivotButton="0" quotePrefix="0" xfId="0">
      <alignment vertical="top" wrapText="1"/>
    </xf>
    <xf numFmtId="0" fontId="10" fillId="0" borderId="0" applyAlignment="1" pivotButton="0" quotePrefix="0" xfId="0">
      <alignment vertical="top" wrapText="1"/>
    </xf>
    <xf numFmtId="0" fontId="11" fillId="0" borderId="0" applyAlignment="1" pivotButton="0" quotePrefix="0" xfId="0">
      <alignment vertical="top" wrapText="1"/>
    </xf>
    <xf numFmtId="0" fontId="24" fillId="6" borderId="26" applyAlignment="1" pivotButton="0" quotePrefix="0" xfId="0">
      <alignment horizontal="center" vertical="center" wrapText="1"/>
    </xf>
    <xf numFmtId="0" fontId="23" fillId="23" borderId="26" applyAlignment="1" pivotButton="0" quotePrefix="0" xfId="0">
      <alignment horizontal="center" vertical="center" wrapText="1"/>
    </xf>
    <xf numFmtId="0" fontId="0" fillId="0" borderId="29" pivotButton="0" quotePrefix="0" xfId="0"/>
    <xf numFmtId="0" fontId="19" fillId="0" borderId="0" pivotButton="0" quotePrefix="0" xfId="0"/>
    <xf numFmtId="20" fontId="1" fillId="10" borderId="4" applyAlignment="1" pivotButton="0" quotePrefix="0" xfId="0">
      <alignment horizontal="center" vertical="center" wrapText="1"/>
    </xf>
    <xf numFmtId="0" fontId="1" fillId="0" borderId="0" applyAlignment="1" pivotButton="0" quotePrefix="0" xfId="0">
      <alignment horizontal="center" vertical="center" wrapText="1"/>
    </xf>
    <xf numFmtId="0" fontId="14" fillId="0" borderId="0" pivotButton="0" quotePrefix="0" xfId="0"/>
    <xf numFmtId="1" fontId="1" fillId="10" borderId="4" applyAlignment="1" pivotButton="0" quotePrefix="0" xfId="0">
      <alignment horizontal="center" vertical="center" wrapText="1"/>
    </xf>
    <xf numFmtId="0" fontId="13" fillId="0" borderId="0" pivotButton="0" quotePrefix="0" xfId="0"/>
    <xf numFmtId="0" fontId="1" fillId="10" borderId="4" pivotButton="0" quotePrefix="0" xfId="0"/>
    <xf numFmtId="0" fontId="0" fillId="0" borderId="7" pivotButton="0" quotePrefix="0" xfId="0"/>
    <xf numFmtId="0" fontId="0" fillId="0" borderId="8" pivotButton="0" quotePrefix="0" xfId="0"/>
    <xf numFmtId="0" fontId="17" fillId="0" borderId="0" applyAlignment="1" pivotButton="0" quotePrefix="0" xfId="0">
      <alignment horizontal="right" vertical="center"/>
    </xf>
    <xf numFmtId="0" fontId="18" fillId="12" borderId="0" applyAlignment="1" pivotButton="0" quotePrefix="0" xfId="0">
      <alignment horizontal="center" vertical="center" wrapText="1"/>
    </xf>
    <xf numFmtId="0" fontId="50" fillId="4" borderId="4" applyAlignment="1" pivotButton="0" quotePrefix="0" xfId="0">
      <alignment horizontal="center" vertical="center" wrapText="1"/>
    </xf>
    <xf numFmtId="0" fontId="17" fillId="11" borderId="4" applyAlignment="1" pivotButton="0" quotePrefix="0" xfId="0">
      <alignment horizontal="center" vertical="center" wrapText="1"/>
    </xf>
    <xf numFmtId="0" fontId="1" fillId="11" borderId="0" pivotButton="0" quotePrefix="0" xfId="0"/>
    <xf numFmtId="0" fontId="50" fillId="4" borderId="0" applyAlignment="1" pivotButton="0" quotePrefix="0" xfId="0">
      <alignment horizontal="center" vertical="center" wrapText="1"/>
    </xf>
    <xf numFmtId="165" fontId="1" fillId="10" borderId="4" applyAlignment="1" pivotButton="0" quotePrefix="0" xfId="0">
      <alignment horizontal="center" vertical="center" wrapText="1"/>
    </xf>
    <xf numFmtId="0" fontId="1" fillId="0" borderId="4" applyAlignment="1" pivotButton="0" quotePrefix="0" xfId="0">
      <alignment horizontal="center" vertical="center" wrapText="1"/>
    </xf>
    <xf numFmtId="0" fontId="1" fillId="10" borderId="4" applyAlignment="1" pivotButton="0" quotePrefix="0" xfId="0">
      <alignment horizontal="center" vertical="center" wrapText="1"/>
    </xf>
    <xf numFmtId="0" fontId="1" fillId="0" borderId="4" pivotButton="0" quotePrefix="0" xfId="0"/>
    <xf numFmtId="0" fontId="16" fillId="0" borderId="0" applyAlignment="1" pivotButton="0" quotePrefix="0" xfId="0">
      <alignment horizontal="center" vertical="center" wrapText="1"/>
    </xf>
    <xf numFmtId="20" fontId="1" fillId="0" borderId="4" applyAlignment="1" pivotButton="0" quotePrefix="0" xfId="0">
      <alignment horizontal="center" vertical="center" wrapText="1"/>
    </xf>
    <xf numFmtId="0" fontId="15" fillId="11" borderId="0" applyAlignment="1" pivotButton="0" quotePrefix="0" xfId="0">
      <alignment horizontal="center" vertical="center" wrapText="1"/>
    </xf>
    <xf numFmtId="0" fontId="18" fillId="0" borderId="0" applyAlignment="1" pivotButton="0" quotePrefix="0" xfId="0">
      <alignment horizontal="center" vertical="center" wrapText="1"/>
    </xf>
    <xf numFmtId="0" fontId="13" fillId="0" borderId="0" applyAlignment="1" pivotButton="0" quotePrefix="0" xfId="0">
      <alignment vertical="top" wrapText="1"/>
    </xf>
    <xf numFmtId="166" fontId="1" fillId="10" borderId="4" applyAlignment="1" pivotButton="0" quotePrefix="0" xfId="0">
      <alignment horizontal="center" vertical="center"/>
    </xf>
    <xf numFmtId="167" fontId="1" fillId="10" borderId="4" applyAlignment="1" pivotButton="0" quotePrefix="0" xfId="0">
      <alignment horizontal="center" vertical="center"/>
    </xf>
    <xf numFmtId="0" fontId="1" fillId="10" borderId="4" applyAlignment="1" pivotButton="0" quotePrefix="0" xfId="0">
      <alignment horizontal="left" vertical="center"/>
    </xf>
    <xf numFmtId="165" fontId="1" fillId="10" borderId="4" applyAlignment="1" pivotButton="0" quotePrefix="0" xfId="0">
      <alignment horizontal="center" vertical="center"/>
    </xf>
    <xf numFmtId="0" fontId="19" fillId="0" borderId="0" applyAlignment="1" pivotButton="0" quotePrefix="0" xfId="0">
      <alignment vertical="top"/>
    </xf>
    <xf numFmtId="0" fontId="1" fillId="10" borderId="4" applyAlignment="1" pivotButton="0" quotePrefix="0" xfId="0">
      <alignment vertical="top" wrapText="1"/>
    </xf>
    <xf numFmtId="0" fontId="0" fillId="0" borderId="5" pivotButton="0" quotePrefix="0" xfId="0"/>
    <xf numFmtId="0" fontId="0" fillId="0" borderId="6"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52" fillId="24" borderId="0" applyAlignment="1" pivotButton="0" quotePrefix="0" xfId="0">
      <alignment horizontal="center" vertical="center" wrapText="1"/>
    </xf>
    <xf numFmtId="0" fontId="20" fillId="0" borderId="0" applyAlignment="1" pivotButton="0" quotePrefix="0" xfId="0">
      <alignment vertical="center" wrapText="1"/>
    </xf>
    <xf numFmtId="0" fontId="21" fillId="0" borderId="0" applyAlignment="1" pivotButton="0" quotePrefix="0" xfId="0">
      <alignment vertical="center" wrapText="1"/>
    </xf>
    <xf numFmtId="0" fontId="53" fillId="25" borderId="4" applyAlignment="1" pivotButton="0" quotePrefix="0" xfId="0">
      <alignment horizontal="center" vertical="center" wrapText="1"/>
    </xf>
    <xf numFmtId="0" fontId="54" fillId="25" borderId="4" applyAlignment="1" pivotButton="0" quotePrefix="0" xfId="0">
      <alignment horizontal="center" vertical="center" wrapText="1"/>
    </xf>
    <xf numFmtId="0" fontId="53" fillId="4" borderId="4" applyAlignment="1" pivotButton="0" quotePrefix="0" xfId="0">
      <alignment horizontal="center" vertical="center" wrapText="1"/>
    </xf>
    <xf numFmtId="0" fontId="1" fillId="10" borderId="4" applyAlignment="1" pivotButton="0" quotePrefix="0" xfId="0">
      <alignment horizontal="center" vertical="center" shrinkToFit="1"/>
    </xf>
    <xf numFmtId="0" fontId="1" fillId="10" borderId="4" applyAlignment="1" pivotButton="0" quotePrefix="0" xfId="0">
      <alignment vertical="center"/>
    </xf>
    <xf numFmtId="0" fontId="22" fillId="0" borderId="0" applyAlignment="1" pivotButton="0" quotePrefix="0" xfId="0">
      <alignment horizontal="center" vertical="center" wrapText="1"/>
    </xf>
    <xf numFmtId="0" fontId="48" fillId="22" borderId="0" applyAlignment="1" pivotButton="0" quotePrefix="0" xfId="0">
      <alignment vertical="center"/>
    </xf>
    <xf numFmtId="0" fontId="49" fillId="2" borderId="0" applyAlignment="1" pivotButton="0" quotePrefix="0" xfId="0">
      <alignment vertical="center"/>
    </xf>
    <xf numFmtId="0" fontId="23" fillId="0" borderId="0" applyAlignment="1" pivotButton="0" quotePrefix="0" xfId="0">
      <alignment horizontal="right" vertical="center"/>
    </xf>
    <xf numFmtId="0" fontId="9" fillId="10" borderId="4" applyAlignment="1" pivotButton="0" quotePrefix="0" xfId="0">
      <alignment vertical="center"/>
    </xf>
    <xf numFmtId="0" fontId="24" fillId="13" borderId="14" applyAlignment="1" pivotButton="0" quotePrefix="0" xfId="0">
      <alignment horizontal="center" vertical="center" wrapText="1"/>
    </xf>
    <xf numFmtId="0" fontId="0" fillId="0" borderId="17" pivotButton="0" quotePrefix="0" xfId="0"/>
    <xf numFmtId="0" fontId="29" fillId="0" borderId="0" applyAlignment="1" pivotButton="0" quotePrefix="0" xfId="0">
      <alignment horizontal="center" vertical="center"/>
    </xf>
    <xf numFmtId="0" fontId="39" fillId="2" borderId="0" pivotButton="0" quotePrefix="0" xfId="0"/>
    <xf numFmtId="0" fontId="1" fillId="2" borderId="0" applyAlignment="1" pivotButton="0" quotePrefix="0" xfId="0">
      <alignment horizontal="right" vertical="center"/>
    </xf>
    <xf numFmtId="0" fontId="1" fillId="2" borderId="0" applyAlignment="1" pivotButton="0" quotePrefix="0" xfId="0">
      <alignment horizontal="right"/>
    </xf>
    <xf numFmtId="0" fontId="15" fillId="2" borderId="0" pivotButton="0" quotePrefix="0" xfId="0"/>
    <xf numFmtId="0" fontId="15" fillId="2" borderId="0" applyAlignment="1" pivotButton="0" quotePrefix="0" xfId="0">
      <alignment horizontal="left"/>
    </xf>
    <xf numFmtId="0" fontId="26" fillId="2" borderId="0" applyAlignment="1" pivotButton="0" quotePrefix="0" xfId="0">
      <alignment horizontal="center" vertical="center" wrapText="1"/>
    </xf>
    <xf numFmtId="0" fontId="27" fillId="12" borderId="0" applyAlignment="1" pivotButton="0" quotePrefix="0" xfId="0">
      <alignment horizontal="center" vertical="center" wrapText="1"/>
    </xf>
    <xf numFmtId="0" fontId="28" fillId="0" borderId="0" applyAlignment="1" pivotButton="0" quotePrefix="0" xfId="0">
      <alignment horizontal="center" vertical="center" wrapText="1"/>
    </xf>
    <xf numFmtId="0" fontId="34" fillId="17" borderId="4" applyAlignment="1" pivotButton="0" quotePrefix="0" xfId="0">
      <alignment horizontal="center" vertical="center" wrapText="1"/>
    </xf>
    <xf numFmtId="0" fontId="34" fillId="18" borderId="4" applyAlignment="1" pivotButton="0" quotePrefix="0" xfId="0">
      <alignment horizontal="center" vertical="center" wrapText="1"/>
    </xf>
    <xf numFmtId="0" fontId="34" fillId="19" borderId="4" applyAlignment="1" pivotButton="0" quotePrefix="0" xfId="0">
      <alignment horizontal="center" vertical="center" wrapText="1"/>
    </xf>
    <xf numFmtId="0" fontId="34" fillId="20" borderId="4" applyAlignment="1" pivotButton="0" quotePrefix="0" xfId="0">
      <alignment horizontal="center" vertical="center" wrapText="1"/>
    </xf>
    <xf numFmtId="0" fontId="8" fillId="13" borderId="14" applyAlignment="1" pivotButton="0" quotePrefix="0" xfId="0">
      <alignment horizontal="center" vertical="center" wrapText="1"/>
    </xf>
    <xf numFmtId="0" fontId="8" fillId="16" borderId="14" applyAlignment="1" pivotButton="0" quotePrefix="0" xfId="0">
      <alignment horizontal="center" vertical="center" wrapText="1"/>
    </xf>
    <xf numFmtId="0" fontId="33" fillId="15" borderId="18" applyAlignment="1" pivotButton="0" quotePrefix="0" xfId="0">
      <alignment vertical="center" wrapText="1" indent="1"/>
    </xf>
    <xf numFmtId="0" fontId="0" fillId="0" borderId="21" pivotButton="0" quotePrefix="0" xfId="0"/>
    <xf numFmtId="0" fontId="0" fillId="0" borderId="22" pivotButton="0" quotePrefix="0" xfId="0"/>
    <xf numFmtId="0" fontId="31" fillId="0" borderId="0" pivotButton="0" quotePrefix="0" xfId="0"/>
    <xf numFmtId="0" fontId="15" fillId="0" borderId="0" pivotButton="0" quotePrefix="0" xfId="0"/>
    <xf numFmtId="0" fontId="35" fillId="0" borderId="0" pivotButton="0" quotePrefix="0" xfId="0"/>
    <xf numFmtId="0" fontId="35" fillId="0" borderId="0" applyAlignment="1" pivotButton="0" quotePrefix="0" xfId="0">
      <alignment vertical="top" wrapText="1"/>
    </xf>
    <xf numFmtId="0" fontId="36" fillId="0" borderId="0" pivotButton="0" quotePrefix="0" xfId="0"/>
    <xf numFmtId="0" fontId="1" fillId="0" borderId="0" applyAlignment="1" pivotButton="0" quotePrefix="0" xfId="0">
      <alignment vertical="top" wrapText="1"/>
    </xf>
    <xf numFmtId="0" fontId="37" fillId="0" borderId="0" applyAlignment="1" pivotButton="0" quotePrefix="0" xfId="0">
      <alignment horizontal="right"/>
    </xf>
    <xf numFmtId="0" fontId="38" fillId="0" borderId="0" pivotButton="0" quotePrefix="0" xfId="0"/>
    <xf numFmtId="0" fontId="8" fillId="14" borderId="14" applyAlignment="1" pivotButton="0" quotePrefix="0" xfId="0">
      <alignment horizontal="center" vertical="center" wrapText="1"/>
    </xf>
    <xf numFmtId="0" fontId="30" fillId="0" borderId="0" applyAlignment="1" pivotButton="0" quotePrefix="0" xfId="0">
      <alignment vertical="center" wrapText="1"/>
    </xf>
    <xf numFmtId="0" fontId="9" fillId="10" borderId="4" pivotButton="0" quotePrefix="0" xfId="0"/>
    <xf numFmtId="0" fontId="15" fillId="0" borderId="0" applyAlignment="1" pivotButton="0" quotePrefix="0" xfId="0">
      <alignment horizontal="left"/>
    </xf>
    <xf numFmtId="0" fontId="6" fillId="0" borderId="0" pivotButton="0" quotePrefix="0" xfId="0"/>
    <xf numFmtId="0" fontId="20" fillId="0" borderId="0" pivotButton="0" quotePrefix="0" xfId="0"/>
    <xf numFmtId="0" fontId="32" fillId="0" borderId="0" applyAlignment="1" pivotButton="0" quotePrefix="0" xfId="0">
      <alignment vertical="top" wrapText="1"/>
    </xf>
    <xf numFmtId="0" fontId="39" fillId="0" borderId="0" applyAlignment="1" pivotButton="0" quotePrefix="0" xfId="0">
      <alignment horizontal="left" vertical="center"/>
    </xf>
    <xf numFmtId="0" fontId="8" fillId="21" borderId="14" applyAlignment="1" pivotButton="0" quotePrefix="0" xfId="0">
      <alignment horizontal="center" vertical="center" wrapText="1"/>
    </xf>
    <xf numFmtId="0" fontId="40" fillId="0" borderId="0" applyAlignment="1" pivotButton="0" quotePrefix="0" xfId="0">
      <alignment vertical="center" wrapText="1" indent="1"/>
    </xf>
    <xf numFmtId="0" fontId="46" fillId="0" borderId="0" applyAlignment="1" pivotButton="0" quotePrefix="0" xfId="0">
      <alignment horizontal="center" vertical="center" wrapText="1"/>
    </xf>
    <xf numFmtId="0" fontId="41" fillId="0" borderId="0" applyAlignment="1" pivotButton="0" quotePrefix="0" xfId="0">
      <alignment horizontal="left" vertical="center"/>
    </xf>
    <xf numFmtId="0" fontId="41" fillId="0" borderId="0" applyAlignment="1" pivotButton="0" quotePrefix="0" xfId="0">
      <alignment horizontal="distributed" vertical="center"/>
    </xf>
    <xf numFmtId="0" fontId="0" fillId="0" borderId="25" pivotButton="0" quotePrefix="0" xfId="0"/>
    <xf numFmtId="0" fontId="47" fillId="0" borderId="0" applyAlignment="1" pivotButton="0" quotePrefix="0" xfId="0">
      <alignment horizontal="center" vertical="center" wrapText="1"/>
    </xf>
    <xf numFmtId="0" fontId="41" fillId="0" borderId="0" applyAlignment="1" pivotButton="0" quotePrefix="0" xfId="0">
      <alignment horizontal="center" vertical="center" wrapText="1"/>
    </xf>
    <xf numFmtId="0" fontId="44" fillId="0" borderId="0" applyAlignment="1" pivotButton="0" quotePrefix="0" xfId="0">
      <alignment horizontal="center" vertical="center" wrapText="1"/>
    </xf>
    <xf numFmtId="0" fontId="45" fillId="0" borderId="0" applyAlignment="1" pivotButton="0" quotePrefix="0" xfId="0">
      <alignment horizontal="center" vertical="center" wrapText="1"/>
    </xf>
    <xf numFmtId="0" fontId="42" fillId="0" borderId="0" applyAlignment="1" pivotButton="0" quotePrefix="0" xfId="0">
      <alignment horizontal="center" vertical="center" wrapText="1"/>
    </xf>
    <xf numFmtId="0" fontId="43" fillId="0" borderId="0" applyAlignment="1" pivotButton="0" quotePrefix="0" xfId="0">
      <alignment horizontal="center" vertical="center" wrapText="1"/>
    </xf>
    <xf numFmtId="0" fontId="41" fillId="0" borderId="0" applyAlignment="1" pivotButton="0" quotePrefix="0" xfId="0">
      <alignment horizontal="right" vertical="center"/>
    </xf>
    <xf numFmtId="0" fontId="1" fillId="0" borderId="0" pivotButton="0" quotePrefix="0" xfId="0"/>
    <xf numFmtId="0" fontId="0" fillId="0" borderId="31" pivotButton="0" quotePrefix="0" xfId="0"/>
    <xf numFmtId="0" fontId="0" fillId="0" borderId="32" pivotButton="0" quotePrefix="0" xfId="0"/>
    <xf numFmtId="0" fontId="0" fillId="0" borderId="33" pivotButton="0" quotePrefix="0" xfId="0"/>
    <xf numFmtId="165" fontId="1" fillId="10" borderId="4" applyAlignment="1" pivotButton="0" quotePrefix="0" xfId="0">
      <alignment horizontal="center" vertical="center" wrapText="1"/>
    </xf>
    <xf numFmtId="166" fontId="1" fillId="10" borderId="4" applyAlignment="1" pivotButton="0" quotePrefix="0" xfId="0">
      <alignment horizontal="center" vertical="center"/>
    </xf>
    <xf numFmtId="167" fontId="1" fillId="10" borderId="4" applyAlignment="1" pivotButton="0" quotePrefix="0" xfId="0">
      <alignment horizontal="center" vertical="center"/>
    </xf>
    <xf numFmtId="165" fontId="1" fillId="10" borderId="4" applyAlignment="1" pivotButton="0" quotePrefix="0" xfId="0">
      <alignment horizontal="center" vertical="center"/>
    </xf>
  </cellXfs>
  <cellStyles count="1">
    <cellStyle name="Normal" xfId="0" builtinId="0" hidden="0"/>
  </cellStyles>
  <dxfs count="31">
    <dxf>
      <font>
        <name val="BIZ UDPゴシック"/>
        <b val="1"/>
        <color rgb="009A6A00"/>
        <sz val="24"/>
      </font>
    </dxf>
    <dxf>
      <font>
        <name val="BIZ UDPゴシック"/>
        <b val="1"/>
        <color rgb="00B23A3A"/>
        <sz val="24"/>
      </font>
    </dxf>
    <dxf>
      <font>
        <name val="BIZ UDPゴシック"/>
        <color rgb="00BBBBBB"/>
      </font>
      <fill>
        <patternFill patternType="solid">
          <fgColor rgb="00FFFFFF"/>
          <bgColor rgb="00FFFFFF"/>
        </patternFill>
      </fill>
    </dxf>
    <dxf>
      <fill>
        <patternFill patternType="solid">
          <fgColor rgb="00FFFFFF"/>
          <bgColor rgb="00FFFFFF"/>
        </patternFill>
      </fill>
    </dxf>
    <dxf>
      <border>
        <left style="thin">
          <color rgb="00B4C3D6"/>
        </left>
        <right style="thin">
          <color rgb="00B4C3D6"/>
        </right>
        <top style="thin">
          <color rgb="00B4C3D6"/>
        </top>
        <bottom style="thin">
          <color rgb="00B4C3D6"/>
        </bottom>
      </border>
    </dxf>
    <dxf>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E3E3E3"/>
          <bgColor rgb="00E3E3E3"/>
        </patternFill>
      </fill>
      <border>
        <left style="thin">
          <color rgb="00B4C3D6"/>
        </left>
        <right style="thin">
          <color rgb="00B4C3D6"/>
        </right>
        <top style="thin">
          <color rgb="00B4C3D6"/>
        </top>
        <bottom style="thin">
          <color rgb="00B4C3D6"/>
        </bottom>
      </border>
    </dxf>
    <dxf>
      <font>
        <name val="BIZ UDPゴシック"/>
        <b val="1"/>
        <color rgb="009A6A00"/>
      </font>
    </dxf>
    <dxf>
      <font>
        <name val="BIZ UDPゴシック"/>
        <b val="1"/>
        <color rgb="00B23A3A"/>
      </font>
    </dxf>
    <dxf>
      <fill>
        <patternFill patternType="solid">
          <fgColor rgb="00FBEFC9"/>
          <bgColor rgb="00FBEFC9"/>
        </patternFill>
      </fill>
    </dxf>
    <dxf>
      <fill>
        <patternFill patternType="solid">
          <fgColor rgb="00F6DEDB"/>
          <bgColor rgb="00F6DEDB"/>
        </patternFill>
      </fill>
    </dxf>
    <dxf>
      <fill>
        <patternFill patternType="solid">
          <fgColor rgb="00D9D9D9"/>
          <bgColor rgb="00D9D9D9"/>
        </patternFill>
      </fill>
      <border>
        <left style="thin">
          <color rgb="00B4C3D6"/>
        </left>
        <right style="thin">
          <color rgb="00B4C3D6"/>
        </right>
        <top style="thin">
          <color rgb="00B4C3D6"/>
        </top>
        <bottom style="thin">
          <color rgb="00B4C3D6"/>
        </bottom>
      </border>
    </dxf>
    <dxf>
      <fill>
        <patternFill patternType="solid">
          <fgColor rgb="00D62828"/>
          <bgColor rgb="00D62828"/>
        </patternFill>
      </fill>
    </dxf>
    <dxf>
      <font>
        <name val="BIZ UDPゴシック"/>
        <b val="1"/>
      </font>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lightUp">
          <fgColor rgb="005B8BD0"/>
        </patternFill>
      </fill>
      <border>
        <left style="thin">
          <color rgb="00B4C3D6"/>
        </left>
        <right style="thin">
          <color rgb="00B4C3D6"/>
        </right>
        <top style="thin">
          <color rgb="00B4C3D6"/>
        </top>
        <bottom style="thin">
          <color rgb="00B4C3D6"/>
        </bottom>
      </border>
    </dxf>
    <dxf>
      <fill>
        <patternFill patternType="lightUp">
          <fgColor rgb="00BBBBBB"/>
        </patternFill>
      </fill>
      <border>
        <left style="thin">
          <color rgb="00B4C3D6"/>
        </left>
        <right style="thin">
          <color rgb="00B4C3D6"/>
        </right>
        <top style="thin">
          <color rgb="00B4C3D6"/>
        </top>
        <bottom style="thin">
          <color rgb="00B4C3D6"/>
        </bottom>
      </border>
    </dxf>
    <dxf>
      <font>
        <name val="BIZ UDPゴシック"/>
        <b val="1"/>
        <color rgb="00FFFFFF"/>
        <sz val="11"/>
      </font>
      <fill>
        <patternFill patternType="solid">
          <fgColor rgb="00D62828"/>
          <bgColor rgb="00D62828"/>
        </patternFill>
      </fill>
    </dxf>
    <dxf>
      <font>
        <name val="BIZ UDPゴシック"/>
        <b val="1"/>
        <color rgb="007A3D00"/>
        <sz val="11"/>
      </font>
      <fill>
        <patternFill patternType="solid">
          <fgColor rgb="00FFE4C2"/>
          <bgColor rgb="00FFE4C2"/>
        </patternFill>
      </fill>
    </dxf>
    <dxf>
      <font>
        <name val="BIZ UDPゴシック"/>
        <b val="1"/>
        <color rgb="007A3D00"/>
      </font>
      <fill>
        <patternFill patternType="solid">
          <fgColor rgb="00FFE4C2"/>
          <bgColor rgb="00FFE4C2"/>
        </patternFill>
      </fill>
      <border>
        <left style="thin">
          <color rgb="00E07A00"/>
        </left>
        <right style="thin">
          <color rgb="00E07A00"/>
        </right>
        <top style="thin">
          <color rgb="00E07A00"/>
        </top>
        <bottom style="thin">
          <color rgb="00E07A00"/>
        </bottom>
      </border>
    </dxf>
    <dxf>
      <font>
        <name val="BIZ UDPゴシック"/>
        <b val="1"/>
        <color rgb="00FFFFFF"/>
      </font>
      <fill>
        <patternFill patternType="solid">
          <fgColor rgb="00B23A3A"/>
          <bgColor rgb="00B23A3A"/>
        </patternFill>
      </fill>
      <border>
        <left style="thin">
          <color rgb="00B4C3D6"/>
        </left>
        <right style="thin">
          <color rgb="00B4C3D6"/>
        </right>
        <top style="thin">
          <color rgb="00B4C3D6"/>
        </top>
        <bottom style="thin">
          <color rgb="00B4C3D6"/>
        </bottom>
      </border>
    </dxf>
    <dxf>
      <fill>
        <patternFill patternType="solid">
          <fgColor rgb="00F2B36B"/>
          <bgColor rgb="00F2B36B"/>
        </patternFill>
      </fill>
      <border>
        <left style="thin">
          <color rgb="00B4C3D6"/>
        </left>
        <right style="thin">
          <color rgb="00B4C3D6"/>
        </right>
        <top style="thin">
          <color rgb="00B4C3D6"/>
        </top>
        <bottom style="thin">
          <color rgb="00B4C3D6"/>
        </bottom>
      </border>
    </dxf>
    <dxf>
      <fill>
        <patternFill patternType="solid">
          <fgColor rgb="00C9B3E6"/>
          <bgColor rgb="00C9B3E6"/>
        </patternFill>
      </fill>
      <border>
        <left style="thin">
          <color rgb="00B4C3D6"/>
        </left>
        <right style="thin">
          <color rgb="00B4C3D6"/>
        </right>
        <top style="thin">
          <color rgb="00B4C3D6"/>
        </top>
        <bottom style="thin">
          <color rgb="00B4C3D6"/>
        </bottom>
      </border>
    </dxf>
    <dxf>
      <font>
        <name val="BIZ UDPゴシック"/>
        <b val="1"/>
        <color rgb="001F3F7A"/>
      </font>
      <fill>
        <patternFill patternType="solid">
          <fgColor rgb="00C5D7F4"/>
          <bgColor rgb="00C5D7F4"/>
        </patternFill>
      </fill>
      <border>
        <left style="thin">
          <color rgb="00B4C3D6"/>
        </left>
        <right style="thin">
          <color rgb="00B4C3D6"/>
        </right>
        <top style="thin">
          <color rgb="00B4C3D6"/>
        </top>
        <bottom style="thin">
          <color rgb="00B4C3D6"/>
        </bottom>
      </border>
    </dxf>
    <dxf>
      <fill>
        <patternFill patternType="solid">
          <fgColor rgb="00D6F0DF"/>
          <bgColor rgb="00D6F0DF"/>
        </patternFill>
      </fill>
      <border>
        <left style="thin">
          <color rgb="00B4C3D6"/>
        </left>
        <right style="thin">
          <color rgb="00B4C3D6"/>
        </right>
        <top style="thin">
          <color rgb="00B4C3D6"/>
        </top>
        <bottom style="thin">
          <color rgb="00B4C3D6"/>
        </bottom>
      </border>
    </dxf>
    <dxf>
      <fill>
        <patternFill patternType="solid">
          <fgColor rgb="00FBEFC9"/>
          <bgColor rgb="00FBEFC9"/>
        </patternFill>
      </fill>
      <border>
        <left style="thin">
          <color rgb="00B4C3D6"/>
        </left>
        <right style="thin">
          <color rgb="00B4C3D6"/>
        </right>
        <top style="thin">
          <color rgb="00B4C3D6"/>
        </top>
        <bottom style="thin">
          <color rgb="00B4C3D6"/>
        </bottom>
      </border>
    </dxf>
    <dxf>
      <font>
        <name val="BIZ UDPゴシック"/>
        <b val="1"/>
        <color rgb="00B23A3A"/>
      </font>
      <fill>
        <patternFill patternType="solid">
          <fgColor rgb="00F6DEDB"/>
          <bgColor rgb="00F6DEDB"/>
        </patternFill>
      </fill>
      <border>
        <left style="thin">
          <color rgb="00B4C3D6"/>
        </left>
        <right style="thin">
          <color rgb="00B4C3D6"/>
        </right>
        <top style="thin">
          <color rgb="00B4C3D6"/>
        </top>
        <bottom style="thin">
          <color rgb="00B4C3D6"/>
        </bottom>
      </border>
    </dxf>
    <dxf>
      <fill>
        <patternFill patternType="solid">
          <fgColor rgb="00FBE0C2"/>
          <bgColor rgb="00FBE0C2"/>
        </patternFill>
      </fill>
      <border>
        <left style="thin">
          <color rgb="00B4C3D6"/>
        </left>
        <right style="thin">
          <color rgb="00B4C3D6"/>
        </right>
        <top style="thin">
          <color rgb="00B4C3D6"/>
        </top>
        <bottom style="thin">
          <color rgb="00B4C3D6"/>
        </bottom>
      </border>
    </dxf>
    <dxf>
      <fill>
        <patternFill patternType="solid">
          <fgColor rgb="00FFF8D6"/>
          <bgColor rgb="00FFF8D6"/>
        </patternFill>
      </fill>
    </dxf>
    <dxf>
      <font>
        <name val="BIZ UDPゴシック"/>
        <b val="1"/>
        <color rgb="003F2A66"/>
      </font>
      <fill>
        <patternFill patternType="solid">
          <fgColor rgb="00E3D7F2"/>
          <bgColor rgb="00E3D7F2"/>
        </patternFill>
      </fill>
      <border>
        <left style="thin">
          <color rgb="00B4C3D6"/>
        </left>
        <right style="thin">
          <color rgb="00B4C3D6"/>
        </right>
        <top style="thin">
          <color rgb="00B4C3D6"/>
        </top>
        <bottom style="thin">
          <color rgb="00B4C3D6"/>
        </bottom>
      </border>
    </dxf>
    <dxf>
      <fill>
        <patternFill patternType="solid"/>
      </fill>
    </dxf>
    <dxf>
      <border>
        <left style="thin">
          <color rgb="00000000"/>
        </left>
        <right style="thin">
          <color rgb="00000000"/>
        </right>
        <top style="thin">
          <color rgb="00000000"/>
        </top>
        <bottom style="thin">
          <color rgb="00000000"/>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2</col>
      <colOff>0</colOff>
      <row>2</row>
      <rowOff>0</rowOff>
    </from>
    <ext cx="5715000" cy="6858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1B365D"/>
    <outlinePr summaryBelow="1" summaryRight="1"/>
    <pageSetUpPr/>
  </sheetPr>
  <dimension ref="A1:M77"/>
  <sheetViews>
    <sheetView showGridLines="0" showRowColHeaders="0" workbookViewId="0">
      <selection activeCell="A1" sqref="A1"/>
    </sheetView>
  </sheetViews>
  <sheetFormatPr baseColWidth="8" defaultRowHeight="15"/>
  <cols>
    <col width="3"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s>
  <sheetData>
    <row r="1" ht="44" customHeight="1">
      <c r="A1" s="1" t="inlineStr">
        <is>
          <t>面談日程ツール</t>
        </is>
      </c>
      <c r="B1" s="2" t="n"/>
      <c r="C1" s="2" t="n"/>
      <c r="D1" s="2" t="n"/>
      <c r="E1" s="2" t="n"/>
      <c r="F1" s="2" t="n"/>
      <c r="G1" s="2" t="n"/>
      <c r="H1" s="2" t="n"/>
      <c r="I1" s="2" t="n"/>
      <c r="J1" s="2" t="n"/>
      <c r="K1" s="3" t="inlineStr">
        <is>
          <t>Ver.3.0</t>
        </is>
      </c>
    </row>
    <row r="2" ht="24" customHeight="1">
      <c r="A2" s="4" t="inlineStr">
        <is>
          <t>×のついた予定表から、個人面談の日程を組むツールです（マクロ版）。黄色のマスが入力する場所、青いマスはボタンです。</t>
        </is>
      </c>
      <c r="B2" s="5" t="n"/>
      <c r="C2" s="5" t="n"/>
      <c r="D2" s="5" t="n"/>
      <c r="E2" s="5" t="n"/>
      <c r="F2" s="5" t="n"/>
      <c r="G2" s="5" t="n"/>
      <c r="H2" s="5" t="n"/>
      <c r="I2" s="5" t="n"/>
      <c r="J2" s="5" t="n"/>
      <c r="K2" s="5" t="n"/>
      <c r="L2" s="5" t="n"/>
      <c r="M2" s="5" t="n"/>
    </row>
    <row r="4">
      <c r="B4" s="6" t="inlineStr">
        <is>
          <t>いまの状況</t>
        </is>
      </c>
    </row>
    <row r="5" ht="22" customHeight="1">
      <c r="B5" s="7" t="inlineStr">
        <is>
          <t>名簿の人数</t>
        </is>
      </c>
      <c r="C5" s="125" t="n"/>
      <c r="D5" s="7" t="inlineStr">
        <is>
          <t>×入力済み</t>
        </is>
      </c>
      <c r="E5" s="125" t="n"/>
      <c r="F5" s="7" t="inlineStr">
        <is>
          <t>未入力</t>
        </is>
      </c>
      <c r="G5" s="125" t="n"/>
      <c r="H5" s="7" t="inlineStr">
        <is>
          <t>未提出</t>
        </is>
      </c>
      <c r="I5" s="125" t="n"/>
      <c r="J5" s="7" t="inlineStr">
        <is>
          <t>決定済み</t>
        </is>
      </c>
      <c r="K5" s="125" t="n"/>
      <c r="L5" s="7" t="inlineStr">
        <is>
          <t>未決定</t>
        </is>
      </c>
      <c r="M5" s="125" t="n"/>
    </row>
    <row r="6" ht="46" customHeight="1">
      <c r="B6" s="9">
        <f>COUNTIF('名簿'!$B$5:$B$49,"?*")</f>
        <v/>
      </c>
      <c r="C6" s="126" t="n"/>
      <c r="D6" s="9">
        <f>COUNTIF('名簿'!$Q$5:$Q$49,"入力済み")+COUNTIF('名簿'!$Q$5:$Q$49,"×なし")</f>
        <v/>
      </c>
      <c r="E6" s="126" t="n"/>
      <c r="F6" s="9">
        <f>COUNTIF('名簿'!$Q$5:$Q$49,"未入力")</f>
        <v/>
      </c>
      <c r="G6" s="126" t="n"/>
      <c r="H6" s="9">
        <f>COUNTIF('名簿'!$Q$5:$Q$49,"未提出")</f>
        <v/>
      </c>
      <c r="I6" s="126" t="n"/>
      <c r="J6" s="9">
        <f>SUMPRODUCT(('名簿'!$U$5:$U$49&lt;&gt;"")*1)</f>
        <v/>
      </c>
      <c r="K6" s="126" t="n"/>
      <c r="L6" s="9">
        <f>COUNTIF('名簿'!$W$5:$W$49,"未決定")</f>
        <v/>
      </c>
      <c r="M6" s="126" t="n"/>
    </row>
    <row r="8">
      <c r="B8" s="6" t="inlineStr">
        <is>
          <t>使う順番</t>
        </is>
      </c>
    </row>
    <row r="9" ht="24" customHeight="1">
      <c r="B9" s="11" t="n">
        <v>1</v>
      </c>
      <c r="C9" s="12" t="inlineStr">
        <is>
          <t>日付と時間枠を決める</t>
        </is>
      </c>
      <c r="K9" s="13">
        <f>HYPERLINK("#'設定'!A1","開く ▶")</f>
        <v/>
      </c>
    </row>
    <row r="10" ht="30" customHeight="1">
      <c r="C10" s="14" t="inlineStr">
        <is>
          <t>面談する日付、時間帯（2つまで）、1枠の長さ。出張などで組まない日・時間もここで止めます。</t>
        </is>
      </c>
      <c r="D10" s="127" t="n"/>
      <c r="E10" s="127" t="n"/>
      <c r="F10" s="127" t="n"/>
      <c r="G10" s="127" t="n"/>
      <c r="H10" s="127" t="n"/>
      <c r="I10" s="127" t="n"/>
      <c r="J10" s="127" t="n"/>
    </row>
    <row r="12" ht="24" customHeight="1">
      <c r="B12" s="11" t="n">
        <v>2</v>
      </c>
      <c r="C12" s="12" t="inlineStr">
        <is>
          <t>名簿を貼り付ける</t>
        </is>
      </c>
      <c r="K12" s="13">
        <f>HYPERLINK("#'名簿'!A1","開く ▶")</f>
        <v/>
      </c>
    </row>
    <row r="13" ht="30" customHeight="1">
      <c r="C13" s="14" t="inlineStr">
        <is>
          <t>番号と名前を貼り付けます。兄弟・希望の時間・後ろを空けるもここで選びます。</t>
        </is>
      </c>
      <c r="D13" s="127" t="n"/>
      <c r="E13" s="127" t="n"/>
      <c r="F13" s="127" t="n"/>
      <c r="G13" s="127" t="n"/>
      <c r="H13" s="127" t="n"/>
      <c r="I13" s="127" t="n"/>
      <c r="J13" s="127" t="n"/>
    </row>
    <row r="15" ht="24" customHeight="1">
      <c r="B15" s="11" t="n">
        <v>3</v>
      </c>
      <c r="C15" s="12" t="inlineStr">
        <is>
          <t>×を入力する</t>
        </is>
      </c>
      <c r="K15" s="13">
        <f>HYPERLINK("#'×入力'!A1","開く ▶")</f>
        <v/>
      </c>
    </row>
    <row r="16" ht="30" customHeight="1">
      <c r="C16" s="14" t="inlineStr">
        <is>
          <t>予定表と同じ形の表に「×」。日付の上・時刻の左の欄で、1日全部・その時間全部も一度に×にできます。</t>
        </is>
      </c>
      <c r="D16" s="127" t="n"/>
      <c r="E16" s="127" t="n"/>
      <c r="F16" s="127" t="n"/>
      <c r="G16" s="127" t="n"/>
      <c r="H16" s="127" t="n"/>
      <c r="I16" s="127" t="n"/>
      <c r="J16" s="127" t="n"/>
    </row>
    <row r="18" ht="24" customHeight="1">
      <c r="B18" s="11" t="n">
        <v>4</v>
      </c>
      <c r="C18" s="12" t="inlineStr">
        <is>
          <t>自動案を見る（A：詰める／B：散らす）</t>
        </is>
      </c>
      <c r="K18" s="13">
        <f>HYPERLINK("#'自動案A'!A1","案A ▶")</f>
        <v/>
      </c>
      <c r="L18" s="16">
        <f>HYPERLINK("#'自動案B'!A1","案B ▶")</f>
        <v/>
      </c>
    </row>
    <row r="19" ht="30" customHeight="1">
      <c r="C19" s="14" t="inlineStr">
        <is>
          <t>［自動案を作る］を押すと、入れられる枠が少ない家庭から順に組んだ案が2つできます。よいほうで［調整・決定へ写す］を押します。</t>
        </is>
      </c>
      <c r="D19" s="127" t="n"/>
      <c r="E19" s="127" t="n"/>
      <c r="F19" s="127" t="n"/>
      <c r="G19" s="127" t="n"/>
      <c r="H19" s="127" t="n"/>
      <c r="I19" s="127" t="n"/>
      <c r="J19" s="127" t="n"/>
    </row>
    <row r="21" ht="24" customHeight="1">
      <c r="B21" s="11" t="n">
        <v>5</v>
      </c>
      <c r="C21" s="12" t="inlineStr">
        <is>
          <t>調整して決定する</t>
        </is>
      </c>
      <c r="K21" s="13">
        <f>HYPERLINK("#'調整・決定'!A1","開く ▶")</f>
        <v/>
      </c>
    </row>
    <row r="22" ht="30" customHeight="1">
      <c r="C22" s="14" t="inlineStr">
        <is>
          <t>名前をクリックすると入れられる枠に色がつきます。ダブルクリック2回で入れ替え。［ひとつ前に戻す］もあります。</t>
        </is>
      </c>
      <c r="D22" s="127" t="n"/>
      <c r="E22" s="127" t="n"/>
      <c r="F22" s="127" t="n"/>
      <c r="G22" s="127" t="n"/>
      <c r="H22" s="127" t="n"/>
      <c r="I22" s="127" t="n"/>
      <c r="J22" s="127" t="n"/>
    </row>
    <row r="24" ht="24" customHeight="1">
      <c r="B24" s="11" t="n">
        <v>6</v>
      </c>
      <c r="C24" s="12" t="inlineStr">
        <is>
          <t>印刷して兄弟を確認する</t>
        </is>
      </c>
      <c r="K24" s="13">
        <f>HYPERLINK("#'兄弟確認用'!A1","開く ▶")</f>
        <v/>
      </c>
    </row>
    <row r="25" ht="30" customHeight="1">
      <c r="C25" s="14" t="inlineStr">
        <is>
          <t>決めた日程を予定表の形で印刷。兄弟がいる子は色付きで、兄弟のクラスも出ます。</t>
        </is>
      </c>
      <c r="D25" s="127" t="n"/>
      <c r="E25" s="127" t="n"/>
      <c r="F25" s="127" t="n"/>
      <c r="G25" s="127" t="n"/>
      <c r="H25" s="127" t="n"/>
      <c r="I25" s="127" t="n"/>
      <c r="J25" s="127" t="n"/>
    </row>
    <row r="27" ht="24" customHeight="1">
      <c r="B27" s="11" t="n">
        <v>7</v>
      </c>
      <c r="C27" s="12" t="inlineStr">
        <is>
          <t>お手紙を印刷する</t>
        </is>
      </c>
      <c r="K27" s="17">
        <f>HYPERLINK("#'お手紙（夏）'!A1","夏 ▶")</f>
        <v/>
      </c>
      <c r="L27" s="18">
        <f>HYPERLINK("#'お手紙（秋）'!A1","秋 ▶")</f>
        <v/>
      </c>
    </row>
    <row r="28" ht="30" customHeight="1">
      <c r="C28" s="14" t="inlineStr">
        <is>
          <t>保護者へのお知らせ（夏用・秋用）。宛名・日付・学校名・担任名・本文は設定で決めます。6年は「進路面談」になります。</t>
        </is>
      </c>
      <c r="D28" s="127" t="n"/>
      <c r="E28" s="127" t="n"/>
      <c r="F28" s="127" t="n"/>
      <c r="G28" s="127" t="n"/>
      <c r="H28" s="127" t="n"/>
      <c r="I28" s="127" t="n"/>
      <c r="J28" s="127" t="n"/>
    </row>
    <row r="32">
      <c r="B32" s="6" t="inlineStr">
        <is>
          <t>くわしい使い方</t>
        </is>
      </c>
    </row>
    <row r="33">
      <c r="B33" s="19" t="inlineStr">
        <is>
          <t>1. 「設定」シート</t>
        </is>
      </c>
    </row>
    <row r="34">
      <c r="B34" s="20" t="inlineStr">
        <is>
          <t>・面談の日付（上から順に、最大6日）、時間帯（午前と午後に分けるときは2つ）と1枠の長さを入れます（1日最大24枠）。</t>
        </is>
      </c>
    </row>
    <row r="35">
      <c r="B35" s="20" t="inlineStr">
        <is>
          <t>・空けたい日や休憩の時刻には「〇」を選びます。自動案では、ほかに入る枠がないときだけ使われます。</t>
        </is>
      </c>
    </row>
    <row r="36" ht="30" customHeight="1">
      <c r="B36" s="20" t="inlineStr">
        <is>
          <t>・出張や会議などで面談を組まない日・時間・枠は、右の「先生の都合で使えない枠」で「×」を選びます。止めた枠は、×入力・自動案・調整・決定で灰色になり、使われません。</t>
        </is>
      </c>
    </row>
    <row r="37">
      <c r="B37" s="19" t="inlineStr">
        <is>
          <t>2. 「名簿」シート</t>
        </is>
      </c>
    </row>
    <row r="38">
      <c r="B38" s="20" t="inlineStr">
        <is>
          <t>・Excelの名簿から「出席番号」と「名前」をコピーして、「番号」の列のいちばん上のマスに貼り付けます（最大40人）。</t>
        </is>
      </c>
    </row>
    <row r="39">
      <c r="B39" s="20" t="inlineStr">
        <is>
          <t>・他のクラスに兄弟がいる家庭は、「兄弟」の列で「〇」を選び、「兄弟メモ」に兄弟のクラスなどをメモします。</t>
        </is>
      </c>
    </row>
    <row r="40" ht="30" customHeight="1">
      <c r="B40" s="20" t="inlineStr">
        <is>
          <t>・「希望」：早い時刻／遅い時刻／早い日／遅い日 から選べます。自動案で、×のない枠の中からできるだけ希望に合う枠を選びます（希望なので、合わないこともあります）。</t>
        </is>
      </c>
    </row>
    <row r="41" ht="30" customHeight="1">
      <c r="B41" s="20" t="inlineStr">
        <is>
          <t>・「後ろを空ける」：話が長引きそうな家庭は、同じ日のすぐ次の枠を空けます。「必ず空けたい」「出来れば空けたい」から選びます（出来れば空けたいは、空けられないときは詰めて入れます）。日の最後の枠なら空ける必要はありません。</t>
        </is>
      </c>
    </row>
    <row r="42">
      <c r="B42" s="20" t="inlineStr">
        <is>
          <t>・名簿の行は並べ替えないでください（×入力の内容とずれてしまいます）。絞り込み（フィルター）は使えます。</t>
        </is>
      </c>
    </row>
    <row r="43">
      <c r="B43" s="20" t="inlineStr">
        <is>
          <t>・自動案や調整・決定には名前だけが出ます。同じ名前の児童がいるときだけ、「番号 名前」で区別して表示します。</t>
        </is>
      </c>
    </row>
    <row r="44">
      <c r="B44" s="19" t="inlineStr">
        <is>
          <t>3. 「×入力」シート</t>
        </is>
      </c>
    </row>
    <row r="45" ht="30" customHeight="1">
      <c r="B45" s="20" t="inlineStr">
        <is>
          <t>・1人ずつ、予定表と同じ形の表があります。上の「児童を選ぶ」で名前を選ぶか、名簿の「×入力へ」をクリックすると、その人の表に移動します。「次の未入力の子へ」で、×がまだの子に進めます。</t>
        </is>
      </c>
    </row>
    <row r="46" ht="30" customHeight="1">
      <c r="B46" s="20" t="inlineStr">
        <is>
          <t>・都合の悪い枠をダブルクリックすると「×」が付き、もう一度ダブルクリックすると消えます（何か文字が入っていれば×として扱います。Delete キーでも消せます）。</t>
        </is>
      </c>
    </row>
    <row r="47">
      <c r="B47" s="20" t="inlineStr">
        <is>
          <t>・まとめて入れるとき：マウスでなぞって範囲を選び、「×」と打って Ctrl + Enter を押すと、選んだ枠が全部×になります。</t>
        </is>
      </c>
    </row>
    <row r="48" ht="30" customHeight="1">
      <c r="B48" s="20" t="inlineStr">
        <is>
          <t>・その日全部：日付の上の「この日全部」の欄、その時間全部：時刻の左の「この時間全部」の欄を、ダブルクリック（またはプルダウンで「×」）（表のマスはピンクになります）。</t>
        </is>
      </c>
    </row>
    <row r="49">
      <c r="B49" s="20" t="inlineStr">
        <is>
          <t>・×が1つもない家庭は「提出状況」で「×なし（どこでもOK）」、提出していない家庭は「未提出」を選びます。</t>
        </is>
      </c>
    </row>
    <row r="50">
      <c r="B50" s="19" t="inlineStr">
        <is>
          <t>4. 「自動案A」「自動案B」シート</t>
        </is>
      </c>
    </row>
    <row r="51" ht="30" customHeight="1">
      <c r="B51" s="20" t="inlineStr">
        <is>
          <t>・［自動案を作る（A・B両方）］を押すと、自動で組んだ案が2つできます（入れられる枠が少ない家庭から先に決めます。未入力・未提出の家庭は外れます）。集まった分だけで作って大丈夫です。</t>
        </is>
      </c>
    </row>
    <row r="52">
      <c r="B52" s="20" t="inlineStr">
        <is>
          <t>・作ったあとに×・名簿・設定・調整・決定を変えると、表の上が赤くなります。もう一度［自動案を作る］を押してください。</t>
        </is>
      </c>
    </row>
    <row r="53">
      <c r="B53" s="20" t="inlineStr">
        <is>
          <t>・入る枠がない子が出たときは、ほかの子を動かして入れ直します。それでも入らない子は、右の「入る枠がない」に名前が出ます。</t>
        </is>
      </c>
    </row>
    <row r="54">
      <c r="B54" s="20" t="inlineStr">
        <is>
          <t>・自動案A（詰める）：設定の「詰め方」に従って、早い時間や前の日から詰めて組みます。</t>
        </is>
      </c>
    </row>
    <row r="55">
      <c r="B55" s="20" t="inlineStr">
        <is>
          <t>・自動案B（散らす）：日ごとの人数がそろい、面談と面談のあいだがなるべく空くように組みます（希望がある家庭は希望を優先）。</t>
        </is>
      </c>
    </row>
    <row r="56">
      <c r="B56" s="20" t="inlineStr">
        <is>
          <t>・よいほうのシートで［この案を調整・決定へ写す］を押すと、「調整・決定」の表に入ります。</t>
        </is>
      </c>
    </row>
    <row r="57">
      <c r="B57" s="20" t="inlineStr">
        <is>
          <t>・「調整・決定」シートですでに決めた人はそのまま残り、残りの人だけで案が作られます。やり直したいときは調整・決定の表を消します。</t>
        </is>
      </c>
    </row>
    <row r="58">
      <c r="B58" s="19" t="inlineStr">
        <is>
          <t>5. 「調整・決定」シート</t>
        </is>
      </c>
    </row>
    <row r="59">
      <c r="B59" s="20" t="inlineStr">
        <is>
          <t>・各枠のセルで、プルダウンから児童を選びます。</t>
        </is>
      </c>
    </row>
    <row r="60" ht="30" customHeight="1">
      <c r="B60" s="20" t="inlineStr">
        <is>
          <t>・表の名前をクリック（または右の「児童を選ぶ」で選ぶ）と、表の色が変わります：緑＝入れられる空き枠／黄＝入れられる（ほかの人がいる）／ピンク＝×の枠／青＝今いる枠。</t>
        </is>
      </c>
    </row>
    <row r="61" ht="30" customHeight="1">
      <c r="B61" s="20" t="inlineStr">
        <is>
          <t>・入れ替え：1人目の名前をダブルクリック（オレンジの枠になる）→ 入れ替える相手をダブルクリック。空いたマスをダブルクリックすると、そこへ移動します。やめるときは、同じマスをもう一度ダブルクリック。</t>
        </is>
      </c>
    </row>
    <row r="62" ht="30" customHeight="1">
      <c r="B62" s="20" t="inlineStr">
        <is>
          <t>・［ひとつ前に戻す］で、写す・入れ替え・書きかえの前に戻せます（10回まで）。マクロのあとは Ctrl + Z が効かないので、こちらを使ってください。</t>
        </is>
      </c>
    </row>
    <row r="63">
      <c r="B63" s="20" t="inlineStr">
        <is>
          <t>・赤い枠は「×の枠に入れてしまった」、オレンジの枠は「同じ人が2か所に入っている」です。</t>
        </is>
      </c>
    </row>
    <row r="64">
      <c r="B64" s="20" t="inlineStr">
        <is>
          <t>・青い斜線の枠は「前の人の後ろを空ける枠」です。紫の枠は、空けるはずの枠に人が入っています。</t>
        </is>
      </c>
    </row>
    <row r="65">
      <c r="B65" s="20" t="inlineStr">
        <is>
          <t>・下の「候補」の表には、その枠に入れられる、まだ決まっていない児童が表示されます。「1人」の枠は先に決めると楽です。</t>
        </is>
      </c>
    </row>
    <row r="66">
      <c r="B66" s="19" t="inlineStr">
        <is>
          <t>6. 「兄弟確認用」シート</t>
        </is>
      </c>
    </row>
    <row r="67" ht="30" customHeight="1">
      <c r="B67" s="20" t="inlineStr">
        <is>
          <t>・調整・決定で決めた日程が、予定表と同じ形で出ます。兄弟がいる子は色付きで、名前の下に兄弟のクラスが出ます（名簿の「兄弟メモ」にはクラス名だけを書きます。例：2年1組）。</t>
        </is>
      </c>
    </row>
    <row r="68">
      <c r="B68" s="20" t="inlineStr">
        <is>
          <t>・兄弟の担任から面談の日時を聞いたら、名簿の「兄弟の日付」「兄弟の時刻」を選びます。自動案では、できるだけ兄弟のすぐ前かすぐ後に入れます。</t>
        </is>
      </c>
    </row>
    <row r="69">
      <c r="B69" s="20" t="inlineStr">
        <is>
          <t>・表の上の黄色の欄には、「組んでみました。都合が悪ければお知らせください」など、自由に書けます（書いたことも印刷されます）。</t>
        </is>
      </c>
    </row>
    <row r="70" ht="30" customHeight="1">
      <c r="B70" s="20" t="inlineStr">
        <is>
          <t>・保護者へのお手紙は「お手紙（夏）」「お手紙（秋）」シートで印刷できます（宛名・日付・本文などは設定のいちばん下で決めます）。［印刷プレビュー］［PDFで保存］は、1日の枠が13以上なら夏の形、12以下なら秋の形を自動で選びます。</t>
        </is>
      </c>
    </row>
    <row r="71">
      <c r="B71" s="20" t="inlineStr">
        <is>
          <t>・［PDFで保存］は、このファイルと同じ場所に「6年1組_進路面談のお知らせ.pdf」のような名前で保存します。</t>
        </is>
      </c>
    </row>
    <row r="72">
      <c r="B72" s="19" t="inlineStr">
        <is>
          <t>7. 結果</t>
        </is>
      </c>
    </row>
    <row r="73">
      <c r="B73" s="20" t="inlineStr">
        <is>
          <t>・「名簿」シートの右側に、決まった日時・注意（×の枠／2か所／後ろが空いていない／使えない枠／未決定）・自動案が表示されます。</t>
        </is>
      </c>
    </row>
    <row r="74">
      <c r="B74" s="20" t="inlineStr">
        <is>
          <t>・CSVが必要なときは「名簿」シートを開いて［ファイル］→［名前を付けて保存］→ 種類を「CSV UTF-8」にします。</t>
        </is>
      </c>
    </row>
    <row r="75">
      <c r="B75" s="20" t="inlineStr">
        <is>
          <t>・兄弟ありの家庭だけ見たいときは、名簿の「兄弟」の列でフィルターをかけます。兄弟が〇の子がいると、兄弟①〜③の列は自動で開きます。</t>
        </is>
      </c>
    </row>
    <row r="76">
      <c r="B76" s="20" t="inlineStr"/>
    </row>
    <row r="77">
      <c r="B77" s="21" t="inlineStr">
        <is>
          <t>※ 「calcA」「calcB」「calcC」は計算用の隠しシートです。さわらないでください。</t>
        </is>
      </c>
    </row>
  </sheetData>
  <mergeCells count="88">
    <mergeCell ref="B42:M42"/>
    <mergeCell ref="B12:B13"/>
    <mergeCell ref="B60:M60"/>
    <mergeCell ref="B44:M44"/>
    <mergeCell ref="B53:M53"/>
    <mergeCell ref="D6:E6"/>
    <mergeCell ref="B34:M34"/>
    <mergeCell ref="K27:K28"/>
    <mergeCell ref="B37:M37"/>
    <mergeCell ref="C25:J25"/>
    <mergeCell ref="L5:M5"/>
    <mergeCell ref="B15:B16"/>
    <mergeCell ref="B54:M54"/>
    <mergeCell ref="B72:M72"/>
    <mergeCell ref="C13:J13"/>
    <mergeCell ref="B56:M56"/>
    <mergeCell ref="B43:M43"/>
    <mergeCell ref="B27:B28"/>
    <mergeCell ref="C15:J15"/>
    <mergeCell ref="C24:J24"/>
    <mergeCell ref="F6:G6"/>
    <mergeCell ref="B57:M57"/>
    <mergeCell ref="L18:L19"/>
    <mergeCell ref="F5:G5"/>
    <mergeCell ref="C10:J10"/>
    <mergeCell ref="C16:J16"/>
    <mergeCell ref="B74:M74"/>
    <mergeCell ref="B68:M68"/>
    <mergeCell ref="C9:J9"/>
    <mergeCell ref="B76:M76"/>
    <mergeCell ref="B45:M45"/>
    <mergeCell ref="B75:M75"/>
    <mergeCell ref="K21:L22"/>
    <mergeCell ref="B6:C6"/>
    <mergeCell ref="B47:M47"/>
    <mergeCell ref="B62:M62"/>
    <mergeCell ref="L6:M6"/>
    <mergeCell ref="B59:M59"/>
    <mergeCell ref="B46:M46"/>
    <mergeCell ref="H5:I5"/>
    <mergeCell ref="C28:J28"/>
    <mergeCell ref="B39:M39"/>
    <mergeCell ref="B70:M70"/>
    <mergeCell ref="B48:M48"/>
    <mergeCell ref="K12:L13"/>
    <mergeCell ref="B18:B19"/>
    <mergeCell ref="B73:M73"/>
    <mergeCell ref="B65:M65"/>
    <mergeCell ref="B9:B10"/>
    <mergeCell ref="K15:L16"/>
    <mergeCell ref="K24:L25"/>
    <mergeCell ref="B63:M63"/>
    <mergeCell ref="B36:M36"/>
    <mergeCell ref="B50:M50"/>
    <mergeCell ref="C27:J27"/>
    <mergeCell ref="B5:C5"/>
    <mergeCell ref="D5:E5"/>
    <mergeCell ref="C19:J19"/>
    <mergeCell ref="B21:B22"/>
    <mergeCell ref="K18:K19"/>
    <mergeCell ref="B77:M77"/>
    <mergeCell ref="K1:M1"/>
    <mergeCell ref="J5:K5"/>
    <mergeCell ref="B67:M67"/>
    <mergeCell ref="B61:M61"/>
    <mergeCell ref="B69:M69"/>
    <mergeCell ref="B38:M38"/>
    <mergeCell ref="H6:I6"/>
    <mergeCell ref="J6:K6"/>
    <mergeCell ref="B40:M40"/>
    <mergeCell ref="C22:J22"/>
    <mergeCell ref="B49:M49"/>
    <mergeCell ref="B24:B25"/>
    <mergeCell ref="B55:M55"/>
    <mergeCell ref="K9:L10"/>
    <mergeCell ref="C12:J12"/>
    <mergeCell ref="B64:M64"/>
    <mergeCell ref="B33:M33"/>
    <mergeCell ref="C21:J21"/>
    <mergeCell ref="B51:M51"/>
    <mergeCell ref="B41:M41"/>
    <mergeCell ref="B35:M35"/>
    <mergeCell ref="L27:L28"/>
    <mergeCell ref="B71:M71"/>
    <mergeCell ref="B66:M66"/>
    <mergeCell ref="B58:M58"/>
    <mergeCell ref="B52:M52"/>
    <mergeCell ref="C18:J18"/>
  </mergeCells>
  <conditionalFormatting sqref="F6">
    <cfRule type="expression" priority="1" dxfId="0">
      <formula>F6&gt;0</formula>
    </cfRule>
  </conditionalFormatting>
  <conditionalFormatting sqref="H6">
    <cfRule type="expression" priority="2" dxfId="0">
      <formula>H6&gt;0</formula>
    </cfRule>
  </conditionalFormatting>
  <conditionalFormatting sqref="L6">
    <cfRule type="expression" priority="3" dxfId="1">
      <formula>L6&gt;0</formula>
    </cfRule>
  </conditionalFormatting>
  <pageMargins left="0.75" right="0.75" top="1" bottom="1" header="0.5" footer="0.5"/>
</worksheet>
</file>

<file path=xl/worksheets/sheet2.xml><?xml version="1.0" encoding="utf-8"?>
<worksheet xmlns="http://schemas.openxmlformats.org/spreadsheetml/2006/main">
  <sheetPr>
    <tabColor rgb="007A8699"/>
    <outlinePr summaryBelow="1" summaryRight="1"/>
    <pageSetUpPr/>
  </sheetPr>
  <dimension ref="A1:V49"/>
  <sheetViews>
    <sheetView showGridLines="0" showRowColHeaders="0" workbookViewId="0">
      <selection activeCell="A1" sqref="A1"/>
    </sheetView>
  </sheetViews>
  <sheetFormatPr baseColWidth="8" defaultRowHeight="15"/>
  <cols>
    <col width="25" customWidth="1" min="1" max="1"/>
    <col width="10" customWidth="1" min="2" max="2"/>
    <col width="4" customWidth="1" min="3" max="3"/>
    <col width="10" customWidth="1" min="4" max="4"/>
    <col width="18" customWidth="1" min="5" max="5"/>
    <col width="4" customWidth="1" min="6" max="6"/>
    <col width="10" customWidth="1" min="7" max="7"/>
    <col width="12" customWidth="1" min="8" max="8"/>
    <col width="10" customWidth="1" min="9" max="9"/>
    <col width="3" customWidth="1" min="10" max="10"/>
    <col width="11" customWidth="1" min="11" max="11"/>
    <col width="9" customWidth="1" min="12" max="12"/>
    <col width="14" customWidth="1" min="13" max="13"/>
    <col width="14" customWidth="1" min="14" max="14"/>
    <col width="14" customWidth="1" min="15" max="15"/>
    <col width="14" customWidth="1" min="16" max="16"/>
    <col width="14" customWidth="1" min="17" max="17"/>
    <col width="14" customWidth="1" min="18" max="18"/>
  </cols>
  <sheetData>
    <row r="1" ht="44" customHeight="1">
      <c r="A1" s="1" t="inlineStr">
        <is>
          <t>設定</t>
        </is>
      </c>
      <c r="B1" s="2" t="n"/>
      <c r="C1" s="2" t="n"/>
      <c r="D1" s="2" t="n"/>
      <c r="E1" s="22">
        <f>HYPERLINK("#'ホーム'!A1","ホーム")</f>
        <v/>
      </c>
      <c r="F1" s="23">
        <f>HYPERLINK("#'設定'!A1","① 設定")</f>
        <v/>
      </c>
      <c r="G1" s="24" t="n"/>
      <c r="H1" s="22">
        <f>HYPERLINK("#'名簿'!A1","② 名簿")</f>
        <v/>
      </c>
      <c r="I1" s="22">
        <f>HYPERLINK("#'×入力'!A1","③ ×入力")</f>
        <v/>
      </c>
      <c r="J1" s="24" t="n"/>
      <c r="K1" s="22">
        <f>HYPERLINK("#'自動案A'!A1","④ 自動案A")</f>
        <v/>
      </c>
      <c r="L1" s="24" t="n"/>
      <c r="M1" s="22">
        <f>HYPERLINK("#'自動案B'!A1","④ 自動案B")</f>
        <v/>
      </c>
      <c r="N1" s="22">
        <f>HYPERLINK("#'調整・決定'!A1","⑤ 調整・決定")</f>
        <v/>
      </c>
      <c r="O1" s="22">
        <f>HYPERLINK("#'兄弟確認用'!A1","⑥ 兄弟確認")</f>
        <v/>
      </c>
      <c r="P1" s="22">
        <f>HYPERLINK("#'お手紙（夏）'!A1","⑦ お手紙 夏")</f>
        <v/>
      </c>
      <c r="Q1" s="22">
        <f>HYPERLINK("#'お手紙（秋）'!A1","⑧ お手紙 秋")</f>
        <v/>
      </c>
      <c r="R1" s="2" t="n"/>
      <c r="S1" s="2" t="n"/>
      <c r="T1" s="2" t="n"/>
      <c r="U1" s="2" t="n"/>
      <c r="V1" s="2" t="n"/>
    </row>
    <row r="2" ht="24" customHeight="1">
      <c r="A2" s="4" t="inlineStr">
        <is>
          <t>面談の日付と時間枠を決めます。黄色のマスを入力してください。</t>
        </is>
      </c>
      <c r="B2" s="5" t="n"/>
      <c r="C2" s="5" t="n"/>
      <c r="D2" s="5" t="n"/>
      <c r="E2" s="5" t="n"/>
      <c r="F2" s="5" t="n"/>
      <c r="G2" s="5" t="n"/>
      <c r="H2" s="5" t="n"/>
      <c r="I2" s="5" t="n"/>
      <c r="J2" s="5" t="n"/>
      <c r="K2" s="5" t="n"/>
      <c r="L2" s="5" t="n"/>
      <c r="M2" s="5" t="n"/>
      <c r="N2" s="5" t="n"/>
      <c r="O2" s="5" t="n"/>
      <c r="P2" s="5" t="n"/>
      <c r="Q2" s="5" t="n"/>
      <c r="R2" s="5" t="n"/>
      <c r="S2" s="5" t="n"/>
      <c r="T2" s="5" t="n"/>
      <c r="U2" s="5" t="n"/>
      <c r="V2" s="5" t="n"/>
    </row>
    <row r="3">
      <c r="A3" s="25" t="inlineStr">
        <is>
          <t>時間帯1</t>
        </is>
      </c>
      <c r="B3" s="26" t="n">
        <v>0.5625</v>
      </c>
      <c r="C3" s="27" t="inlineStr">
        <is>
          <t>〜</t>
        </is>
      </c>
      <c r="D3" s="26" t="n">
        <v>0.6458333333333334</v>
      </c>
      <c r="E3" s="28">
        <f>IF(OR(NOT(ISNUMBER(B3)),NOT(ISNUMBER(D3))),"← 始まりと終わりの時刻を入れてください",IF(D3&lt;B3,"← 終わりは始まりより後の時刻にしてください",""))</f>
        <v/>
      </c>
    </row>
    <row r="4">
      <c r="A4" s="25" t="inlineStr">
        <is>
          <t>時間帯2（なければ空欄）</t>
        </is>
      </c>
      <c r="B4" s="26" t="n"/>
      <c r="C4" s="27" t="inlineStr">
        <is>
          <t>〜</t>
        </is>
      </c>
      <c r="D4" s="26" t="n"/>
      <c r="E4" s="28">
        <f>IF(AND(B4="",D4=""),"",IF(OR(NOT(ISNUMBER(B4)),NOT(ISNUMBER(D4))),"← 始まりと終わりの両方を入れてください",IF(D4&lt;B4,"← 終わりは始まりより後の時刻にしてください",IF(AND(ISNUMBER(D3),B4&lt;=D3),"← 時間帯1より後の時刻にしてください",""))))</f>
        <v/>
      </c>
    </row>
    <row r="5">
      <c r="A5" s="25" t="inlineStr">
        <is>
          <t>1枠の長さ（分）</t>
        </is>
      </c>
      <c r="B5" s="29" t="n">
        <v>15</v>
      </c>
      <c r="E5" s="28">
        <f>IF(AND(ISNUMBER(B5),B5&gt;0),"","← 5〜120の数字を入れてください")</f>
        <v/>
      </c>
    </row>
    <row r="6">
      <c r="A6" s="25" t="inlineStr">
        <is>
          <t>1日の枠の数</t>
        </is>
      </c>
      <c r="B6" s="27">
        <f>MIN(24,calcA!$A$3+calcA!$A$4)</f>
        <v/>
      </c>
      <c r="D6" s="30" t="inlineStr">
        <is>
          <t>（最大24枠）</t>
        </is>
      </c>
      <c r="E6" s="28">
        <f>IF(calcA!$A$3+calcA!$A$4&gt;24,"← 枠が24をこえています。こえた分は使いません","")</f>
        <v/>
      </c>
    </row>
    <row r="7">
      <c r="K7" s="6" t="inlineStr">
        <is>
          <t>先生の都合で使えない枠（出張・会議など）</t>
        </is>
      </c>
    </row>
    <row r="8">
      <c r="A8" s="25" t="inlineStr">
        <is>
          <t>自動案の詰め方</t>
        </is>
      </c>
      <c r="B8" s="31" t="inlineStr">
        <is>
          <t>早い時間から（各日の最後を空ける）</t>
        </is>
      </c>
      <c r="C8" s="32" t="n"/>
      <c r="D8" s="32" t="n"/>
      <c r="E8" s="33" t="n"/>
      <c r="K8" s="30" t="inlineStr">
        <is>
          <t>「×」を選んだ日・時間・枠は、自動案にも調整・決定にも使いません。</t>
        </is>
      </c>
    </row>
    <row r="9">
      <c r="K9" s="34" t="inlineStr">
        <is>
          <t>この日は組まない ▶</t>
        </is>
      </c>
      <c r="M9" s="35" t="n"/>
      <c r="N9" s="35" t="n"/>
      <c r="O9" s="35" t="n"/>
      <c r="P9" s="35" t="n"/>
      <c r="Q9" s="35" t="n"/>
      <c r="R9" s="35" t="n"/>
    </row>
    <row r="10" ht="44" customHeight="1">
      <c r="B10" s="36" t="inlineStr">
        <is>
          <t>日付</t>
        </is>
      </c>
      <c r="C10" s="36" t="inlineStr">
        <is>
          <t>曜日</t>
        </is>
      </c>
      <c r="D10" s="36" t="inlineStr">
        <is>
          <t>なるべく空ける</t>
        </is>
      </c>
      <c r="E10" s="36" t="inlineStr">
        <is>
          <t>表示</t>
        </is>
      </c>
      <c r="G10" s="36" t="inlineStr">
        <is>
          <t>時刻</t>
        </is>
      </c>
      <c r="H10" s="36" t="inlineStr">
        <is>
          <t>休憩（なるべく空ける）</t>
        </is>
      </c>
      <c r="I10" s="36" t="inlineStr">
        <is>
          <t>表示</t>
        </is>
      </c>
      <c r="K10" s="37" t="inlineStr">
        <is>
          <t>この時間は
組まない ▼</t>
        </is>
      </c>
      <c r="L10" s="38" t="inlineStr"/>
      <c r="M10" s="39">
        <f>'設定'!$E$11</f>
        <v/>
      </c>
      <c r="N10" s="39">
        <f>'設定'!$E$12</f>
        <v/>
      </c>
      <c r="O10" s="39">
        <f>'設定'!$E$13</f>
        <v/>
      </c>
      <c r="P10" s="39">
        <f>'設定'!$E$14</f>
        <v/>
      </c>
      <c r="Q10" s="39">
        <f>'設定'!$E$15</f>
        <v/>
      </c>
      <c r="R10" s="39">
        <f>'設定'!$E$16</f>
        <v/>
      </c>
    </row>
    <row r="11">
      <c r="A11" s="27" t="inlineStr">
        <is>
          <t>1日目</t>
        </is>
      </c>
      <c r="B11" s="128" t="n">
        <v>46350</v>
      </c>
      <c r="C11" s="41">
        <f>IF(B11="","",CHOOSE(WEEKDAY(B11),"日","月","火","水","木","金","土"))</f>
        <v/>
      </c>
      <c r="D11" s="42" t="n"/>
      <c r="E11" s="43">
        <f>IF(B11="","",MONTH(B11)&amp;"月"&amp;DAY(B11)&amp;"日（"&amp;C11&amp;"）")</f>
        <v/>
      </c>
      <c r="F11" s="44" t="n">
        <v>1</v>
      </c>
      <c r="G11" s="45">
        <f>IF(F11&lt;=MIN(calcA!$A$3,24),$B$3+(F11-1)*$B$5/1440,IF(F11&lt;=$B$6,$B$4+(F11-calcA!$A$3-1)*$B$5/1440,""))</f>
        <v/>
      </c>
      <c r="H11" s="42" t="n"/>
      <c r="I11" s="41">
        <f>IF(G11="","",TEXT(G11,"h:mm")&amp;"〜")</f>
        <v/>
      </c>
      <c r="K11" s="35" t="n"/>
      <c r="L11" s="46">
        <f>$I$11</f>
        <v/>
      </c>
      <c r="M11" s="47" t="n"/>
      <c r="N11" s="47" t="n"/>
      <c r="O11" s="47" t="n"/>
      <c r="P11" s="47" t="n"/>
      <c r="Q11" s="47" t="n"/>
      <c r="R11" s="47" t="n"/>
    </row>
    <row r="12">
      <c r="A12" s="27" t="inlineStr">
        <is>
          <t>2日目</t>
        </is>
      </c>
      <c r="B12" s="128" t="n">
        <v>46351</v>
      </c>
      <c r="C12" s="41">
        <f>IF(B12="","",CHOOSE(WEEKDAY(B12),"日","月","火","水","木","金","土"))</f>
        <v/>
      </c>
      <c r="D12" s="42" t="n"/>
      <c r="E12" s="43">
        <f>IF(B12="","",MONTH(B12)&amp;"月"&amp;DAY(B12)&amp;"日（"&amp;C12&amp;"）")</f>
        <v/>
      </c>
      <c r="F12" s="44" t="n">
        <v>2</v>
      </c>
      <c r="G12" s="45">
        <f>IF(F12&lt;=MIN(calcA!$A$3,24),$B$3+(F12-1)*$B$5/1440,IF(F12&lt;=$B$6,$B$4+(F12-calcA!$A$3-1)*$B$5/1440,""))</f>
        <v/>
      </c>
      <c r="H12" s="42" t="n"/>
      <c r="I12" s="41">
        <f>IF(G12="","",TEXT(G12,"h:mm")&amp;"〜")</f>
        <v/>
      </c>
      <c r="K12" s="35" t="n"/>
      <c r="L12" s="46">
        <f>$I$12</f>
        <v/>
      </c>
      <c r="M12" s="47" t="n"/>
      <c r="N12" s="47" t="n"/>
      <c r="O12" s="47" t="n"/>
      <c r="P12" s="47" t="n"/>
      <c r="Q12" s="47" t="n"/>
      <c r="R12" s="47" t="n"/>
    </row>
    <row r="13">
      <c r="A13" s="27" t="inlineStr">
        <is>
          <t>3日目</t>
        </is>
      </c>
      <c r="B13" s="128" t="n">
        <v>46352</v>
      </c>
      <c r="C13" s="41">
        <f>IF(B13="","",CHOOSE(WEEKDAY(B13),"日","月","火","水","木","金","土"))</f>
        <v/>
      </c>
      <c r="D13" s="42" t="n"/>
      <c r="E13" s="43">
        <f>IF(B13="","",MONTH(B13)&amp;"月"&amp;DAY(B13)&amp;"日（"&amp;C13&amp;"）")</f>
        <v/>
      </c>
      <c r="F13" s="44" t="n">
        <v>3</v>
      </c>
      <c r="G13" s="45">
        <f>IF(F13&lt;=MIN(calcA!$A$3,24),$B$3+(F13-1)*$B$5/1440,IF(F13&lt;=$B$6,$B$4+(F13-calcA!$A$3-1)*$B$5/1440,""))</f>
        <v/>
      </c>
      <c r="H13" s="42" t="n"/>
      <c r="I13" s="41">
        <f>IF(G13="","",TEXT(G13,"h:mm")&amp;"〜")</f>
        <v/>
      </c>
      <c r="K13" s="35" t="n"/>
      <c r="L13" s="46">
        <f>$I$13</f>
        <v/>
      </c>
      <c r="M13" s="47" t="n"/>
      <c r="N13" s="47" t="n"/>
      <c r="O13" s="47" t="n"/>
      <c r="P13" s="47" t="n"/>
      <c r="Q13" s="47" t="n"/>
      <c r="R13" s="47" t="n"/>
    </row>
    <row r="14">
      <c r="A14" s="27" t="inlineStr">
        <is>
          <t>4日目</t>
        </is>
      </c>
      <c r="B14" s="128" t="n">
        <v>46353</v>
      </c>
      <c r="C14" s="41">
        <f>IF(B14="","",CHOOSE(WEEKDAY(B14),"日","月","火","水","木","金","土"))</f>
        <v/>
      </c>
      <c r="D14" s="42" t="n"/>
      <c r="E14" s="43">
        <f>IF(B14="","",MONTH(B14)&amp;"月"&amp;DAY(B14)&amp;"日（"&amp;C14&amp;"）")</f>
        <v/>
      </c>
      <c r="F14" s="44" t="n">
        <v>4</v>
      </c>
      <c r="G14" s="45">
        <f>IF(F14&lt;=MIN(calcA!$A$3,24),$B$3+(F14-1)*$B$5/1440,IF(F14&lt;=$B$6,$B$4+(F14-calcA!$A$3-1)*$B$5/1440,""))</f>
        <v/>
      </c>
      <c r="H14" s="42" t="n"/>
      <c r="I14" s="41">
        <f>IF(G14="","",TEXT(G14,"h:mm")&amp;"〜")</f>
        <v/>
      </c>
      <c r="K14" s="35" t="n"/>
      <c r="L14" s="46">
        <f>$I$14</f>
        <v/>
      </c>
      <c r="M14" s="47" t="n"/>
      <c r="N14" s="47" t="n"/>
      <c r="O14" s="47" t="n"/>
      <c r="P14" s="47" t="n"/>
      <c r="Q14" s="47" t="n"/>
      <c r="R14" s="47" t="n"/>
    </row>
    <row r="15">
      <c r="A15" s="27" t="inlineStr">
        <is>
          <t>5日目</t>
        </is>
      </c>
      <c r="B15" s="128" t="n">
        <v>46356</v>
      </c>
      <c r="C15" s="41">
        <f>IF(B15="","",CHOOSE(WEEKDAY(B15),"日","月","火","水","木","金","土"))</f>
        <v/>
      </c>
      <c r="D15" s="42" t="n"/>
      <c r="E15" s="43">
        <f>IF(B15="","",MONTH(B15)&amp;"月"&amp;DAY(B15)&amp;"日（"&amp;C15&amp;"）")</f>
        <v/>
      </c>
      <c r="F15" s="44" t="n">
        <v>5</v>
      </c>
      <c r="G15" s="45">
        <f>IF(F15&lt;=MIN(calcA!$A$3,24),$B$3+(F15-1)*$B$5/1440,IF(F15&lt;=$B$6,$B$4+(F15-calcA!$A$3-1)*$B$5/1440,""))</f>
        <v/>
      </c>
      <c r="H15" s="42" t="n"/>
      <c r="I15" s="41">
        <f>IF(G15="","",TEXT(G15,"h:mm")&amp;"〜")</f>
        <v/>
      </c>
      <c r="K15" s="35" t="n"/>
      <c r="L15" s="46">
        <f>$I$15</f>
        <v/>
      </c>
      <c r="M15" s="47" t="n"/>
      <c r="N15" s="47" t="n"/>
      <c r="O15" s="47" t="n"/>
      <c r="P15" s="47" t="n"/>
      <c r="Q15" s="47" t="n"/>
      <c r="R15" s="47" t="n"/>
    </row>
    <row r="16">
      <c r="A16" s="27" t="inlineStr">
        <is>
          <t>6日目</t>
        </is>
      </c>
      <c r="B16" s="128" t="n"/>
      <c r="C16" s="41">
        <f>IF(B16="","",CHOOSE(WEEKDAY(B16),"日","月","火","水","木","金","土"))</f>
        <v/>
      </c>
      <c r="D16" s="42" t="n"/>
      <c r="E16" s="43">
        <f>IF(B16="","",MONTH(B16)&amp;"月"&amp;DAY(B16)&amp;"日（"&amp;C16&amp;"）")</f>
        <v/>
      </c>
      <c r="F16" s="44" t="n">
        <v>6</v>
      </c>
      <c r="G16" s="45">
        <f>IF(F16&lt;=MIN(calcA!$A$3,24),$B$3+(F16-1)*$B$5/1440,IF(F16&lt;=$B$6,$B$4+(F16-calcA!$A$3-1)*$B$5/1440,""))</f>
        <v/>
      </c>
      <c r="H16" s="42" t="n"/>
      <c r="I16" s="41">
        <f>IF(G16="","",TEXT(G16,"h:mm")&amp;"〜")</f>
        <v/>
      </c>
      <c r="K16" s="35" t="n"/>
      <c r="L16" s="46">
        <f>$I$16</f>
        <v/>
      </c>
      <c r="M16" s="47" t="n"/>
      <c r="N16" s="47" t="n"/>
      <c r="O16" s="47" t="n"/>
      <c r="P16" s="47" t="n"/>
      <c r="Q16" s="47" t="n"/>
      <c r="R16" s="47" t="n"/>
    </row>
    <row r="17">
      <c r="F17" s="44" t="n">
        <v>7</v>
      </c>
      <c r="G17" s="45">
        <f>IF(F17&lt;=MIN(calcA!$A$3,24),$B$3+(F17-1)*$B$5/1440,IF(F17&lt;=$B$6,$B$4+(F17-calcA!$A$3-1)*$B$5/1440,""))</f>
        <v/>
      </c>
      <c r="H17" s="42" t="n"/>
      <c r="I17" s="41">
        <f>IF(G17="","",TEXT(G17,"h:mm")&amp;"〜")</f>
        <v/>
      </c>
      <c r="K17" s="35" t="n"/>
      <c r="L17" s="46">
        <f>$I$17</f>
        <v/>
      </c>
      <c r="M17" s="47" t="n"/>
      <c r="N17" s="47" t="n"/>
      <c r="O17" s="47" t="n"/>
      <c r="P17" s="47" t="inlineStr">
        <is>
          <t>×</t>
        </is>
      </c>
      <c r="Q17" s="47" t="n"/>
      <c r="R17" s="47" t="n"/>
    </row>
    <row r="18">
      <c r="F18" s="44" t="n">
        <v>8</v>
      </c>
      <c r="G18" s="45">
        <f>IF(F18&lt;=MIN(calcA!$A$3,24),$B$3+(F18-1)*$B$5/1440,IF(F18&lt;=$B$6,$B$4+(F18-calcA!$A$3-1)*$B$5/1440,""))</f>
        <v/>
      </c>
      <c r="H18" s="42" t="n"/>
      <c r="I18" s="41">
        <f>IF(G18="","",TEXT(G18,"h:mm")&amp;"〜")</f>
        <v/>
      </c>
      <c r="K18" s="35" t="n"/>
      <c r="L18" s="46">
        <f>$I$18</f>
        <v/>
      </c>
      <c r="M18" s="47" t="n"/>
      <c r="N18" s="47" t="n"/>
      <c r="O18" s="47" t="n"/>
      <c r="P18" s="47" t="inlineStr">
        <is>
          <t>×</t>
        </is>
      </c>
      <c r="Q18" s="47" t="n"/>
      <c r="R18" s="47" t="n"/>
    </row>
    <row r="19">
      <c r="F19" s="44" t="n">
        <v>9</v>
      </c>
      <c r="G19" s="45">
        <f>IF(F19&lt;=MIN(calcA!$A$3,24),$B$3+(F19-1)*$B$5/1440,IF(F19&lt;=$B$6,$B$4+(F19-calcA!$A$3-1)*$B$5/1440,""))</f>
        <v/>
      </c>
      <c r="H19" s="42" t="n"/>
      <c r="I19" s="41">
        <f>IF(G19="","",TEXT(G19,"h:mm")&amp;"〜")</f>
        <v/>
      </c>
      <c r="K19" s="35" t="n"/>
      <c r="L19" s="46">
        <f>$I$19</f>
        <v/>
      </c>
      <c r="M19" s="47" t="n"/>
      <c r="N19" s="47" t="n"/>
      <c r="O19" s="47" t="n"/>
      <c r="P19" s="47" t="inlineStr">
        <is>
          <t>×</t>
        </is>
      </c>
      <c r="Q19" s="47" t="n"/>
      <c r="R19" s="47" t="n"/>
    </row>
    <row r="20">
      <c r="F20" s="44" t="n">
        <v>10</v>
      </c>
      <c r="G20" s="45">
        <f>IF(F20&lt;=MIN(calcA!$A$3,24),$B$3+(F20-1)*$B$5/1440,IF(F20&lt;=$B$6,$B$4+(F20-calcA!$A$3-1)*$B$5/1440,""))</f>
        <v/>
      </c>
      <c r="H20" s="42" t="n"/>
      <c r="I20" s="41">
        <f>IF(G20="","",TEXT(G20,"h:mm")&amp;"〜")</f>
        <v/>
      </c>
      <c r="K20" s="35" t="n"/>
      <c r="L20" s="46">
        <f>$I$20</f>
        <v/>
      </c>
      <c r="M20" s="47" t="n"/>
      <c r="N20" s="47" t="n"/>
      <c r="O20" s="47" t="n"/>
      <c r="P20" s="47" t="n"/>
      <c r="Q20" s="47" t="n"/>
      <c r="R20" s="47" t="n"/>
    </row>
    <row r="21">
      <c r="F21" s="44" t="n">
        <v>11</v>
      </c>
      <c r="G21" s="45">
        <f>IF(F21&lt;=MIN(calcA!$A$3,24),$B$3+(F21-1)*$B$5/1440,IF(F21&lt;=$B$6,$B$4+(F21-calcA!$A$3-1)*$B$5/1440,""))</f>
        <v/>
      </c>
      <c r="H21" s="42" t="n"/>
      <c r="I21" s="41">
        <f>IF(G21="","",TEXT(G21,"h:mm")&amp;"〜")</f>
        <v/>
      </c>
      <c r="K21" s="35" t="n"/>
      <c r="L21" s="46">
        <f>$I$21</f>
        <v/>
      </c>
      <c r="M21" s="47" t="n"/>
      <c r="N21" s="47" t="n"/>
      <c r="O21" s="47" t="n"/>
      <c r="P21" s="47" t="n"/>
      <c r="Q21" s="47" t="n"/>
      <c r="R21" s="47" t="n"/>
    </row>
    <row r="22">
      <c r="A22" s="48" t="inlineStr">
        <is>
          <t>※ 日付は上から詰めて入れてください。曜日・表示・時刻は自動で出ます。午前と午後に分けるときは、時間帯2も入れます（昼休みは表に出ません）。</t>
        </is>
      </c>
      <c r="F22" s="44" t="n">
        <v>12</v>
      </c>
      <c r="G22" s="45">
        <f>IF(F22&lt;=MIN(calcA!$A$3,24),$B$3+(F22-1)*$B$5/1440,IF(F22&lt;=$B$6,$B$4+(F22-calcA!$A$3-1)*$B$5/1440,""))</f>
        <v/>
      </c>
      <c r="H22" s="42" t="n"/>
      <c r="I22" s="41">
        <f>IF(G22="","",TEXT(G22,"h:mm")&amp;"〜")</f>
        <v/>
      </c>
      <c r="K22" s="35" t="n"/>
      <c r="L22" s="46">
        <f>$I$22</f>
        <v/>
      </c>
      <c r="M22" s="47" t="n"/>
      <c r="N22" s="47" t="n"/>
      <c r="O22" s="47" t="n"/>
      <c r="P22" s="47" t="n"/>
      <c r="Q22" s="47" t="n"/>
      <c r="R22" s="47" t="n"/>
    </row>
    <row r="23">
      <c r="F23" s="44" t="n">
        <v>13</v>
      </c>
      <c r="G23" s="45">
        <f>IF(F23&lt;=MIN(calcA!$A$3,24),$B$3+(F23-1)*$B$5/1440,IF(F23&lt;=$B$6,$B$4+(F23-calcA!$A$3-1)*$B$5/1440,""))</f>
        <v/>
      </c>
      <c r="H23" s="42" t="n"/>
      <c r="I23" s="41">
        <f>IF(G23="","",TEXT(G23,"h:mm")&amp;"〜")</f>
        <v/>
      </c>
      <c r="K23" s="35" t="n"/>
      <c r="L23" s="46">
        <f>$I$23</f>
        <v/>
      </c>
      <c r="M23" s="47" t="n"/>
      <c r="N23" s="47" t="n"/>
      <c r="O23" s="47" t="n"/>
      <c r="P23" s="47" t="n"/>
      <c r="Q23" s="47" t="n"/>
      <c r="R23" s="47" t="n"/>
    </row>
    <row r="24">
      <c r="F24" s="44" t="n">
        <v>14</v>
      </c>
      <c r="G24" s="45">
        <f>IF(F24&lt;=MIN(calcA!$A$3,24),$B$3+(F24-1)*$B$5/1440,IF(F24&lt;=$B$6,$B$4+(F24-calcA!$A$3-1)*$B$5/1440,""))</f>
        <v/>
      </c>
      <c r="H24" s="42" t="n"/>
      <c r="I24" s="41">
        <f>IF(G24="","",TEXT(G24,"h:mm")&amp;"〜")</f>
        <v/>
      </c>
      <c r="K24" s="35" t="n"/>
      <c r="L24" s="46">
        <f>$I$24</f>
        <v/>
      </c>
      <c r="M24" s="47" t="n"/>
      <c r="N24" s="47" t="n"/>
      <c r="O24" s="47" t="n"/>
      <c r="P24" s="47" t="n"/>
      <c r="Q24" s="47" t="n"/>
      <c r="R24" s="47" t="n"/>
    </row>
    <row r="25">
      <c r="A25" s="48" t="inlineStr">
        <is>
          <t>※「なるべく空ける」「休憩」は、ほかに入る枠がないときだけ使います。必ず使わない枠は、右の「先生の都合で使えない枠」で止めてください。</t>
        </is>
      </c>
      <c r="F25" s="44" t="n">
        <v>15</v>
      </c>
      <c r="G25" s="45">
        <f>IF(F25&lt;=MIN(calcA!$A$3,24),$B$3+(F25-1)*$B$5/1440,IF(F25&lt;=$B$6,$B$4+(F25-calcA!$A$3-1)*$B$5/1440,""))</f>
        <v/>
      </c>
      <c r="H25" s="42" t="n"/>
      <c r="I25" s="41">
        <f>IF(G25="","",TEXT(G25,"h:mm")&amp;"〜")</f>
        <v/>
      </c>
      <c r="K25" s="35" t="n"/>
      <c r="L25" s="46">
        <f>$I$25</f>
        <v/>
      </c>
      <c r="M25" s="47" t="n"/>
      <c r="N25" s="47" t="n"/>
      <c r="O25" s="47" t="n"/>
      <c r="P25" s="47" t="n"/>
      <c r="Q25" s="47" t="n"/>
      <c r="R25" s="47" t="n"/>
    </row>
    <row r="26">
      <c r="F26" s="44" t="n">
        <v>16</v>
      </c>
      <c r="G26" s="45">
        <f>IF(F26&lt;=MIN(calcA!$A$3,24),$B$3+(F26-1)*$B$5/1440,IF(F26&lt;=$B$6,$B$4+(F26-calcA!$A$3-1)*$B$5/1440,""))</f>
        <v/>
      </c>
      <c r="H26" s="42" t="n"/>
      <c r="I26" s="41">
        <f>IF(G26="","",TEXT(G26,"h:mm")&amp;"〜")</f>
        <v/>
      </c>
      <c r="K26" s="35" t="n"/>
      <c r="L26" s="46">
        <f>$I$26</f>
        <v/>
      </c>
      <c r="M26" s="47" t="n"/>
      <c r="N26" s="47" t="n"/>
      <c r="O26" s="47" t="n"/>
      <c r="P26" s="47" t="n"/>
      <c r="Q26" s="47" t="n"/>
      <c r="R26" s="47" t="n"/>
    </row>
    <row r="27">
      <c r="F27" s="44" t="n">
        <v>17</v>
      </c>
      <c r="G27" s="45">
        <f>IF(F27&lt;=MIN(calcA!$A$3,24),$B$3+(F27-1)*$B$5/1440,IF(F27&lt;=$B$6,$B$4+(F27-calcA!$A$3-1)*$B$5/1440,""))</f>
        <v/>
      </c>
      <c r="H27" s="42" t="n"/>
      <c r="I27" s="41">
        <f>IF(G27="","",TEXT(G27,"h:mm")&amp;"〜")</f>
        <v/>
      </c>
      <c r="K27" s="35" t="n"/>
      <c r="L27" s="46">
        <f>$I$27</f>
        <v/>
      </c>
      <c r="M27" s="47" t="n"/>
      <c r="N27" s="47" t="n"/>
      <c r="O27" s="47" t="n"/>
      <c r="P27" s="47" t="n"/>
      <c r="Q27" s="47" t="n"/>
      <c r="R27" s="47" t="n"/>
    </row>
    <row r="28">
      <c r="F28" s="44" t="n">
        <v>18</v>
      </c>
      <c r="G28" s="45">
        <f>IF(F28&lt;=MIN(calcA!$A$3,24),$B$3+(F28-1)*$B$5/1440,IF(F28&lt;=$B$6,$B$4+(F28-calcA!$A$3-1)*$B$5/1440,""))</f>
        <v/>
      </c>
      <c r="H28" s="42" t="n"/>
      <c r="I28" s="41">
        <f>IF(G28="","",TEXT(G28,"h:mm")&amp;"〜")</f>
        <v/>
      </c>
      <c r="K28" s="35" t="n"/>
      <c r="L28" s="46">
        <f>$I$28</f>
        <v/>
      </c>
      <c r="M28" s="47" t="n"/>
      <c r="N28" s="47" t="n"/>
      <c r="O28" s="47" t="n"/>
      <c r="P28" s="47" t="n"/>
      <c r="Q28" s="47" t="n"/>
      <c r="R28" s="47" t="n"/>
    </row>
    <row r="29">
      <c r="F29" s="44" t="n">
        <v>19</v>
      </c>
      <c r="G29" s="45">
        <f>IF(F29&lt;=MIN(calcA!$A$3,24),$B$3+(F29-1)*$B$5/1440,IF(F29&lt;=$B$6,$B$4+(F29-calcA!$A$3-1)*$B$5/1440,""))</f>
        <v/>
      </c>
      <c r="H29" s="42" t="n"/>
      <c r="I29" s="41">
        <f>IF(G29="","",TEXT(G29,"h:mm")&amp;"〜")</f>
        <v/>
      </c>
      <c r="K29" s="35" t="n"/>
      <c r="L29" s="46">
        <f>$I$29</f>
        <v/>
      </c>
      <c r="M29" s="47" t="n"/>
      <c r="N29" s="47" t="n"/>
      <c r="O29" s="47" t="n"/>
      <c r="P29" s="47" t="n"/>
      <c r="Q29" s="47" t="n"/>
      <c r="R29" s="47" t="n"/>
    </row>
    <row r="30">
      <c r="A30" s="6" t="inlineStr">
        <is>
          <t>お手紙（お知らせ）</t>
        </is>
      </c>
      <c r="B30" s="30" t="inlineStr">
        <is>
          <t>「お手紙（夏）」「お手紙（秋）」シートに出ます。</t>
        </is>
      </c>
      <c r="F30" s="44" t="n">
        <v>20</v>
      </c>
      <c r="G30" s="45">
        <f>IF(F30&lt;=MIN(calcA!$A$3,24),$B$3+(F30-1)*$B$5/1440,IF(F30&lt;=$B$6,$B$4+(F30-calcA!$A$3-1)*$B$5/1440,""))</f>
        <v/>
      </c>
      <c r="H30" s="42" t="n"/>
      <c r="I30" s="41">
        <f>IF(G30="","",TEXT(G30,"h:mm")&amp;"〜")</f>
        <v/>
      </c>
      <c r="K30" s="35" t="n"/>
      <c r="L30" s="46">
        <f>$I$30</f>
        <v/>
      </c>
      <c r="M30" s="47" t="n"/>
      <c r="N30" s="47" t="n"/>
      <c r="O30" s="47" t="n"/>
      <c r="P30" s="47" t="n"/>
      <c r="Q30" s="47" t="n"/>
      <c r="R30" s="47" t="n"/>
    </row>
    <row r="31">
      <c r="A31" s="25" t="inlineStr">
        <is>
          <t>学年</t>
        </is>
      </c>
      <c r="B31" s="129" t="n">
        <v>6</v>
      </c>
      <c r="C31" s="30">
        <f>IF(B36="学年に合わせる（6年は進路面談）","→ "&amp;IF(OR(IF(RIGHT(B31,1)="年",LEFT(B31,LEN(B31)-1),B31)&amp;""="6",IF(RIGHT(B31,1)="年",LEFT(B31,LEN(B31)-1),B31)&amp;""="６"),"進路面談","個人面談")&amp;"のお知らせになります","")</f>
        <v/>
      </c>
      <c r="F31" s="44" t="n">
        <v>21</v>
      </c>
      <c r="G31" s="45">
        <f>IF(F31&lt;=MIN(calcA!$A$3,24),$B$3+(F31-1)*$B$5/1440,IF(F31&lt;=$B$6,$B$4+(F31-calcA!$A$3-1)*$B$5/1440,""))</f>
        <v/>
      </c>
      <c r="H31" s="42" t="n"/>
      <c r="I31" s="41">
        <f>IF(G31="","",TEXT(G31,"h:mm")&amp;"〜")</f>
        <v/>
      </c>
      <c r="K31" s="35" t="n"/>
      <c r="L31" s="46">
        <f>$I$31</f>
        <v/>
      </c>
      <c r="M31" s="47" t="n"/>
      <c r="N31" s="47" t="n"/>
      <c r="O31" s="47" t="n"/>
      <c r="P31" s="47" t="n"/>
      <c r="Q31" s="47" t="n"/>
      <c r="R31" s="47" t="n"/>
    </row>
    <row r="32">
      <c r="A32" s="25" t="inlineStr">
        <is>
          <t>組</t>
        </is>
      </c>
      <c r="B32" s="130" t="n">
        <v>1</v>
      </c>
      <c r="C32" s="30" t="inlineStr">
        <is>
          <t>← 数字だけ（例：1）。「組」は自動</t>
        </is>
      </c>
      <c r="F32" s="44" t="n">
        <v>22</v>
      </c>
      <c r="G32" s="45">
        <f>IF(F32&lt;=MIN(calcA!$A$3,24),$B$3+(F32-1)*$B$5/1440,IF(F32&lt;=$B$6,$B$4+(F32-calcA!$A$3-1)*$B$5/1440,""))</f>
        <v/>
      </c>
      <c r="H32" s="42" t="n"/>
      <c r="I32" s="41">
        <f>IF(G32="","",TEXT(G32,"h:mm")&amp;"〜")</f>
        <v/>
      </c>
      <c r="K32" s="35" t="n"/>
      <c r="L32" s="46">
        <f>$I$32</f>
        <v/>
      </c>
      <c r="M32" s="47" t="n"/>
      <c r="N32" s="47" t="n"/>
      <c r="O32" s="47" t="n"/>
      <c r="P32" s="47" t="n"/>
      <c r="Q32" s="47" t="n"/>
      <c r="R32" s="47" t="n"/>
    </row>
    <row r="33">
      <c r="A33" s="25" t="inlineStr">
        <is>
          <t>担任名</t>
        </is>
      </c>
      <c r="B33" s="51" t="n"/>
      <c r="C33" s="32" t="n"/>
      <c r="D33" s="32" t="n"/>
      <c r="E33" s="33" t="n"/>
      <c r="F33" s="44" t="n">
        <v>23</v>
      </c>
      <c r="G33" s="45">
        <f>IF(F33&lt;=MIN(calcA!$A$3,24),$B$3+(F33-1)*$B$5/1440,IF(F33&lt;=$B$6,$B$4+(F33-calcA!$A$3-1)*$B$5/1440,""))</f>
        <v/>
      </c>
      <c r="H33" s="42" t="n"/>
      <c r="I33" s="41">
        <f>IF(G33="","",TEXT(G33,"h:mm")&amp;"〜")</f>
        <v/>
      </c>
      <c r="K33" s="35" t="n"/>
      <c r="L33" s="46">
        <f>$I$33</f>
        <v/>
      </c>
      <c r="M33" s="47" t="n"/>
      <c r="N33" s="47" t="n"/>
      <c r="O33" s="47" t="n"/>
      <c r="P33" s="47" t="n"/>
      <c r="Q33" s="47" t="n"/>
      <c r="R33" s="47" t="n"/>
    </row>
    <row r="34">
      <c r="A34" s="25" t="inlineStr">
        <is>
          <t>学校名</t>
        </is>
      </c>
      <c r="B34" s="51" t="n"/>
      <c r="C34" s="32" t="n"/>
      <c r="D34" s="32" t="n"/>
      <c r="E34" s="33" t="n"/>
      <c r="F34" s="44" t="n">
        <v>24</v>
      </c>
      <c r="G34" s="45">
        <f>IF(F34&lt;=MIN(calcA!$A$3,24),$B$3+(F34-1)*$B$5/1440,IF(F34&lt;=$B$6,$B$4+(F34-calcA!$A$3-1)*$B$5/1440,""))</f>
        <v/>
      </c>
      <c r="H34" s="42" t="n"/>
      <c r="I34" s="41">
        <f>IF(G34="","",TEXT(G34,"h:mm")&amp;"〜")</f>
        <v/>
      </c>
      <c r="K34" s="35" t="n"/>
      <c r="L34" s="46">
        <f>$I$34</f>
        <v/>
      </c>
      <c r="M34" s="47" t="n"/>
      <c r="N34" s="47" t="n"/>
      <c r="O34" s="47" t="n"/>
      <c r="P34" s="47" t="n"/>
      <c r="Q34" s="47" t="n"/>
      <c r="R34" s="47" t="n"/>
    </row>
    <row r="35">
      <c r="A35" s="25" t="inlineStr">
        <is>
          <t>お手紙の日付</t>
        </is>
      </c>
      <c r="B35" s="131" t="n">
        <v>46325</v>
      </c>
    </row>
    <row r="36">
      <c r="A36" s="25" t="inlineStr">
        <is>
          <t>面談の種類</t>
        </is>
      </c>
      <c r="B36" s="51" t="inlineStr">
        <is>
          <t>学年に合わせる（6年は進路面談）</t>
        </is>
      </c>
      <c r="C36" s="32" t="n"/>
      <c r="D36" s="32" t="n"/>
      <c r="E36" s="33" t="n"/>
    </row>
    <row r="37">
      <c r="A37" s="53" t="inlineStr">
        <is>
          <t>秋の本文</t>
        </is>
      </c>
      <c r="B37" s="54" t="inlineStr">
        <is>
          <t>【面談】の希望調査へのご協力ありがとうございました。下記の日程で予定を組ませていただきました。短い時間ですが、有意義な話し合いとし、日々の学級生活に生かしたいと思います。どうぞ、よろしくお願いいたします。</t>
        </is>
      </c>
      <c r="C37" s="55" t="n"/>
      <c r="D37" s="55" t="n"/>
      <c r="E37" s="55" t="n"/>
      <c r="F37" s="55" t="n"/>
      <c r="G37" s="55" t="n"/>
      <c r="H37" s="55" t="n"/>
      <c r="I37" s="56" t="n"/>
    </row>
    <row r="38">
      <c r="B38" s="57" t="n"/>
      <c r="I38" s="58" t="n"/>
    </row>
    <row r="39">
      <c r="B39" s="59" t="n"/>
      <c r="C39" s="60" t="n"/>
      <c r="D39" s="60" t="n"/>
      <c r="E39" s="60" t="n"/>
      <c r="F39" s="60" t="n"/>
      <c r="G39" s="60" t="n"/>
      <c r="H39" s="60" t="n"/>
      <c r="I39" s="61" t="n"/>
    </row>
    <row r="40">
      <c r="A40" s="25" t="inlineStr">
        <is>
          <t>秋の注意（表の下・3行）</t>
        </is>
      </c>
      <c r="B40" s="31" t="inlineStr">
        <is>
          <t>〇来校の際には、名札・上履きをお持ちください。</t>
        </is>
      </c>
      <c r="C40" s="32" t="n"/>
      <c r="D40" s="32" t="n"/>
      <c r="E40" s="32" t="n"/>
      <c r="F40" s="32" t="n"/>
      <c r="G40" s="32" t="n"/>
      <c r="H40" s="32" t="n"/>
      <c r="I40" s="33" t="n"/>
    </row>
    <row r="41">
      <c r="B41" s="31" t="n"/>
      <c r="C41" s="32" t="n"/>
      <c r="D41" s="32" t="n"/>
      <c r="E41" s="32" t="n"/>
      <c r="F41" s="32" t="n"/>
      <c r="G41" s="32" t="n"/>
      <c r="H41" s="32" t="n"/>
      <c r="I41" s="33" t="n"/>
    </row>
    <row r="42">
      <c r="B42" s="31" t="n"/>
      <c r="C42" s="32" t="n"/>
      <c r="D42" s="32" t="n"/>
      <c r="E42" s="32" t="n"/>
      <c r="F42" s="32" t="n"/>
      <c r="G42" s="32" t="n"/>
      <c r="H42" s="32" t="n"/>
      <c r="I42" s="33" t="n"/>
    </row>
    <row r="43">
      <c r="A43" s="53" t="inlineStr">
        <is>
          <t>夏の本文</t>
        </is>
      </c>
      <c r="B43" s="54" t="inlineStr">
        <is>
          <t>下記の日程で予定を組ませていただきました。どうぞ、よろしくお願いいたします。</t>
        </is>
      </c>
      <c r="C43" s="55" t="n"/>
      <c r="D43" s="55" t="n"/>
      <c r="E43" s="55" t="n"/>
      <c r="F43" s="55" t="n"/>
      <c r="G43" s="55" t="n"/>
      <c r="H43" s="55" t="n"/>
      <c r="I43" s="56" t="n"/>
    </row>
    <row r="44">
      <c r="B44" s="59" t="n"/>
      <c r="C44" s="60" t="n"/>
      <c r="D44" s="60" t="n"/>
      <c r="E44" s="60" t="n"/>
      <c r="F44" s="60" t="n"/>
      <c r="G44" s="60" t="n"/>
      <c r="H44" s="60" t="n"/>
      <c r="I44" s="61" t="n"/>
    </row>
    <row r="45">
      <c r="A45" s="25" t="inlineStr">
        <is>
          <t>夏の注意（表の上・3行）</t>
        </is>
      </c>
      <c r="B45" s="31" t="inlineStr">
        <is>
          <t>〇来校の際には、名札・上履きをお持ちください。</t>
        </is>
      </c>
      <c r="C45" s="32" t="n"/>
      <c r="D45" s="32" t="n"/>
      <c r="E45" s="32" t="n"/>
      <c r="F45" s="32" t="n"/>
      <c r="G45" s="32" t="n"/>
      <c r="H45" s="32" t="n"/>
      <c r="I45" s="33" t="n"/>
    </row>
    <row r="46">
      <c r="B46" s="31" t="n"/>
      <c r="C46" s="32" t="n"/>
      <c r="D46" s="32" t="n"/>
      <c r="E46" s="32" t="n"/>
      <c r="F46" s="32" t="n"/>
      <c r="G46" s="32" t="n"/>
      <c r="H46" s="32" t="n"/>
      <c r="I46" s="33" t="n"/>
    </row>
    <row r="47">
      <c r="B47" s="31" t="n"/>
      <c r="C47" s="32" t="n"/>
      <c r="D47" s="32" t="n"/>
      <c r="E47" s="32" t="n"/>
      <c r="F47" s="32" t="n"/>
      <c r="G47" s="32" t="n"/>
      <c r="H47" s="32" t="n"/>
      <c r="I47" s="33" t="n"/>
    </row>
    <row r="48">
      <c r="A48" s="30" t="inlineStr">
        <is>
          <t>※ 本文の「【面談】」のところは、「個人面談」か「進路面談」に自動で変わります。</t>
        </is>
      </c>
    </row>
    <row r="49">
      <c r="A49" s="30" t="inlineStr">
        <is>
          <t>※ 本文は、秋は4行（140字）、夏は2行（82字）まで印刷されます。</t>
        </is>
      </c>
    </row>
  </sheetData>
  <mergeCells count="18">
    <mergeCell ref="I1:J1"/>
    <mergeCell ref="B43:I44"/>
    <mergeCell ref="A25:E27"/>
    <mergeCell ref="B8:E8"/>
    <mergeCell ref="B47:I47"/>
    <mergeCell ref="K1:L1"/>
    <mergeCell ref="B34:E34"/>
    <mergeCell ref="K9:L9"/>
    <mergeCell ref="B42:I42"/>
    <mergeCell ref="B33:E33"/>
    <mergeCell ref="B41:I41"/>
    <mergeCell ref="B45:I45"/>
    <mergeCell ref="B46:I46"/>
    <mergeCell ref="B37:I39"/>
    <mergeCell ref="F1:G1"/>
    <mergeCell ref="B36:E36"/>
    <mergeCell ref="A22:E24"/>
    <mergeCell ref="B40:I40"/>
  </mergeCells>
  <conditionalFormatting sqref="G11:I34">
    <cfRule type="expression" priority="1" dxfId="2">
      <formula>$G11=""</formula>
    </cfRule>
  </conditionalFormatting>
  <conditionalFormatting sqref="M9:R9">
    <cfRule type="expression" priority="2" dxfId="3" stopIfTrue="1">
      <formula>INDEX($B$11:$B$16,COLUMN(M9)-12)=""</formula>
    </cfRule>
    <cfRule type="expression" priority="3" dxfId="4">
      <formula>TRUE</formula>
    </cfRule>
  </conditionalFormatting>
  <conditionalFormatting sqref="K11:K34">
    <cfRule type="expression" priority="4" dxfId="3" stopIfTrue="1">
      <formula>$L11=""</formula>
    </cfRule>
    <cfRule type="expression" priority="5" dxfId="4">
      <formula>TRUE</formula>
    </cfRule>
  </conditionalFormatting>
  <conditionalFormatting sqref="L11:L34">
    <cfRule type="expression" priority="6" dxfId="3" stopIfTrue="1">
      <formula>$L11=""</formula>
    </cfRule>
  </conditionalFormatting>
  <conditionalFormatting sqref="M11:R34">
    <cfRule type="expression" priority="7" dxfId="3" stopIfTrue="1">
      <formula>OR(INDEX($B$11:$B$16,COLUMN(M11)-12)="",ROW(M11)-10&gt;$B$6)</formula>
    </cfRule>
    <cfRule type="expression" priority="8" dxfId="5" stopIfTrue="1">
      <formula>OR(M11&lt;&gt;"",M$9&lt;&gt;"",$K11&lt;&gt;"")</formula>
    </cfRule>
    <cfRule type="expression" priority="9" dxfId="4">
      <formula>TRUE</formula>
    </cfRule>
  </conditionalFormatting>
  <conditionalFormatting sqref="M10:R10">
    <cfRule type="expression" priority="10" dxfId="3">
      <formula>M10=""</formula>
    </cfRule>
  </conditionalFormatting>
  <dataValidations count="9">
    <dataValidation sqref="B3:B4 D3:D4" showDropDown="0" showInputMessage="0" showErrorMessage="1" allowBlank="0" error="時刻を「13:30」のように入れてください。" type="time" operator="between">
      <formula1>0</formula1>
      <formula2>0.999988426</formula2>
    </dataValidation>
    <dataValidation sqref="B5" showDropDown="0" showInputMessage="0" showErrorMessage="1" allowBlank="0" error="5〜120の数字（分）を入れてください。" type="whole" operator="between">
      <formula1>5</formula1>
      <formula2>120</formula2>
    </dataValidation>
    <dataValidation sqref="B11:B16" showDropDown="0" showInputMessage="0" showErrorMessage="1" allowBlank="0" error="日付を「11/24」のように入れてください。" type="date" operator="greaterThan">
      <formula1>36526</formula1>
    </dataValidation>
    <dataValidation sqref="B8" showDropDown="0" showInputMessage="0" showErrorMessage="0" allowBlank="0" type="list">
      <formula1>"早い時間から（各日の最後を空ける）,日付順に詰める（後ろの日を空ける）"</formula1>
    </dataValidation>
    <dataValidation sqref="D11 D12 D13 D14 D15 D16 H11 H12 H13 H14 H15 H16 H17 H18 H19 H20 H21 H22 H23 H24 H25 H26 H27 H28 H29 H30 H31 H32 H33 H34" showDropDown="0" showInputMessage="0" showErrorMessage="0" allowBlank="1" type="list">
      <formula1>"〇"</formula1>
    </dataValidation>
    <dataValidation sqref="K11:K34 M9:R9 M11:R34" showDropDown="0" showInputMessage="0" showErrorMessage="0" allowBlank="1" type="list">
      <formula1>"×"</formula1>
    </dataValidation>
    <dataValidation sqref="B31" showDropDown="0" showInputMessage="0" showErrorMessage="0" allowBlank="1" type="list">
      <formula1>"1,2,3,4,5,6"</formula1>
    </dataValidation>
    <dataValidation sqref="B36" showDropDown="0" showInputMessage="0" showErrorMessage="0" allowBlank="0" type="list">
      <formula1>"学年に合わせる（6年は進路面談）,個人面談,進路面談"</formula1>
    </dataValidation>
    <dataValidation sqref="B35" showDropDown="0" showInputMessage="0" showErrorMessage="1" allowBlank="0" error="日付を「10/30」のように入れてください。" type="date" operator="greaterThan">
      <formula1>36526</formula1>
    </dataValidation>
  </dataValidations>
  <pageMargins left="0.75" right="0.75" top="1" bottom="1" header="0.5" footer="0.5"/>
</worksheet>
</file>

<file path=xl/worksheets/sheet3.xml><?xml version="1.0" encoding="utf-8"?>
<worksheet xmlns="http://schemas.openxmlformats.org/spreadsheetml/2006/main">
  <sheetPr>
    <tabColor rgb="002B5797"/>
    <outlinePr summaryBelow="1" summaryRight="0"/>
    <pageSetUpPr/>
  </sheetPr>
  <dimension ref="A1:AE44"/>
  <sheetViews>
    <sheetView showGridLines="0" showRowColHeaders="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6" customWidth="1" min="2" max="2"/>
    <col width="10" customWidth="1" min="3" max="3"/>
    <col width="16" customWidth="1" min="4" max="4"/>
    <col width="6" customWidth="1" min="5" max="5"/>
    <col width="16" customWidth="1" min="6" max="6"/>
    <col hidden="1" outlineLevel="1" width="15" customWidth="1" min="7" max="7"/>
    <col hidden="1" outlineLevel="1" width="9" customWidth="1" min="8" max="8"/>
    <col hidden="1" outlineLevel="1" width="11" customWidth="1" min="9" max="9"/>
    <col hidden="1" outlineLevel="1" width="15" customWidth="1" min="10" max="10"/>
    <col hidden="1" outlineLevel="1" width="9" customWidth="1" min="11" max="11"/>
    <col hidden="1" outlineLevel="1" width="11" customWidth="1" min="12" max="12"/>
    <col hidden="1" outlineLevel="1" width="15" customWidth="1" min="13" max="13"/>
    <col hidden="1" outlineLevel="1" width="9" customWidth="1" min="14" max="14"/>
    <col hidden="1" outlineLevel="1" width="11" customWidth="1" min="15" max="15"/>
    <col width="18" customWidth="1" min="16" max="16"/>
    <col width="10" customWidth="1" min="17" max="17"/>
    <col width="7" customWidth="1" min="18" max="18"/>
    <col width="9" customWidth="1" min="19" max="19"/>
    <col width="7" customWidth="1" min="20" max="20"/>
    <col width="15" customWidth="1" min="21" max="21"/>
    <col width="8" customWidth="1" min="22" max="22"/>
    <col width="30" customWidth="1" min="23" max="23"/>
    <col width="22" customWidth="1" min="24" max="24"/>
    <col width="22" customWidth="1" min="25" max="25"/>
    <col width="9" customWidth="1" min="26" max="26"/>
  </cols>
  <sheetData>
    <row r="1" ht="44" customHeight="1">
      <c r="A1" s="1" t="inlineStr">
        <is>
          <t>名簿・結果</t>
        </is>
      </c>
      <c r="B1" s="2" t="n"/>
      <c r="C1" s="2" t="n"/>
      <c r="D1" s="22">
        <f>HYPERLINK("#'ホーム'!A1","ホーム")</f>
        <v/>
      </c>
      <c r="E1" s="2" t="n"/>
      <c r="F1" s="62" t="inlineStr">
        <is>
          <t>▲ 上の「＋」で
兄弟の列を開く</t>
        </is>
      </c>
      <c r="G1" s="2" t="n"/>
      <c r="H1" s="2" t="n"/>
      <c r="I1" s="2" t="n"/>
      <c r="J1" s="2" t="n"/>
      <c r="K1" s="2" t="n"/>
      <c r="L1" s="2" t="n"/>
      <c r="M1" s="2" t="n"/>
      <c r="N1" s="2" t="n"/>
      <c r="O1" s="2" t="n"/>
      <c r="P1" s="22">
        <f>HYPERLINK("#'設定'!A1","① 設定")</f>
        <v/>
      </c>
      <c r="Q1" s="23">
        <f>HYPERLINK("#'名簿'!A1","② 名簿")</f>
        <v/>
      </c>
      <c r="R1" s="24" t="n"/>
      <c r="S1" s="22">
        <f>HYPERLINK("#'×入力'!A1","③ ×入力")</f>
        <v/>
      </c>
      <c r="T1" s="24" t="n"/>
      <c r="U1" s="22">
        <f>HYPERLINK("#'自動案A'!A1","④ 自動案A")</f>
        <v/>
      </c>
      <c r="V1" s="2" t="n"/>
      <c r="W1" s="2" t="n"/>
      <c r="X1" s="22">
        <f>HYPERLINK("#'自動案B'!A1","④ 自動案B")</f>
        <v/>
      </c>
      <c r="Y1" s="22">
        <f>HYPERLINK("#'調整・決定'!A1","⑤ 調整・決定")</f>
        <v/>
      </c>
      <c r="Z1" s="22">
        <f>HYPERLINK("#'兄弟確認用'!A1","⑥ 兄弟確認")</f>
        <v/>
      </c>
      <c r="AA1" s="24" t="n"/>
      <c r="AB1" s="22">
        <f>HYPERLINK("#'お手紙（夏）'!A1","⑦ お手紙 夏")</f>
        <v/>
      </c>
      <c r="AC1" s="24" t="n"/>
      <c r="AD1" s="22">
        <f>HYPERLINK("#'お手紙（秋）'!A1","⑧ お手紙 秋")</f>
        <v/>
      </c>
      <c r="AE1" s="24" t="n"/>
    </row>
    <row r="2" ht="24" customHeight="1">
      <c r="A2" s="4" t="inlineStr">
        <is>
          <t>黄色の列（番号〜兄弟③との順番）を入力します。Excelの名簿から番号と名前を「番号」の列のいちばん上に貼り付けてください（最大40人）。行の並べ替えはしないでください。</t>
        </is>
      </c>
      <c r="B2" s="5" t="n"/>
      <c r="C2" s="5" t="n"/>
      <c r="D2" s="5" t="n"/>
      <c r="E2" s="5" t="n"/>
      <c r="F2" s="5" t="n"/>
      <c r="G2" s="5" t="n"/>
      <c r="H2" s="5" t="n"/>
      <c r="I2" s="5" t="n"/>
      <c r="J2" s="5" t="n"/>
      <c r="K2" s="5" t="n"/>
      <c r="L2" s="5" t="n"/>
      <c r="M2" s="5" t="n"/>
      <c r="N2" s="5" t="n"/>
      <c r="O2" s="5" t="n"/>
      <c r="P2" s="5" t="n"/>
      <c r="Q2" s="5" t="n"/>
      <c r="R2" s="5" t="n"/>
      <c r="S2" s="5" t="n"/>
      <c r="T2" s="5" t="n"/>
      <c r="U2" s="5" t="n"/>
      <c r="V2" s="5" t="n"/>
      <c r="W2" s="5" t="n"/>
      <c r="X2" s="5" t="n"/>
      <c r="Y2" s="5" t="n"/>
      <c r="Z2" s="5" t="n"/>
      <c r="AA2" s="5" t="n"/>
      <c r="AB2" s="5" t="n"/>
      <c r="AC2" s="5" t="n"/>
      <c r="AD2" s="5" t="n"/>
      <c r="AE2" s="5" t="n"/>
    </row>
    <row r="3" ht="30" customHeight="1">
      <c r="A3" s="63" t="inlineStr">
        <is>
          <t>兄弟クラス：書き方は自由です（例：2年1組、2-1、兄 5年 など）。10字くらいまでが見やすいです。灰色の欄は、兄弟が〇の子だけ入力します。</t>
        </is>
      </c>
      <c r="P3" s="64" t="inlineStr">
        <is>
          <t>◀ 兄弟①〜③の列（兄弟の担任から聞いた面談の日時と順番）は、左上の「＋」で開き、「−」でたためます。</t>
        </is>
      </c>
    </row>
    <row r="4" ht="32" customHeight="1">
      <c r="A4" s="65" t="inlineStr">
        <is>
          <t>番号</t>
        </is>
      </c>
      <c r="B4" s="65" t="inlineStr">
        <is>
          <t>名前</t>
        </is>
      </c>
      <c r="C4" s="65" t="inlineStr">
        <is>
          <t>希望</t>
        </is>
      </c>
      <c r="D4" s="65" t="inlineStr">
        <is>
          <t>後ろを空ける</t>
        </is>
      </c>
      <c r="E4" s="65" t="inlineStr">
        <is>
          <t>兄弟</t>
        </is>
      </c>
      <c r="F4" s="66" t="inlineStr">
        <is>
          <t>兄弟クラス
日時は上の＋を押す</t>
        </is>
      </c>
      <c r="G4" s="65" t="inlineStr">
        <is>
          <t>兄弟①
日付</t>
        </is>
      </c>
      <c r="H4" s="65" t="inlineStr">
        <is>
          <t>兄弟①
時刻</t>
        </is>
      </c>
      <c r="I4" s="65" t="inlineStr">
        <is>
          <t>兄弟①
との順番</t>
        </is>
      </c>
      <c r="J4" s="65" t="inlineStr">
        <is>
          <t>兄弟②
日付</t>
        </is>
      </c>
      <c r="K4" s="65" t="inlineStr">
        <is>
          <t>兄弟②
時刻</t>
        </is>
      </c>
      <c r="L4" s="65" t="inlineStr">
        <is>
          <t>兄弟②
との順番</t>
        </is>
      </c>
      <c r="M4" s="65" t="inlineStr">
        <is>
          <t>兄弟③
日付</t>
        </is>
      </c>
      <c r="N4" s="65" t="inlineStr">
        <is>
          <t>兄弟③
時刻</t>
        </is>
      </c>
      <c r="O4" s="65" t="inlineStr">
        <is>
          <t>兄弟③
との順番</t>
        </is>
      </c>
      <c r="P4" s="67" t="inlineStr">
        <is>
          <t>表示名</t>
        </is>
      </c>
      <c r="Q4" s="67" t="inlineStr">
        <is>
          <t>状況</t>
        </is>
      </c>
      <c r="R4" s="67" t="inlineStr">
        <is>
          <t>×の数</t>
        </is>
      </c>
      <c r="S4" s="67" t="inlineStr">
        <is>
          <t>入れられる空き枠</t>
        </is>
      </c>
      <c r="T4" s="67" t="inlineStr">
        <is>
          <t>決める順</t>
        </is>
      </c>
      <c r="U4" s="67" t="inlineStr">
        <is>
          <t>日付</t>
        </is>
      </c>
      <c r="V4" s="67" t="inlineStr">
        <is>
          <t>時刻</t>
        </is>
      </c>
      <c r="W4" s="67" t="inlineStr">
        <is>
          <t>注意</t>
        </is>
      </c>
      <c r="X4" s="67" t="inlineStr">
        <is>
          <t>自動案A（詰める）</t>
        </is>
      </c>
      <c r="Y4" s="67" t="inlineStr">
        <is>
          <t>自動案B（散らす）</t>
        </is>
      </c>
    </row>
    <row r="5" ht="19" customHeight="1">
      <c r="A5" s="68" t="n">
        <v>1</v>
      </c>
      <c r="B5" s="69" t="inlineStr">
        <is>
          <t>佐藤 はると</t>
        </is>
      </c>
      <c r="C5" s="68" t="n"/>
      <c r="D5" s="68" t="n"/>
      <c r="E5" s="68" t="n"/>
      <c r="F5" s="69" t="n"/>
      <c r="G5" s="68" t="n"/>
      <c r="H5" s="68" t="n"/>
      <c r="I5" s="68" t="n"/>
      <c r="J5" s="68" t="n"/>
      <c r="K5" s="68" t="n"/>
      <c r="L5" s="68" t="n"/>
      <c r="M5" s="68" t="n"/>
      <c r="N5" s="68" t="n"/>
      <c r="O5" s="68" t="n"/>
      <c r="P5" s="43">
        <f>IF(B5="","",IF(COUNTIF($B$5:$B$49,B5)&gt;1,IF(A5="","",A5&amp;" ")&amp;B5,B5))</f>
        <v/>
      </c>
      <c r="Q5" s="41">
        <f>IF(B5="","",IF('×入力'!F5="未提出","未提出",IF(R5&gt;0,"入力済み",IF('×入力'!F5="×なし（どこでもOK）","×なし","未入力"))))</f>
        <v/>
      </c>
      <c r="R5" s="41">
        <f>IF(B5="","",'calcA'!IN10)</f>
        <v/>
      </c>
      <c r="S5" s="41">
        <f>IF(OR(Q5="入力済み",Q5="×なし"),'calcA'!IM10,"")</f>
        <v/>
      </c>
      <c r="T5" s="41">
        <f>IF('calcA'!C10=1,COUNTIFS('calcA'!$C$10:$C$54,1,'calcA'!$IM$10:$IM$54,"&lt;"&amp;'calcA'!IM10)+1,"")</f>
        <v/>
      </c>
      <c r="U5" s="43">
        <f>IF('calcA'!IO10=0,"",INDEX('設定'!$E$11:$E$16,INDEX('calcA'!$D$2:$EQ$2,'calcA'!IO10)))</f>
        <v/>
      </c>
      <c r="V5" s="41">
        <f>IF('calcA'!IO10=0,"",INDEX('設定'!$I$11:$I$34,INDEX('calcA'!$D$3:$EQ$3,'calcA'!IO10)))</f>
        <v/>
      </c>
      <c r="W5" s="43">
        <f>IF(P5="","",IF('calcA'!JG10=1,"兄弟の日付・時刻が表にありません",IF(COUNTIF('調整・決定'!$C$6:$H$29,P5)&gt;1,"2か所以上に入っています",IF('calcA'!IO10&gt;0,IF(INDEX('calcA'!$D$4:$EQ$4,'calcA'!IO10)=0,"使えない枠に入っています",IF(INDEX('calcA'!$D$10:$EQ$10,'calcA'!IO10)=1,"×の枠に入っています",IF('calcA'!IV10=0,"（出来れば）兄弟の前後ではありません",IF(AND(RIGHT(D5,4)="空けたい",INDEX('calcA'!$D$106:$EQ$106,'calcA'!IO10)=1,INDEX('calcA'!$D$109:$EQ$109,'calcA'!IO10+1)=1),IF(D5="必ず空けたい","後ろの枠が空いていません","（出来れば）後ろが空いていません"),IF(AND(D5="空けない",INDEX('calcA'!$D$106:$EQ$106,'calcA'!IO10)=1,INDEX('calcA'!$D$109:$EQ$109,'calcA'!IO10+1)=0),"（出来れば）すぐ後が空いています",""))))),IF(OR(Q5="入力済み",Q5="×なし"),"未決定","")))))</f>
        <v/>
      </c>
      <c r="X5" s="43">
        <f>IF('calcA'!IK10=0,IF('calcA'!IL10=1,"入る枠がありません",""),INDEX('calcA'!$D$8:$EQ$8,'calcA'!IK10))</f>
        <v/>
      </c>
      <c r="Y5" s="43">
        <f>IF('calcA'!IR10=0,IF('calcA'!IS10=1,"入る枠がありません",""),INDEX('calcA'!$D$8:$EQ$8,'calcA'!IR10))</f>
        <v/>
      </c>
      <c r="Z5" s="70">
        <f>HYPERLINK("#'×入力'!B5","×入力へ")</f>
        <v/>
      </c>
    </row>
    <row r="6" ht="19" customHeight="1">
      <c r="A6" s="68" t="n">
        <v>2</v>
      </c>
      <c r="B6" s="69" t="inlineStr">
        <is>
          <t>鈴木 ゆい</t>
        </is>
      </c>
      <c r="C6" s="68" t="inlineStr">
        <is>
          <t>遅い時刻</t>
        </is>
      </c>
      <c r="D6" s="68" t="n"/>
      <c r="E6" s="68" t="n"/>
      <c r="F6" s="69" t="n"/>
      <c r="G6" s="68" t="n"/>
      <c r="H6" s="68" t="n"/>
      <c r="I6" s="68" t="n"/>
      <c r="J6" s="68" t="n"/>
      <c r="K6" s="68" t="n"/>
      <c r="L6" s="68" t="n"/>
      <c r="M6" s="68" t="n"/>
      <c r="N6" s="68" t="n"/>
      <c r="O6" s="68" t="n"/>
      <c r="P6" s="43">
        <f>IF(B6="","",IF(COUNTIF($B$5:$B$49,B6)&gt;1,IF(A6="","",A6&amp;" ")&amp;B6,B6))</f>
        <v/>
      </c>
      <c r="Q6" s="41">
        <f>IF(B6="","",IF('×入力'!F33="未提出","未提出",IF(R6&gt;0,"入力済み",IF('×入力'!F33="×なし（どこでもOK）","×なし","未入力"))))</f>
        <v/>
      </c>
      <c r="R6" s="41">
        <f>IF(B6="","",'calcA'!IN11)</f>
        <v/>
      </c>
      <c r="S6" s="41">
        <f>IF(OR(Q6="入力済み",Q6="×なし"),'calcA'!IM11,"")</f>
        <v/>
      </c>
      <c r="T6" s="41">
        <f>IF('calcA'!C11=1,COUNTIFS('calcA'!$C$10:$C$54,1,'calcA'!$IM$10:$IM$54,"&lt;"&amp;'calcA'!IM11)+1,"")</f>
        <v/>
      </c>
      <c r="U6" s="43">
        <f>IF('calcA'!IO11=0,"",INDEX('設定'!$E$11:$E$16,INDEX('calcA'!$D$2:$EQ$2,'calcA'!IO11)))</f>
        <v/>
      </c>
      <c r="V6" s="41">
        <f>IF('calcA'!IO11=0,"",INDEX('設定'!$I$11:$I$34,INDEX('calcA'!$D$3:$EQ$3,'calcA'!IO11)))</f>
        <v/>
      </c>
      <c r="W6" s="43">
        <f>IF(P6="","",IF('calcA'!JG11=1,"兄弟の日付・時刻が表にありません",IF(COUNTIF('調整・決定'!$C$6:$H$29,P6)&gt;1,"2か所以上に入っています",IF('calcA'!IO11&gt;0,IF(INDEX('calcA'!$D$4:$EQ$4,'calcA'!IO11)=0,"使えない枠に入っています",IF(INDEX('calcA'!$D$11:$EQ$11,'calcA'!IO11)=1,"×の枠に入っています",IF('calcA'!IV11=0,"（出来れば）兄弟の前後ではありません",IF(AND(RIGHT(D6,4)="空けたい",INDEX('calcA'!$D$106:$EQ$106,'calcA'!IO11)=1,INDEX('calcA'!$D$109:$EQ$109,'calcA'!IO11+1)=1),IF(D6="必ず空けたい","後ろの枠が空いていません","（出来れば）後ろが空いていません"),IF(AND(D6="空けない",INDEX('calcA'!$D$106:$EQ$106,'calcA'!IO11)=1,INDEX('calcA'!$D$109:$EQ$109,'calcA'!IO11+1)=0),"（出来れば）すぐ後が空いています",""))))),IF(OR(Q6="入力済み",Q6="×なし"),"未決定","")))))</f>
        <v/>
      </c>
      <c r="X6" s="43">
        <f>IF('calcA'!IK11=0,IF('calcA'!IL11=1,"入る枠がありません",""),INDEX('calcA'!$D$8:$EQ$8,'calcA'!IK11))</f>
        <v/>
      </c>
      <c r="Y6" s="43">
        <f>IF('calcA'!IR11=0,IF('calcA'!IS11=1,"入る枠がありません",""),INDEX('calcA'!$D$8:$EQ$8,'calcA'!IR11))</f>
        <v/>
      </c>
      <c r="Z6" s="70">
        <f>HYPERLINK("#'×入力'!B33","×入力へ")</f>
        <v/>
      </c>
    </row>
    <row r="7" ht="19" customHeight="1">
      <c r="A7" s="68" t="n">
        <v>3</v>
      </c>
      <c r="B7" s="69" t="inlineStr">
        <is>
          <t>高橋 そうた</t>
        </is>
      </c>
      <c r="C7" s="68" t="n"/>
      <c r="D7" s="68" t="n"/>
      <c r="E7" s="68" t="n"/>
      <c r="F7" s="69" t="n"/>
      <c r="G7" s="68" t="n"/>
      <c r="H7" s="68" t="n"/>
      <c r="I7" s="68" t="n"/>
      <c r="J7" s="68" t="n"/>
      <c r="K7" s="68" t="n"/>
      <c r="L7" s="68" t="n"/>
      <c r="M7" s="68" t="n"/>
      <c r="N7" s="68" t="n"/>
      <c r="O7" s="68" t="n"/>
      <c r="P7" s="43">
        <f>IF(B7="","",IF(COUNTIF($B$5:$B$49,B7)&gt;1,IF(A7="","",A7&amp;" ")&amp;B7,B7))</f>
        <v/>
      </c>
      <c r="Q7" s="41">
        <f>IF(B7="","",IF('×入力'!F61="未提出","未提出",IF(R7&gt;0,"入力済み",IF('×入力'!F61="×なし（どこでもOK）","×なし","未入力"))))</f>
        <v/>
      </c>
      <c r="R7" s="41">
        <f>IF(B7="","",'calcA'!IN12)</f>
        <v/>
      </c>
      <c r="S7" s="41">
        <f>IF(OR(Q7="入力済み",Q7="×なし"),'calcA'!IM12,"")</f>
        <v/>
      </c>
      <c r="T7" s="41">
        <f>IF('calcA'!C12=1,COUNTIFS('calcA'!$C$10:$C$54,1,'calcA'!$IM$10:$IM$54,"&lt;"&amp;'calcA'!IM12)+1,"")</f>
        <v/>
      </c>
      <c r="U7" s="43">
        <f>IF('calcA'!IO12=0,"",INDEX('設定'!$E$11:$E$16,INDEX('calcA'!$D$2:$EQ$2,'calcA'!IO12)))</f>
        <v/>
      </c>
      <c r="V7" s="41">
        <f>IF('calcA'!IO12=0,"",INDEX('設定'!$I$11:$I$34,INDEX('calcA'!$D$3:$EQ$3,'calcA'!IO12)))</f>
        <v/>
      </c>
      <c r="W7" s="43">
        <f>IF(P7="","",IF('calcA'!JG12=1,"兄弟の日付・時刻が表にありません",IF(COUNTIF('調整・決定'!$C$6:$H$29,P7)&gt;1,"2か所以上に入っています",IF('calcA'!IO12&gt;0,IF(INDEX('calcA'!$D$4:$EQ$4,'calcA'!IO12)=0,"使えない枠に入っています",IF(INDEX('calcA'!$D$12:$EQ$12,'calcA'!IO12)=1,"×の枠に入っています",IF('calcA'!IV12=0,"（出来れば）兄弟の前後ではありません",IF(AND(RIGHT(D7,4)="空けたい",INDEX('calcA'!$D$106:$EQ$106,'calcA'!IO12)=1,INDEX('calcA'!$D$109:$EQ$109,'calcA'!IO12+1)=1),IF(D7="必ず空けたい","後ろの枠が空いていません","（出来れば）後ろが空いていません"),IF(AND(D7="空けない",INDEX('calcA'!$D$106:$EQ$106,'calcA'!IO12)=1,INDEX('calcA'!$D$109:$EQ$109,'calcA'!IO12+1)=0),"（出来れば）すぐ後が空いています",""))))),IF(OR(Q7="入力済み",Q7="×なし"),"未決定","")))))</f>
        <v/>
      </c>
      <c r="X7" s="43">
        <f>IF('calcA'!IK12=0,IF('calcA'!IL12=1,"入る枠がありません",""),INDEX('calcA'!$D$8:$EQ$8,'calcA'!IK12))</f>
        <v/>
      </c>
      <c r="Y7" s="43">
        <f>IF('calcA'!IR12=0,IF('calcA'!IS12=1,"入る枠がありません",""),INDEX('calcA'!$D$8:$EQ$8,'calcA'!IR12))</f>
        <v/>
      </c>
      <c r="Z7" s="70">
        <f>HYPERLINK("#'×入力'!B61","×入力へ")</f>
        <v/>
      </c>
    </row>
    <row r="8" ht="19" customHeight="1">
      <c r="A8" s="68" t="n">
        <v>4</v>
      </c>
      <c r="B8" s="69" t="inlineStr">
        <is>
          <t>田中 めい</t>
        </is>
      </c>
      <c r="C8" s="68" t="n"/>
      <c r="D8" s="68" t="n"/>
      <c r="E8" s="68" t="inlineStr">
        <is>
          <t>〇</t>
        </is>
      </c>
      <c r="F8" s="69" t="inlineStr">
        <is>
          <t>2年1組</t>
        </is>
      </c>
      <c r="G8" s="68" t="n"/>
      <c r="H8" s="68" t="n"/>
      <c r="I8" s="68" t="n"/>
      <c r="J8" s="68" t="n"/>
      <c r="K8" s="68" t="n"/>
      <c r="L8" s="68" t="n"/>
      <c r="M8" s="68" t="n"/>
      <c r="N8" s="68" t="n"/>
      <c r="O8" s="68" t="n"/>
      <c r="P8" s="43">
        <f>IF(B8="","",IF(COUNTIF($B$5:$B$49,B8)&gt;1,IF(A8="","",A8&amp;" ")&amp;B8,B8))</f>
        <v/>
      </c>
      <c r="Q8" s="41">
        <f>IF(B8="","",IF('×入力'!F89="未提出","未提出",IF(R8&gt;0,"入力済み",IF('×入力'!F89="×なし（どこでもOK）","×なし","未入力"))))</f>
        <v/>
      </c>
      <c r="R8" s="41">
        <f>IF(B8="","",'calcA'!IN13)</f>
        <v/>
      </c>
      <c r="S8" s="41">
        <f>IF(OR(Q8="入力済み",Q8="×なし"),'calcA'!IM13,"")</f>
        <v/>
      </c>
      <c r="T8" s="41">
        <f>IF('calcA'!C13=1,COUNTIFS('calcA'!$C$10:$C$54,1,'calcA'!$IM$10:$IM$54,"&lt;"&amp;'calcA'!IM13)+1,"")</f>
        <v/>
      </c>
      <c r="U8" s="43">
        <f>IF('calcA'!IO13=0,"",INDEX('設定'!$E$11:$E$16,INDEX('calcA'!$D$2:$EQ$2,'calcA'!IO13)))</f>
        <v/>
      </c>
      <c r="V8" s="41">
        <f>IF('calcA'!IO13=0,"",INDEX('設定'!$I$11:$I$34,INDEX('calcA'!$D$3:$EQ$3,'calcA'!IO13)))</f>
        <v/>
      </c>
      <c r="W8" s="43">
        <f>IF(P8="","",IF('calcA'!JG13=1,"兄弟の日付・時刻が表にありません",IF(COUNTIF('調整・決定'!$C$6:$H$29,P8)&gt;1,"2か所以上に入っています",IF('calcA'!IO13&gt;0,IF(INDEX('calcA'!$D$4:$EQ$4,'calcA'!IO13)=0,"使えない枠に入っています",IF(INDEX('calcA'!$D$13:$EQ$13,'calcA'!IO13)=1,"×の枠に入っています",IF('calcA'!IV13=0,"（出来れば）兄弟の前後ではありません",IF(AND(RIGHT(D8,4)="空けたい",INDEX('calcA'!$D$106:$EQ$106,'calcA'!IO13)=1,INDEX('calcA'!$D$109:$EQ$109,'calcA'!IO13+1)=1),IF(D8="必ず空けたい","後ろの枠が空いていません","（出来れば）後ろが空いていません"),IF(AND(D8="空けない",INDEX('calcA'!$D$106:$EQ$106,'calcA'!IO13)=1,INDEX('calcA'!$D$109:$EQ$109,'calcA'!IO13+1)=0),"（出来れば）すぐ後が空いています",""))))),IF(OR(Q8="入力済み",Q8="×なし"),"未決定","")))))</f>
        <v/>
      </c>
      <c r="X8" s="43">
        <f>IF('calcA'!IK13=0,IF('calcA'!IL13=1,"入る枠がありません",""),INDEX('calcA'!$D$8:$EQ$8,'calcA'!IK13))</f>
        <v/>
      </c>
      <c r="Y8" s="43">
        <f>IF('calcA'!IR13=0,IF('calcA'!IS13=1,"入る枠がありません",""),INDEX('calcA'!$D$8:$EQ$8,'calcA'!IR13))</f>
        <v/>
      </c>
      <c r="Z8" s="70">
        <f>HYPERLINK("#'×入力'!B89","×入力へ")</f>
        <v/>
      </c>
    </row>
    <row r="9" ht="19" customHeight="1">
      <c r="A9" s="68" t="n">
        <v>5</v>
      </c>
      <c r="B9" s="69" t="inlineStr">
        <is>
          <t>伊藤 ひなた</t>
        </is>
      </c>
      <c r="C9" s="68" t="n"/>
      <c r="D9" s="68" t="n"/>
      <c r="E9" s="68" t="n"/>
      <c r="F9" s="69" t="n"/>
      <c r="G9" s="68" t="n"/>
      <c r="H9" s="68" t="n"/>
      <c r="I9" s="68" t="n"/>
      <c r="J9" s="68" t="n"/>
      <c r="K9" s="68" t="n"/>
      <c r="L9" s="68" t="n"/>
      <c r="M9" s="68" t="n"/>
      <c r="N9" s="68" t="n"/>
      <c r="O9" s="68" t="n"/>
      <c r="P9" s="43">
        <f>IF(B9="","",IF(COUNTIF($B$5:$B$49,B9)&gt;1,IF(A9="","",A9&amp;" ")&amp;B9,B9))</f>
        <v/>
      </c>
      <c r="Q9" s="41">
        <f>IF(B9="","",IF('×入力'!F117="未提出","未提出",IF(R9&gt;0,"入力済み",IF('×入力'!F117="×なし（どこでもOK）","×なし","未入力"))))</f>
        <v/>
      </c>
      <c r="R9" s="41">
        <f>IF(B9="","",'calcA'!IN14)</f>
        <v/>
      </c>
      <c r="S9" s="41">
        <f>IF(OR(Q9="入力済み",Q9="×なし"),'calcA'!IM14,"")</f>
        <v/>
      </c>
      <c r="T9" s="41">
        <f>IF('calcA'!C14=1,COUNTIFS('calcA'!$C$10:$C$54,1,'calcA'!$IM$10:$IM$54,"&lt;"&amp;'calcA'!IM14)+1,"")</f>
        <v/>
      </c>
      <c r="U9" s="43">
        <f>IF('calcA'!IO14=0,"",INDEX('設定'!$E$11:$E$16,INDEX('calcA'!$D$2:$EQ$2,'calcA'!IO14)))</f>
        <v/>
      </c>
      <c r="V9" s="41">
        <f>IF('calcA'!IO14=0,"",INDEX('設定'!$I$11:$I$34,INDEX('calcA'!$D$3:$EQ$3,'calcA'!IO14)))</f>
        <v/>
      </c>
      <c r="W9" s="43">
        <f>IF(P9="","",IF('calcA'!JG14=1,"兄弟の日付・時刻が表にありません",IF(COUNTIF('調整・決定'!$C$6:$H$29,P9)&gt;1,"2か所以上に入っています",IF('calcA'!IO14&gt;0,IF(INDEX('calcA'!$D$4:$EQ$4,'calcA'!IO14)=0,"使えない枠に入っています",IF(INDEX('calcA'!$D$14:$EQ$14,'calcA'!IO14)=1,"×の枠に入っています",IF('calcA'!IV14=0,"（出来れば）兄弟の前後ではありません",IF(AND(RIGHT(D9,4)="空けたい",INDEX('calcA'!$D$106:$EQ$106,'calcA'!IO14)=1,INDEX('calcA'!$D$109:$EQ$109,'calcA'!IO14+1)=1),IF(D9="必ず空けたい","後ろの枠が空いていません","（出来れば）後ろが空いていません"),IF(AND(D9="空けない",INDEX('calcA'!$D$106:$EQ$106,'calcA'!IO14)=1,INDEX('calcA'!$D$109:$EQ$109,'calcA'!IO14+1)=0),"（出来れば）すぐ後が空いています",""))))),IF(OR(Q9="入力済み",Q9="×なし"),"未決定","")))))</f>
        <v/>
      </c>
      <c r="X9" s="43">
        <f>IF('calcA'!IK14=0,IF('calcA'!IL14=1,"入る枠がありません",""),INDEX('calcA'!$D$8:$EQ$8,'calcA'!IK14))</f>
        <v/>
      </c>
      <c r="Y9" s="43">
        <f>IF('calcA'!IR14=0,IF('calcA'!IS14=1,"入る枠がありません",""),INDEX('calcA'!$D$8:$EQ$8,'calcA'!IR14))</f>
        <v/>
      </c>
      <c r="Z9" s="70">
        <f>HYPERLINK("#'×入力'!B117","×入力へ")</f>
        <v/>
      </c>
    </row>
    <row r="10" ht="19" customHeight="1">
      <c r="A10" s="68" t="n">
        <v>6</v>
      </c>
      <c r="B10" s="69" t="inlineStr">
        <is>
          <t>渡辺 さくら</t>
        </is>
      </c>
      <c r="C10" s="68" t="n"/>
      <c r="D10" s="68" t="inlineStr">
        <is>
          <t>必ず空けたい</t>
        </is>
      </c>
      <c r="E10" s="68" t="n"/>
      <c r="F10" s="69" t="n"/>
      <c r="G10" s="68" t="n"/>
      <c r="H10" s="68" t="n"/>
      <c r="I10" s="68" t="n"/>
      <c r="J10" s="68" t="n"/>
      <c r="K10" s="68" t="n"/>
      <c r="L10" s="68" t="n"/>
      <c r="M10" s="68" t="n"/>
      <c r="N10" s="68" t="n"/>
      <c r="O10" s="68" t="n"/>
      <c r="P10" s="43">
        <f>IF(B10="","",IF(COUNTIF($B$5:$B$49,B10)&gt;1,IF(A10="","",A10&amp;" ")&amp;B10,B10))</f>
        <v/>
      </c>
      <c r="Q10" s="41">
        <f>IF(B10="","",IF('×入力'!F145="未提出","未提出",IF(R10&gt;0,"入力済み",IF('×入力'!F145="×なし（どこでもOK）","×なし","未入力"))))</f>
        <v/>
      </c>
      <c r="R10" s="41">
        <f>IF(B10="","",'calcA'!IN15)</f>
        <v/>
      </c>
      <c r="S10" s="41">
        <f>IF(OR(Q10="入力済み",Q10="×なし"),'calcA'!IM15,"")</f>
        <v/>
      </c>
      <c r="T10" s="41">
        <f>IF('calcA'!C15=1,COUNTIFS('calcA'!$C$10:$C$54,1,'calcA'!$IM$10:$IM$54,"&lt;"&amp;'calcA'!IM15)+1,"")</f>
        <v/>
      </c>
      <c r="U10" s="43">
        <f>IF('calcA'!IO15=0,"",INDEX('設定'!$E$11:$E$16,INDEX('calcA'!$D$2:$EQ$2,'calcA'!IO15)))</f>
        <v/>
      </c>
      <c r="V10" s="41">
        <f>IF('calcA'!IO15=0,"",INDEX('設定'!$I$11:$I$34,INDEX('calcA'!$D$3:$EQ$3,'calcA'!IO15)))</f>
        <v/>
      </c>
      <c r="W10" s="43">
        <f>IF(P10="","",IF('calcA'!JG15=1,"兄弟の日付・時刻が表にありません",IF(COUNTIF('調整・決定'!$C$6:$H$29,P10)&gt;1,"2か所以上に入っています",IF('calcA'!IO15&gt;0,IF(INDEX('calcA'!$D$4:$EQ$4,'calcA'!IO15)=0,"使えない枠に入っています",IF(INDEX('calcA'!$D$15:$EQ$15,'calcA'!IO15)=1,"×の枠に入っています",IF('calcA'!IV15=0,"（出来れば）兄弟の前後ではありません",IF(AND(RIGHT(D10,4)="空けたい",INDEX('calcA'!$D$106:$EQ$106,'calcA'!IO15)=1,INDEX('calcA'!$D$109:$EQ$109,'calcA'!IO15+1)=1),IF(D10="必ず空けたい","後ろの枠が空いていません","（出来れば）後ろが空いていません"),IF(AND(D10="空けない",INDEX('calcA'!$D$106:$EQ$106,'calcA'!IO15)=1,INDEX('calcA'!$D$109:$EQ$109,'calcA'!IO15+1)=0),"（出来れば）すぐ後が空いています",""))))),IF(OR(Q10="入力済み",Q10="×なし"),"未決定","")))))</f>
        <v/>
      </c>
      <c r="X10" s="43">
        <f>IF('calcA'!IK15=0,IF('calcA'!IL15=1,"入る枠がありません",""),INDEX('calcA'!$D$8:$EQ$8,'calcA'!IK15))</f>
        <v/>
      </c>
      <c r="Y10" s="43">
        <f>IF('calcA'!IR15=0,IF('calcA'!IS15=1,"入る枠がありません",""),INDEX('calcA'!$D$8:$EQ$8,'calcA'!IR15))</f>
        <v/>
      </c>
      <c r="Z10" s="70">
        <f>HYPERLINK("#'×入力'!B145","×入力へ")</f>
        <v/>
      </c>
    </row>
    <row r="11" ht="19" customHeight="1">
      <c r="A11" s="68" t="n">
        <v>7</v>
      </c>
      <c r="B11" s="69" t="inlineStr">
        <is>
          <t>山本 りく</t>
        </is>
      </c>
      <c r="C11" s="68" t="n"/>
      <c r="D11" s="68" t="n"/>
      <c r="E11" s="68" t="n"/>
      <c r="F11" s="69" t="n"/>
      <c r="G11" s="68" t="n"/>
      <c r="H11" s="68" t="n"/>
      <c r="I11" s="68" t="n"/>
      <c r="J11" s="68" t="n"/>
      <c r="K11" s="68" t="n"/>
      <c r="L11" s="68" t="n"/>
      <c r="M11" s="68" t="n"/>
      <c r="N11" s="68" t="n"/>
      <c r="O11" s="68" t="n"/>
      <c r="P11" s="43">
        <f>IF(B11="","",IF(COUNTIF($B$5:$B$49,B11)&gt;1,IF(A11="","",A11&amp;" ")&amp;B11,B11))</f>
        <v/>
      </c>
      <c r="Q11" s="41">
        <f>IF(B11="","",IF('×入力'!F173="未提出","未提出",IF(R11&gt;0,"入力済み",IF('×入力'!F173="×なし（どこでもOK）","×なし","未入力"))))</f>
        <v/>
      </c>
      <c r="R11" s="41">
        <f>IF(B11="","",'calcA'!IN16)</f>
        <v/>
      </c>
      <c r="S11" s="41">
        <f>IF(OR(Q11="入力済み",Q11="×なし"),'calcA'!IM16,"")</f>
        <v/>
      </c>
      <c r="T11" s="41">
        <f>IF('calcA'!C16=1,COUNTIFS('calcA'!$C$10:$C$54,1,'calcA'!$IM$10:$IM$54,"&lt;"&amp;'calcA'!IM16)+1,"")</f>
        <v/>
      </c>
      <c r="U11" s="43">
        <f>IF('calcA'!IO16=0,"",INDEX('設定'!$E$11:$E$16,INDEX('calcA'!$D$2:$EQ$2,'calcA'!IO16)))</f>
        <v/>
      </c>
      <c r="V11" s="41">
        <f>IF('calcA'!IO16=0,"",INDEX('設定'!$I$11:$I$34,INDEX('calcA'!$D$3:$EQ$3,'calcA'!IO16)))</f>
        <v/>
      </c>
      <c r="W11" s="43">
        <f>IF(P11="","",IF('calcA'!JG16=1,"兄弟の日付・時刻が表にありません",IF(COUNTIF('調整・決定'!$C$6:$H$29,P11)&gt;1,"2か所以上に入っています",IF('calcA'!IO16&gt;0,IF(INDEX('calcA'!$D$4:$EQ$4,'calcA'!IO16)=0,"使えない枠に入っています",IF(INDEX('calcA'!$D$16:$EQ$16,'calcA'!IO16)=1,"×の枠に入っています",IF('calcA'!IV16=0,"（出来れば）兄弟の前後ではありません",IF(AND(RIGHT(D11,4)="空けたい",INDEX('calcA'!$D$106:$EQ$106,'calcA'!IO16)=1,INDEX('calcA'!$D$109:$EQ$109,'calcA'!IO16+1)=1),IF(D11="必ず空けたい","後ろの枠が空いていません","（出来れば）後ろが空いていません"),IF(AND(D11="空けない",INDEX('calcA'!$D$106:$EQ$106,'calcA'!IO16)=1,INDEX('calcA'!$D$109:$EQ$109,'calcA'!IO16+1)=0),"（出来れば）すぐ後が空いています",""))))),IF(OR(Q11="入力済み",Q11="×なし"),"未決定","")))))</f>
        <v/>
      </c>
      <c r="X11" s="43">
        <f>IF('calcA'!IK16=0,IF('calcA'!IL16=1,"入る枠がありません",""),INDEX('calcA'!$D$8:$EQ$8,'calcA'!IK16))</f>
        <v/>
      </c>
      <c r="Y11" s="43">
        <f>IF('calcA'!IR16=0,IF('calcA'!IS16=1,"入る枠がありません",""),INDEX('calcA'!$D$8:$EQ$8,'calcA'!IR16))</f>
        <v/>
      </c>
      <c r="Z11" s="70">
        <f>HYPERLINK("#'×入力'!B173","×入力へ")</f>
        <v/>
      </c>
    </row>
    <row r="12" ht="19" customHeight="1">
      <c r="A12" s="68" t="n">
        <v>8</v>
      </c>
      <c r="B12" s="69" t="inlineStr">
        <is>
          <t>中村 あおい</t>
        </is>
      </c>
      <c r="C12" s="68" t="inlineStr">
        <is>
          <t>早い時刻</t>
        </is>
      </c>
      <c r="D12" s="68" t="n"/>
      <c r="E12" s="68" t="n"/>
      <c r="F12" s="69" t="n"/>
      <c r="G12" s="68" t="n"/>
      <c r="H12" s="68" t="n"/>
      <c r="I12" s="68" t="n"/>
      <c r="J12" s="68" t="n"/>
      <c r="K12" s="68" t="n"/>
      <c r="L12" s="68" t="n"/>
      <c r="M12" s="68" t="n"/>
      <c r="N12" s="68" t="n"/>
      <c r="O12" s="68" t="n"/>
      <c r="P12" s="43">
        <f>IF(B12="","",IF(COUNTIF($B$5:$B$49,B12)&gt;1,IF(A12="","",A12&amp;" ")&amp;B12,B12))</f>
        <v/>
      </c>
      <c r="Q12" s="41">
        <f>IF(B12="","",IF('×入力'!F201="未提出","未提出",IF(R12&gt;0,"入力済み",IF('×入力'!F201="×なし（どこでもOK）","×なし","未入力"))))</f>
        <v/>
      </c>
      <c r="R12" s="41">
        <f>IF(B12="","",'calcA'!IN17)</f>
        <v/>
      </c>
      <c r="S12" s="41">
        <f>IF(OR(Q12="入力済み",Q12="×なし"),'calcA'!IM17,"")</f>
        <v/>
      </c>
      <c r="T12" s="41">
        <f>IF('calcA'!C17=1,COUNTIFS('calcA'!$C$10:$C$54,1,'calcA'!$IM$10:$IM$54,"&lt;"&amp;'calcA'!IM17)+1,"")</f>
        <v/>
      </c>
      <c r="U12" s="43">
        <f>IF('calcA'!IO17=0,"",INDEX('設定'!$E$11:$E$16,INDEX('calcA'!$D$2:$EQ$2,'calcA'!IO17)))</f>
        <v/>
      </c>
      <c r="V12" s="41">
        <f>IF('calcA'!IO17=0,"",INDEX('設定'!$I$11:$I$34,INDEX('calcA'!$D$3:$EQ$3,'calcA'!IO17)))</f>
        <v/>
      </c>
      <c r="W12" s="43">
        <f>IF(P12="","",IF('calcA'!JG17=1,"兄弟の日付・時刻が表にありません",IF(COUNTIF('調整・決定'!$C$6:$H$29,P12)&gt;1,"2か所以上に入っています",IF('calcA'!IO17&gt;0,IF(INDEX('calcA'!$D$4:$EQ$4,'calcA'!IO17)=0,"使えない枠に入っています",IF(INDEX('calcA'!$D$17:$EQ$17,'calcA'!IO17)=1,"×の枠に入っています",IF('calcA'!IV17=0,"（出来れば）兄弟の前後ではありません",IF(AND(RIGHT(D12,4)="空けたい",INDEX('calcA'!$D$106:$EQ$106,'calcA'!IO17)=1,INDEX('calcA'!$D$109:$EQ$109,'calcA'!IO17+1)=1),IF(D12="必ず空けたい","後ろの枠が空いていません","（出来れば）後ろが空いていません"),IF(AND(D12="空けない",INDEX('calcA'!$D$106:$EQ$106,'calcA'!IO17)=1,INDEX('calcA'!$D$109:$EQ$109,'calcA'!IO17+1)=0),"（出来れば）すぐ後が空いています",""))))),IF(OR(Q12="入力済み",Q12="×なし"),"未決定","")))))</f>
        <v/>
      </c>
      <c r="X12" s="43">
        <f>IF('calcA'!IK17=0,IF('calcA'!IL17=1,"入る枠がありません",""),INDEX('calcA'!$D$8:$EQ$8,'calcA'!IK17))</f>
        <v/>
      </c>
      <c r="Y12" s="43">
        <f>IF('calcA'!IR17=0,IF('calcA'!IS17=1,"入る枠がありません",""),INDEX('calcA'!$D$8:$EQ$8,'calcA'!IR17))</f>
        <v/>
      </c>
      <c r="Z12" s="70">
        <f>HYPERLINK("#'×入力'!B201","×入力へ")</f>
        <v/>
      </c>
    </row>
    <row r="13" ht="19" customHeight="1">
      <c r="A13" s="68" t="n">
        <v>9</v>
      </c>
      <c r="B13" s="69" t="inlineStr">
        <is>
          <t>小林 ゆうと</t>
        </is>
      </c>
      <c r="C13" s="68" t="n"/>
      <c r="D13" s="68" t="n"/>
      <c r="E13" s="68" t="n"/>
      <c r="F13" s="69" t="n"/>
      <c r="G13" s="68" t="n"/>
      <c r="H13" s="68" t="n"/>
      <c r="I13" s="68" t="n"/>
      <c r="J13" s="68" t="n"/>
      <c r="K13" s="68" t="n"/>
      <c r="L13" s="68" t="n"/>
      <c r="M13" s="68" t="n"/>
      <c r="N13" s="68" t="n"/>
      <c r="O13" s="68" t="n"/>
      <c r="P13" s="43">
        <f>IF(B13="","",IF(COUNTIF($B$5:$B$49,B13)&gt;1,IF(A13="","",A13&amp;" ")&amp;B13,B13))</f>
        <v/>
      </c>
      <c r="Q13" s="41">
        <f>IF(B13="","",IF('×入力'!F229="未提出","未提出",IF(R13&gt;0,"入力済み",IF('×入力'!F229="×なし（どこでもOK）","×なし","未入力"))))</f>
        <v/>
      </c>
      <c r="R13" s="41">
        <f>IF(B13="","",'calcA'!IN18)</f>
        <v/>
      </c>
      <c r="S13" s="41">
        <f>IF(OR(Q13="入力済み",Q13="×なし"),'calcA'!IM18,"")</f>
        <v/>
      </c>
      <c r="T13" s="41">
        <f>IF('calcA'!C18=1,COUNTIFS('calcA'!$C$10:$C$54,1,'calcA'!$IM$10:$IM$54,"&lt;"&amp;'calcA'!IM18)+1,"")</f>
        <v/>
      </c>
      <c r="U13" s="43">
        <f>IF('calcA'!IO18=0,"",INDEX('設定'!$E$11:$E$16,INDEX('calcA'!$D$2:$EQ$2,'calcA'!IO18)))</f>
        <v/>
      </c>
      <c r="V13" s="41">
        <f>IF('calcA'!IO18=0,"",INDEX('設定'!$I$11:$I$34,INDEX('calcA'!$D$3:$EQ$3,'calcA'!IO18)))</f>
        <v/>
      </c>
      <c r="W13" s="43">
        <f>IF(P13="","",IF('calcA'!JG18=1,"兄弟の日付・時刻が表にありません",IF(COUNTIF('調整・決定'!$C$6:$H$29,P13)&gt;1,"2か所以上に入っています",IF('calcA'!IO18&gt;0,IF(INDEX('calcA'!$D$4:$EQ$4,'calcA'!IO18)=0,"使えない枠に入っています",IF(INDEX('calcA'!$D$18:$EQ$18,'calcA'!IO18)=1,"×の枠に入っています",IF('calcA'!IV18=0,"（出来れば）兄弟の前後ではありません",IF(AND(RIGHT(D13,4)="空けたい",INDEX('calcA'!$D$106:$EQ$106,'calcA'!IO18)=1,INDEX('calcA'!$D$109:$EQ$109,'calcA'!IO18+1)=1),IF(D13="必ず空けたい","後ろの枠が空いていません","（出来れば）後ろが空いていません"),IF(AND(D13="空けない",INDEX('calcA'!$D$106:$EQ$106,'calcA'!IO18)=1,INDEX('calcA'!$D$109:$EQ$109,'calcA'!IO18+1)=0),"（出来れば）すぐ後が空いています",""))))),IF(OR(Q13="入力済み",Q13="×なし"),"未決定","")))))</f>
        <v/>
      </c>
      <c r="X13" s="43">
        <f>IF('calcA'!IK18=0,IF('calcA'!IL18=1,"入る枠がありません",""),INDEX('calcA'!$D$8:$EQ$8,'calcA'!IK18))</f>
        <v/>
      </c>
      <c r="Y13" s="43">
        <f>IF('calcA'!IR18=0,IF('calcA'!IS18=1,"入る枠がありません",""),INDEX('calcA'!$D$8:$EQ$8,'calcA'!IR18))</f>
        <v/>
      </c>
      <c r="Z13" s="70">
        <f>HYPERLINK("#'×入力'!B229","×入力へ")</f>
        <v/>
      </c>
    </row>
    <row r="14" ht="19" customHeight="1">
      <c r="A14" s="68" t="n">
        <v>10</v>
      </c>
      <c r="B14" s="69" t="inlineStr">
        <is>
          <t>加藤 ひまり</t>
        </is>
      </c>
      <c r="C14" s="68" t="n"/>
      <c r="D14" s="68" t="n"/>
      <c r="E14" s="68" t="n"/>
      <c r="F14" s="69" t="n"/>
      <c r="G14" s="68" t="n"/>
      <c r="H14" s="68" t="n"/>
      <c r="I14" s="68" t="n"/>
      <c r="J14" s="68" t="n"/>
      <c r="K14" s="68" t="n"/>
      <c r="L14" s="68" t="n"/>
      <c r="M14" s="68" t="n"/>
      <c r="N14" s="68" t="n"/>
      <c r="O14" s="68" t="n"/>
      <c r="P14" s="43">
        <f>IF(B14="","",IF(COUNTIF($B$5:$B$49,B14)&gt;1,IF(A14="","",A14&amp;" ")&amp;B14,B14))</f>
        <v/>
      </c>
      <c r="Q14" s="41">
        <f>IF(B14="","",IF('×入力'!F257="未提出","未提出",IF(R14&gt;0,"入力済み",IF('×入力'!F257="×なし（どこでもOK）","×なし","未入力"))))</f>
        <v/>
      </c>
      <c r="R14" s="41">
        <f>IF(B14="","",'calcA'!IN19)</f>
        <v/>
      </c>
      <c r="S14" s="41">
        <f>IF(OR(Q14="入力済み",Q14="×なし"),'calcA'!IM19,"")</f>
        <v/>
      </c>
      <c r="T14" s="41">
        <f>IF('calcA'!C19=1,COUNTIFS('calcA'!$C$10:$C$54,1,'calcA'!$IM$10:$IM$54,"&lt;"&amp;'calcA'!IM19)+1,"")</f>
        <v/>
      </c>
      <c r="U14" s="43">
        <f>IF('calcA'!IO19=0,"",INDEX('設定'!$E$11:$E$16,INDEX('calcA'!$D$2:$EQ$2,'calcA'!IO19)))</f>
        <v/>
      </c>
      <c r="V14" s="41">
        <f>IF('calcA'!IO19=0,"",INDEX('設定'!$I$11:$I$34,INDEX('calcA'!$D$3:$EQ$3,'calcA'!IO19)))</f>
        <v/>
      </c>
      <c r="W14" s="43">
        <f>IF(P14="","",IF('calcA'!JG19=1,"兄弟の日付・時刻が表にありません",IF(COUNTIF('調整・決定'!$C$6:$H$29,P14)&gt;1,"2か所以上に入っています",IF('calcA'!IO19&gt;0,IF(INDEX('calcA'!$D$4:$EQ$4,'calcA'!IO19)=0,"使えない枠に入っています",IF(INDEX('calcA'!$D$19:$EQ$19,'calcA'!IO19)=1,"×の枠に入っています",IF('calcA'!IV19=0,"（出来れば）兄弟の前後ではありません",IF(AND(RIGHT(D14,4)="空けたい",INDEX('calcA'!$D$106:$EQ$106,'calcA'!IO19)=1,INDEX('calcA'!$D$109:$EQ$109,'calcA'!IO19+1)=1),IF(D14="必ず空けたい","後ろの枠が空いていません","（出来れば）後ろが空いていません"),IF(AND(D14="空けない",INDEX('calcA'!$D$106:$EQ$106,'calcA'!IO19)=1,INDEX('calcA'!$D$109:$EQ$109,'calcA'!IO19+1)=0),"（出来れば）すぐ後が空いています",""))))),IF(OR(Q14="入力済み",Q14="×なし"),"未決定","")))))</f>
        <v/>
      </c>
      <c r="X14" s="43">
        <f>IF('calcA'!IK19=0,IF('calcA'!IL19=1,"入る枠がありません",""),INDEX('calcA'!$D$8:$EQ$8,'calcA'!IK19))</f>
        <v/>
      </c>
      <c r="Y14" s="43">
        <f>IF('calcA'!IR19=0,IF('calcA'!IS19=1,"入る枠がありません",""),INDEX('calcA'!$D$8:$EQ$8,'calcA'!IR19))</f>
        <v/>
      </c>
      <c r="Z14" s="70">
        <f>HYPERLINK("#'×入力'!B257","×入力へ")</f>
        <v/>
      </c>
    </row>
    <row r="15" ht="19" customHeight="1">
      <c r="A15" s="68" t="n">
        <v>11</v>
      </c>
      <c r="B15" s="69" t="inlineStr">
        <is>
          <t>吉田 いつき</t>
        </is>
      </c>
      <c r="C15" s="68" t="n"/>
      <c r="D15" s="68" t="n"/>
      <c r="E15" s="68" t="inlineStr">
        <is>
          <t>〇</t>
        </is>
      </c>
      <c r="F15" s="69" t="inlineStr">
        <is>
          <t>5年3組</t>
        </is>
      </c>
      <c r="G15" s="68" t="inlineStr">
        <is>
          <t>11月26日（木）</t>
        </is>
      </c>
      <c r="H15" s="68" t="inlineStr">
        <is>
          <t>15:00〜</t>
        </is>
      </c>
      <c r="I15" s="68" t="inlineStr">
        <is>
          <t>兄弟①の前</t>
        </is>
      </c>
      <c r="J15" s="68" t="n"/>
      <c r="K15" s="68" t="n"/>
      <c r="L15" s="68" t="n"/>
      <c r="M15" s="68" t="n"/>
      <c r="N15" s="68" t="n"/>
      <c r="O15" s="68" t="n"/>
      <c r="P15" s="43">
        <f>IF(B15="","",IF(COUNTIF($B$5:$B$49,B15)&gt;1,IF(A15="","",A15&amp;" ")&amp;B15,B15))</f>
        <v/>
      </c>
      <c r="Q15" s="41">
        <f>IF(B15="","",IF('×入力'!F285="未提出","未提出",IF(R15&gt;0,"入力済み",IF('×入力'!F285="×なし（どこでもOK）","×なし","未入力"))))</f>
        <v/>
      </c>
      <c r="R15" s="41">
        <f>IF(B15="","",'calcA'!IN20)</f>
        <v/>
      </c>
      <c r="S15" s="41">
        <f>IF(OR(Q15="入力済み",Q15="×なし"),'calcA'!IM20,"")</f>
        <v/>
      </c>
      <c r="T15" s="41">
        <f>IF('calcA'!C20=1,COUNTIFS('calcA'!$C$10:$C$54,1,'calcA'!$IM$10:$IM$54,"&lt;"&amp;'calcA'!IM20)+1,"")</f>
        <v/>
      </c>
      <c r="U15" s="43">
        <f>IF('calcA'!IO20=0,"",INDEX('設定'!$E$11:$E$16,INDEX('calcA'!$D$2:$EQ$2,'calcA'!IO20)))</f>
        <v/>
      </c>
      <c r="V15" s="41">
        <f>IF('calcA'!IO20=0,"",INDEX('設定'!$I$11:$I$34,INDEX('calcA'!$D$3:$EQ$3,'calcA'!IO20)))</f>
        <v/>
      </c>
      <c r="W15" s="43">
        <f>IF(P15="","",IF('calcA'!JG20=1,"兄弟の日付・時刻が表にありません",IF(COUNTIF('調整・決定'!$C$6:$H$29,P15)&gt;1,"2か所以上に入っています",IF('calcA'!IO20&gt;0,IF(INDEX('calcA'!$D$4:$EQ$4,'calcA'!IO20)=0,"使えない枠に入っています",IF(INDEX('calcA'!$D$20:$EQ$20,'calcA'!IO20)=1,"×の枠に入っています",IF('calcA'!IV20=0,"（出来れば）兄弟の前後ではありません",IF(AND(RIGHT(D15,4)="空けたい",INDEX('calcA'!$D$106:$EQ$106,'calcA'!IO20)=1,INDEX('calcA'!$D$109:$EQ$109,'calcA'!IO20+1)=1),IF(D15="必ず空けたい","後ろの枠が空いていません","（出来れば）後ろが空いていません"),IF(AND(D15="空けない",INDEX('calcA'!$D$106:$EQ$106,'calcA'!IO20)=1,INDEX('calcA'!$D$109:$EQ$109,'calcA'!IO20+1)=0),"（出来れば）すぐ後が空いています",""))))),IF(OR(Q15="入力済み",Q15="×なし"),"未決定","")))))</f>
        <v/>
      </c>
      <c r="X15" s="43">
        <f>IF('calcA'!IK20=0,IF('calcA'!IL20=1,"入る枠がありません",""),INDEX('calcA'!$D$8:$EQ$8,'calcA'!IK20))</f>
        <v/>
      </c>
      <c r="Y15" s="43">
        <f>IF('calcA'!IR20=0,IF('calcA'!IS20=1,"入る枠がありません",""),INDEX('calcA'!$D$8:$EQ$8,'calcA'!IR20))</f>
        <v/>
      </c>
      <c r="Z15" s="70">
        <f>HYPERLINK("#'×入力'!B285","×入力へ")</f>
        <v/>
      </c>
    </row>
    <row r="16" ht="19" customHeight="1">
      <c r="A16" s="68" t="n">
        <v>12</v>
      </c>
      <c r="B16" s="69" t="inlineStr">
        <is>
          <t>山田 りん</t>
        </is>
      </c>
      <c r="C16" s="68" t="n"/>
      <c r="D16" s="68" t="n"/>
      <c r="E16" s="68" t="n"/>
      <c r="F16" s="69" t="n"/>
      <c r="G16" s="68" t="n"/>
      <c r="H16" s="68" t="n"/>
      <c r="I16" s="68" t="n"/>
      <c r="J16" s="68" t="n"/>
      <c r="K16" s="68" t="n"/>
      <c r="L16" s="68" t="n"/>
      <c r="M16" s="68" t="n"/>
      <c r="N16" s="68" t="n"/>
      <c r="O16" s="68" t="n"/>
      <c r="P16" s="43">
        <f>IF(B16="","",IF(COUNTIF($B$5:$B$49,B16)&gt;1,IF(A16="","",A16&amp;" ")&amp;B16,B16))</f>
        <v/>
      </c>
      <c r="Q16" s="41">
        <f>IF(B16="","",IF('×入力'!F313="未提出","未提出",IF(R16&gt;0,"入力済み",IF('×入力'!F313="×なし（どこでもOK）","×なし","未入力"))))</f>
        <v/>
      </c>
      <c r="R16" s="41">
        <f>IF(B16="","",'calcA'!IN21)</f>
        <v/>
      </c>
      <c r="S16" s="41">
        <f>IF(OR(Q16="入力済み",Q16="×なし"),'calcA'!IM21,"")</f>
        <v/>
      </c>
      <c r="T16" s="41">
        <f>IF('calcA'!C21=1,COUNTIFS('calcA'!$C$10:$C$54,1,'calcA'!$IM$10:$IM$54,"&lt;"&amp;'calcA'!IM21)+1,"")</f>
        <v/>
      </c>
      <c r="U16" s="43">
        <f>IF('calcA'!IO21=0,"",INDEX('設定'!$E$11:$E$16,INDEX('calcA'!$D$2:$EQ$2,'calcA'!IO21)))</f>
        <v/>
      </c>
      <c r="V16" s="41">
        <f>IF('calcA'!IO21=0,"",INDEX('設定'!$I$11:$I$34,INDEX('calcA'!$D$3:$EQ$3,'calcA'!IO21)))</f>
        <v/>
      </c>
      <c r="W16" s="43">
        <f>IF(P16="","",IF('calcA'!JG21=1,"兄弟の日付・時刻が表にありません",IF(COUNTIF('調整・決定'!$C$6:$H$29,P16)&gt;1,"2か所以上に入っています",IF('calcA'!IO21&gt;0,IF(INDEX('calcA'!$D$4:$EQ$4,'calcA'!IO21)=0,"使えない枠に入っています",IF(INDEX('calcA'!$D$21:$EQ$21,'calcA'!IO21)=1,"×の枠に入っています",IF('calcA'!IV21=0,"（出来れば）兄弟の前後ではありません",IF(AND(RIGHT(D16,4)="空けたい",INDEX('calcA'!$D$106:$EQ$106,'calcA'!IO21)=1,INDEX('calcA'!$D$109:$EQ$109,'calcA'!IO21+1)=1),IF(D16="必ず空けたい","後ろの枠が空いていません","（出来れば）後ろが空いていません"),IF(AND(D16="空けない",INDEX('calcA'!$D$106:$EQ$106,'calcA'!IO21)=1,INDEX('calcA'!$D$109:$EQ$109,'calcA'!IO21+1)=0),"（出来れば）すぐ後が空いています",""))))),IF(OR(Q16="入力済み",Q16="×なし"),"未決定","")))))</f>
        <v/>
      </c>
      <c r="X16" s="43">
        <f>IF('calcA'!IK21=0,IF('calcA'!IL21=1,"入る枠がありません",""),INDEX('calcA'!$D$8:$EQ$8,'calcA'!IK21))</f>
        <v/>
      </c>
      <c r="Y16" s="43">
        <f>IF('calcA'!IR21=0,IF('calcA'!IS21=1,"入る枠がありません",""),INDEX('calcA'!$D$8:$EQ$8,'calcA'!IR21))</f>
        <v/>
      </c>
      <c r="Z16" s="70">
        <f>HYPERLINK("#'×入力'!B313","×入力へ")</f>
        <v/>
      </c>
    </row>
    <row r="17" ht="19" customHeight="1">
      <c r="A17" s="68" t="n">
        <v>13</v>
      </c>
      <c r="B17" s="69" t="inlineStr">
        <is>
          <t>佐々木 そら</t>
        </is>
      </c>
      <c r="C17" s="68" t="n"/>
      <c r="D17" s="68" t="n"/>
      <c r="E17" s="68" t="n"/>
      <c r="F17" s="69" t="n"/>
      <c r="G17" s="68" t="n"/>
      <c r="H17" s="68" t="n"/>
      <c r="I17" s="68" t="n"/>
      <c r="J17" s="68" t="n"/>
      <c r="K17" s="68" t="n"/>
      <c r="L17" s="68" t="n"/>
      <c r="M17" s="68" t="n"/>
      <c r="N17" s="68" t="n"/>
      <c r="O17" s="68" t="n"/>
      <c r="P17" s="43">
        <f>IF(B17="","",IF(COUNTIF($B$5:$B$49,B17)&gt;1,IF(A17="","",A17&amp;" ")&amp;B17,B17))</f>
        <v/>
      </c>
      <c r="Q17" s="41">
        <f>IF(B17="","",IF('×入力'!F341="未提出","未提出",IF(R17&gt;0,"入力済み",IF('×入力'!F341="×なし（どこでもOK）","×なし","未入力"))))</f>
        <v/>
      </c>
      <c r="R17" s="41">
        <f>IF(B17="","",'calcA'!IN22)</f>
        <v/>
      </c>
      <c r="S17" s="41">
        <f>IF(OR(Q17="入力済み",Q17="×なし"),'calcA'!IM22,"")</f>
        <v/>
      </c>
      <c r="T17" s="41">
        <f>IF('calcA'!C22=1,COUNTIFS('calcA'!$C$10:$C$54,1,'calcA'!$IM$10:$IM$54,"&lt;"&amp;'calcA'!IM22)+1,"")</f>
        <v/>
      </c>
      <c r="U17" s="43">
        <f>IF('calcA'!IO22=0,"",INDEX('設定'!$E$11:$E$16,INDEX('calcA'!$D$2:$EQ$2,'calcA'!IO22)))</f>
        <v/>
      </c>
      <c r="V17" s="41">
        <f>IF('calcA'!IO22=0,"",INDEX('設定'!$I$11:$I$34,INDEX('calcA'!$D$3:$EQ$3,'calcA'!IO22)))</f>
        <v/>
      </c>
      <c r="W17" s="43">
        <f>IF(P17="","",IF('calcA'!JG22=1,"兄弟の日付・時刻が表にありません",IF(COUNTIF('調整・決定'!$C$6:$H$29,P17)&gt;1,"2か所以上に入っています",IF('calcA'!IO22&gt;0,IF(INDEX('calcA'!$D$4:$EQ$4,'calcA'!IO22)=0,"使えない枠に入っています",IF(INDEX('calcA'!$D$22:$EQ$22,'calcA'!IO22)=1,"×の枠に入っています",IF('calcA'!IV22=0,"（出来れば）兄弟の前後ではありません",IF(AND(RIGHT(D17,4)="空けたい",INDEX('calcA'!$D$106:$EQ$106,'calcA'!IO22)=1,INDEX('calcA'!$D$109:$EQ$109,'calcA'!IO22+1)=1),IF(D17="必ず空けたい","後ろの枠が空いていません","（出来れば）後ろが空いていません"),IF(AND(D17="空けない",INDEX('calcA'!$D$106:$EQ$106,'calcA'!IO22)=1,INDEX('calcA'!$D$109:$EQ$109,'calcA'!IO22+1)=0),"（出来れば）すぐ後が空いています",""))))),IF(OR(Q17="入力済み",Q17="×なし"),"未決定","")))))</f>
        <v/>
      </c>
      <c r="X17" s="43">
        <f>IF('calcA'!IK22=0,IF('calcA'!IL22=1,"入る枠がありません",""),INDEX('calcA'!$D$8:$EQ$8,'calcA'!IK22))</f>
        <v/>
      </c>
      <c r="Y17" s="43">
        <f>IF('calcA'!IR22=0,IF('calcA'!IS22=1,"入る枠がありません",""),INDEX('calcA'!$D$8:$EQ$8,'calcA'!IR22))</f>
        <v/>
      </c>
      <c r="Z17" s="70">
        <f>HYPERLINK("#'×入力'!B341","×入力へ")</f>
        <v/>
      </c>
    </row>
    <row r="18" ht="19" customHeight="1">
      <c r="A18" s="68" t="n">
        <v>14</v>
      </c>
      <c r="B18" s="69" t="inlineStr">
        <is>
          <t>山口 ゆな</t>
        </is>
      </c>
      <c r="C18" s="68" t="n"/>
      <c r="D18" s="68" t="inlineStr">
        <is>
          <t>出来れば空けたい</t>
        </is>
      </c>
      <c r="E18" s="68" t="n"/>
      <c r="F18" s="69" t="n"/>
      <c r="G18" s="68" t="n"/>
      <c r="H18" s="68" t="n"/>
      <c r="I18" s="68" t="n"/>
      <c r="J18" s="68" t="n"/>
      <c r="K18" s="68" t="n"/>
      <c r="L18" s="68" t="n"/>
      <c r="M18" s="68" t="n"/>
      <c r="N18" s="68" t="n"/>
      <c r="O18" s="68" t="n"/>
      <c r="P18" s="43">
        <f>IF(B18="","",IF(COUNTIF($B$5:$B$49,B18)&gt;1,IF(A18="","",A18&amp;" ")&amp;B18,B18))</f>
        <v/>
      </c>
      <c r="Q18" s="41">
        <f>IF(B18="","",IF('×入力'!F369="未提出","未提出",IF(R18&gt;0,"入力済み",IF('×入力'!F369="×なし（どこでもOK）","×なし","未入力"))))</f>
        <v/>
      </c>
      <c r="R18" s="41">
        <f>IF(B18="","",'calcA'!IN23)</f>
        <v/>
      </c>
      <c r="S18" s="41">
        <f>IF(OR(Q18="入力済み",Q18="×なし"),'calcA'!IM23,"")</f>
        <v/>
      </c>
      <c r="T18" s="41">
        <f>IF('calcA'!C23=1,COUNTIFS('calcA'!$C$10:$C$54,1,'calcA'!$IM$10:$IM$54,"&lt;"&amp;'calcA'!IM23)+1,"")</f>
        <v/>
      </c>
      <c r="U18" s="43">
        <f>IF('calcA'!IO23=0,"",INDEX('設定'!$E$11:$E$16,INDEX('calcA'!$D$2:$EQ$2,'calcA'!IO23)))</f>
        <v/>
      </c>
      <c r="V18" s="41">
        <f>IF('calcA'!IO23=0,"",INDEX('設定'!$I$11:$I$34,INDEX('calcA'!$D$3:$EQ$3,'calcA'!IO23)))</f>
        <v/>
      </c>
      <c r="W18" s="43">
        <f>IF(P18="","",IF('calcA'!JG23=1,"兄弟の日付・時刻が表にありません",IF(COUNTIF('調整・決定'!$C$6:$H$29,P18)&gt;1,"2か所以上に入っています",IF('calcA'!IO23&gt;0,IF(INDEX('calcA'!$D$4:$EQ$4,'calcA'!IO23)=0,"使えない枠に入っています",IF(INDEX('calcA'!$D$23:$EQ$23,'calcA'!IO23)=1,"×の枠に入っています",IF('calcA'!IV23=0,"（出来れば）兄弟の前後ではありません",IF(AND(RIGHT(D18,4)="空けたい",INDEX('calcA'!$D$106:$EQ$106,'calcA'!IO23)=1,INDEX('calcA'!$D$109:$EQ$109,'calcA'!IO23+1)=1),IF(D18="必ず空けたい","後ろの枠が空いていません","（出来れば）後ろが空いていません"),IF(AND(D18="空けない",INDEX('calcA'!$D$106:$EQ$106,'calcA'!IO23)=1,INDEX('calcA'!$D$109:$EQ$109,'calcA'!IO23+1)=0),"（出来れば）すぐ後が空いています",""))))),IF(OR(Q18="入力済み",Q18="×なし"),"未決定","")))))</f>
        <v/>
      </c>
      <c r="X18" s="43">
        <f>IF('calcA'!IK23=0,IF('calcA'!IL23=1,"入る枠がありません",""),INDEX('calcA'!$D$8:$EQ$8,'calcA'!IK23))</f>
        <v/>
      </c>
      <c r="Y18" s="43">
        <f>IF('calcA'!IR23=0,IF('calcA'!IS23=1,"入る枠がありません",""),INDEX('calcA'!$D$8:$EQ$8,'calcA'!IR23))</f>
        <v/>
      </c>
      <c r="Z18" s="70">
        <f>HYPERLINK("#'×入力'!B369","×入力へ")</f>
        <v/>
      </c>
    </row>
    <row r="19" ht="19" customHeight="1">
      <c r="A19" s="68" t="n">
        <v>15</v>
      </c>
      <c r="B19" s="69" t="inlineStr">
        <is>
          <t>松本 たいが</t>
        </is>
      </c>
      <c r="C19" s="68" t="inlineStr">
        <is>
          <t>早い日</t>
        </is>
      </c>
      <c r="D19" s="68" t="n"/>
      <c r="E19" s="68" t="n"/>
      <c r="F19" s="69" t="n"/>
      <c r="G19" s="68" t="n"/>
      <c r="H19" s="68" t="n"/>
      <c r="I19" s="68" t="n"/>
      <c r="J19" s="68" t="n"/>
      <c r="K19" s="68" t="n"/>
      <c r="L19" s="68" t="n"/>
      <c r="M19" s="68" t="n"/>
      <c r="N19" s="68" t="n"/>
      <c r="O19" s="68" t="n"/>
      <c r="P19" s="43">
        <f>IF(B19="","",IF(COUNTIF($B$5:$B$49,B19)&gt;1,IF(A19="","",A19&amp;" ")&amp;B19,B19))</f>
        <v/>
      </c>
      <c r="Q19" s="41">
        <f>IF(B19="","",IF('×入力'!F397="未提出","未提出",IF(R19&gt;0,"入力済み",IF('×入力'!F397="×なし（どこでもOK）","×なし","未入力"))))</f>
        <v/>
      </c>
      <c r="R19" s="41">
        <f>IF(B19="","",'calcA'!IN24)</f>
        <v/>
      </c>
      <c r="S19" s="41">
        <f>IF(OR(Q19="入力済み",Q19="×なし"),'calcA'!IM24,"")</f>
        <v/>
      </c>
      <c r="T19" s="41">
        <f>IF('calcA'!C24=1,COUNTIFS('calcA'!$C$10:$C$54,1,'calcA'!$IM$10:$IM$54,"&lt;"&amp;'calcA'!IM24)+1,"")</f>
        <v/>
      </c>
      <c r="U19" s="43">
        <f>IF('calcA'!IO24=0,"",INDEX('設定'!$E$11:$E$16,INDEX('calcA'!$D$2:$EQ$2,'calcA'!IO24)))</f>
        <v/>
      </c>
      <c r="V19" s="41">
        <f>IF('calcA'!IO24=0,"",INDEX('設定'!$I$11:$I$34,INDEX('calcA'!$D$3:$EQ$3,'calcA'!IO24)))</f>
        <v/>
      </c>
      <c r="W19" s="43">
        <f>IF(P19="","",IF('calcA'!JG24=1,"兄弟の日付・時刻が表にありません",IF(COUNTIF('調整・決定'!$C$6:$H$29,P19)&gt;1,"2か所以上に入っています",IF('calcA'!IO24&gt;0,IF(INDEX('calcA'!$D$4:$EQ$4,'calcA'!IO24)=0,"使えない枠に入っています",IF(INDEX('calcA'!$D$24:$EQ$24,'calcA'!IO24)=1,"×の枠に入っています",IF('calcA'!IV24=0,"（出来れば）兄弟の前後ではありません",IF(AND(RIGHT(D19,4)="空けたい",INDEX('calcA'!$D$106:$EQ$106,'calcA'!IO24)=1,INDEX('calcA'!$D$109:$EQ$109,'calcA'!IO24+1)=1),IF(D19="必ず空けたい","後ろの枠が空いていません","（出来れば）後ろが空いていません"),IF(AND(D19="空けない",INDEX('calcA'!$D$106:$EQ$106,'calcA'!IO24)=1,INDEX('calcA'!$D$109:$EQ$109,'calcA'!IO24+1)=0),"（出来れば）すぐ後が空いています",""))))),IF(OR(Q19="入力済み",Q19="×なし"),"未決定","")))))</f>
        <v/>
      </c>
      <c r="X19" s="43">
        <f>IF('calcA'!IK24=0,IF('calcA'!IL24=1,"入る枠がありません",""),INDEX('calcA'!$D$8:$EQ$8,'calcA'!IK24))</f>
        <v/>
      </c>
      <c r="Y19" s="43">
        <f>IF('calcA'!IR24=0,IF('calcA'!IS24=1,"入る枠がありません",""),INDEX('calcA'!$D$8:$EQ$8,'calcA'!IR24))</f>
        <v/>
      </c>
      <c r="Z19" s="70">
        <f>HYPERLINK("#'×入力'!B397","×入力へ")</f>
        <v/>
      </c>
    </row>
    <row r="20" ht="19" customHeight="1">
      <c r="A20" s="68" t="n">
        <v>16</v>
      </c>
      <c r="B20" s="69" t="inlineStr">
        <is>
          <t>井上 こはる</t>
        </is>
      </c>
      <c r="C20" s="68" t="n"/>
      <c r="D20" s="68" t="n"/>
      <c r="E20" s="68" t="n"/>
      <c r="F20" s="69" t="n"/>
      <c r="G20" s="68" t="n"/>
      <c r="H20" s="68" t="n"/>
      <c r="I20" s="68" t="n"/>
      <c r="J20" s="68" t="n"/>
      <c r="K20" s="68" t="n"/>
      <c r="L20" s="68" t="n"/>
      <c r="M20" s="68" t="n"/>
      <c r="N20" s="68" t="n"/>
      <c r="O20" s="68" t="n"/>
      <c r="P20" s="43">
        <f>IF(B20="","",IF(COUNTIF($B$5:$B$49,B20)&gt;1,IF(A20="","",A20&amp;" ")&amp;B20,B20))</f>
        <v/>
      </c>
      <c r="Q20" s="41">
        <f>IF(B20="","",IF('×入力'!F425="未提出","未提出",IF(R20&gt;0,"入力済み",IF('×入力'!F425="×なし（どこでもOK）","×なし","未入力"))))</f>
        <v/>
      </c>
      <c r="R20" s="41">
        <f>IF(B20="","",'calcA'!IN25)</f>
        <v/>
      </c>
      <c r="S20" s="41">
        <f>IF(OR(Q20="入力済み",Q20="×なし"),'calcA'!IM25,"")</f>
        <v/>
      </c>
      <c r="T20" s="41">
        <f>IF('calcA'!C25=1,COUNTIFS('calcA'!$C$10:$C$54,1,'calcA'!$IM$10:$IM$54,"&lt;"&amp;'calcA'!IM25)+1,"")</f>
        <v/>
      </c>
      <c r="U20" s="43">
        <f>IF('calcA'!IO25=0,"",INDEX('設定'!$E$11:$E$16,INDEX('calcA'!$D$2:$EQ$2,'calcA'!IO25)))</f>
        <v/>
      </c>
      <c r="V20" s="41">
        <f>IF('calcA'!IO25=0,"",INDEX('設定'!$I$11:$I$34,INDEX('calcA'!$D$3:$EQ$3,'calcA'!IO25)))</f>
        <v/>
      </c>
      <c r="W20" s="43">
        <f>IF(P20="","",IF('calcA'!JG25=1,"兄弟の日付・時刻が表にありません",IF(COUNTIF('調整・決定'!$C$6:$H$29,P20)&gt;1,"2か所以上に入っています",IF('calcA'!IO25&gt;0,IF(INDEX('calcA'!$D$4:$EQ$4,'calcA'!IO25)=0,"使えない枠に入っています",IF(INDEX('calcA'!$D$25:$EQ$25,'calcA'!IO25)=1,"×の枠に入っています",IF('calcA'!IV25=0,"（出来れば）兄弟の前後ではありません",IF(AND(RIGHT(D20,4)="空けたい",INDEX('calcA'!$D$106:$EQ$106,'calcA'!IO25)=1,INDEX('calcA'!$D$109:$EQ$109,'calcA'!IO25+1)=1),IF(D20="必ず空けたい","後ろの枠が空いていません","（出来れば）後ろが空いていません"),IF(AND(D20="空けない",INDEX('calcA'!$D$106:$EQ$106,'calcA'!IO25)=1,INDEX('calcA'!$D$109:$EQ$109,'calcA'!IO25+1)=0),"（出来れば）すぐ後が空いています",""))))),IF(OR(Q20="入力済み",Q20="×なし"),"未決定","")))))</f>
        <v/>
      </c>
      <c r="X20" s="43">
        <f>IF('calcA'!IK25=0,IF('calcA'!IL25=1,"入る枠がありません",""),INDEX('calcA'!$D$8:$EQ$8,'calcA'!IK25))</f>
        <v/>
      </c>
      <c r="Y20" s="43">
        <f>IF('calcA'!IR25=0,IF('calcA'!IS25=1,"入る枠がありません",""),INDEX('calcA'!$D$8:$EQ$8,'calcA'!IR25))</f>
        <v/>
      </c>
      <c r="Z20" s="70">
        <f>HYPERLINK("#'×入力'!B425","×入力へ")</f>
        <v/>
      </c>
    </row>
    <row r="21" ht="19" customHeight="1">
      <c r="A21" s="68" t="n">
        <v>17</v>
      </c>
      <c r="B21" s="69" t="inlineStr">
        <is>
          <t>木村 れん</t>
        </is>
      </c>
      <c r="C21" s="68" t="n"/>
      <c r="D21" s="68" t="n"/>
      <c r="E21" s="68" t="n"/>
      <c r="F21" s="69" t="n"/>
      <c r="G21" s="68" t="n"/>
      <c r="H21" s="68" t="n"/>
      <c r="I21" s="68" t="n"/>
      <c r="J21" s="68" t="n"/>
      <c r="K21" s="68" t="n"/>
      <c r="L21" s="68" t="n"/>
      <c r="M21" s="68" t="n"/>
      <c r="N21" s="68" t="n"/>
      <c r="O21" s="68" t="n"/>
      <c r="P21" s="43">
        <f>IF(B21="","",IF(COUNTIF($B$5:$B$49,B21)&gt;1,IF(A21="","",A21&amp;" ")&amp;B21,B21))</f>
        <v/>
      </c>
      <c r="Q21" s="41">
        <f>IF(B21="","",IF('×入力'!F453="未提出","未提出",IF(R21&gt;0,"入力済み",IF('×入力'!F453="×なし（どこでもOK）","×なし","未入力"))))</f>
        <v/>
      </c>
      <c r="R21" s="41">
        <f>IF(B21="","",'calcA'!IN26)</f>
        <v/>
      </c>
      <c r="S21" s="41">
        <f>IF(OR(Q21="入力済み",Q21="×なし"),'calcA'!IM26,"")</f>
        <v/>
      </c>
      <c r="T21" s="41">
        <f>IF('calcA'!C26=1,COUNTIFS('calcA'!$C$10:$C$54,1,'calcA'!$IM$10:$IM$54,"&lt;"&amp;'calcA'!IM26)+1,"")</f>
        <v/>
      </c>
      <c r="U21" s="43">
        <f>IF('calcA'!IO26=0,"",INDEX('設定'!$E$11:$E$16,INDEX('calcA'!$D$2:$EQ$2,'calcA'!IO26)))</f>
        <v/>
      </c>
      <c r="V21" s="41">
        <f>IF('calcA'!IO26=0,"",INDEX('設定'!$I$11:$I$34,INDEX('calcA'!$D$3:$EQ$3,'calcA'!IO26)))</f>
        <v/>
      </c>
      <c r="W21" s="43">
        <f>IF(P21="","",IF('calcA'!JG26=1,"兄弟の日付・時刻が表にありません",IF(COUNTIF('調整・決定'!$C$6:$H$29,P21)&gt;1,"2か所以上に入っています",IF('calcA'!IO26&gt;0,IF(INDEX('calcA'!$D$4:$EQ$4,'calcA'!IO26)=0,"使えない枠に入っています",IF(INDEX('calcA'!$D$26:$EQ$26,'calcA'!IO26)=1,"×の枠に入っています",IF('calcA'!IV26=0,"（出来れば）兄弟の前後ではありません",IF(AND(RIGHT(D21,4)="空けたい",INDEX('calcA'!$D$106:$EQ$106,'calcA'!IO26)=1,INDEX('calcA'!$D$109:$EQ$109,'calcA'!IO26+1)=1),IF(D21="必ず空けたい","後ろの枠が空いていません","（出来れば）後ろが空いていません"),IF(AND(D21="空けない",INDEX('calcA'!$D$106:$EQ$106,'calcA'!IO26)=1,INDEX('calcA'!$D$109:$EQ$109,'calcA'!IO26+1)=0),"（出来れば）すぐ後が空いています",""))))),IF(OR(Q21="入力済み",Q21="×なし"),"未決定","")))))</f>
        <v/>
      </c>
      <c r="X21" s="43">
        <f>IF('calcA'!IK26=0,IF('calcA'!IL26=1,"入る枠がありません",""),INDEX('calcA'!$D$8:$EQ$8,'calcA'!IK26))</f>
        <v/>
      </c>
      <c r="Y21" s="43">
        <f>IF('calcA'!IR26=0,IF('calcA'!IS26=1,"入る枠がありません",""),INDEX('calcA'!$D$8:$EQ$8,'calcA'!IR26))</f>
        <v/>
      </c>
      <c r="Z21" s="70">
        <f>HYPERLINK("#'×入力'!B453","×入力へ")</f>
        <v/>
      </c>
    </row>
    <row r="22" ht="19" customHeight="1">
      <c r="A22" s="68" t="n">
        <v>18</v>
      </c>
      <c r="B22" s="69" t="inlineStr">
        <is>
          <t>林 みお</t>
        </is>
      </c>
      <c r="C22" s="68" t="n"/>
      <c r="D22" s="68" t="n"/>
      <c r="E22" s="68" t="n"/>
      <c r="F22" s="69" t="n"/>
      <c r="G22" s="68" t="n"/>
      <c r="H22" s="68" t="n"/>
      <c r="I22" s="68" t="n"/>
      <c r="J22" s="68" t="n"/>
      <c r="K22" s="68" t="n"/>
      <c r="L22" s="68" t="n"/>
      <c r="M22" s="68" t="n"/>
      <c r="N22" s="68" t="n"/>
      <c r="O22" s="68" t="n"/>
      <c r="P22" s="43">
        <f>IF(B22="","",IF(COUNTIF($B$5:$B$49,B22)&gt;1,IF(A22="","",A22&amp;" ")&amp;B22,B22))</f>
        <v/>
      </c>
      <c r="Q22" s="41">
        <f>IF(B22="","",IF('×入力'!F481="未提出","未提出",IF(R22&gt;0,"入力済み",IF('×入力'!F481="×なし（どこでもOK）","×なし","未入力"))))</f>
        <v/>
      </c>
      <c r="R22" s="41">
        <f>IF(B22="","",'calcA'!IN27)</f>
        <v/>
      </c>
      <c r="S22" s="41">
        <f>IF(OR(Q22="入力済み",Q22="×なし"),'calcA'!IM27,"")</f>
        <v/>
      </c>
      <c r="T22" s="41">
        <f>IF('calcA'!C27=1,COUNTIFS('calcA'!$C$10:$C$54,1,'calcA'!$IM$10:$IM$54,"&lt;"&amp;'calcA'!IM27)+1,"")</f>
        <v/>
      </c>
      <c r="U22" s="43">
        <f>IF('calcA'!IO27=0,"",INDEX('設定'!$E$11:$E$16,INDEX('calcA'!$D$2:$EQ$2,'calcA'!IO27)))</f>
        <v/>
      </c>
      <c r="V22" s="41">
        <f>IF('calcA'!IO27=0,"",INDEX('設定'!$I$11:$I$34,INDEX('calcA'!$D$3:$EQ$3,'calcA'!IO27)))</f>
        <v/>
      </c>
      <c r="W22" s="43">
        <f>IF(P22="","",IF('calcA'!JG27=1,"兄弟の日付・時刻が表にありません",IF(COUNTIF('調整・決定'!$C$6:$H$29,P22)&gt;1,"2か所以上に入っています",IF('calcA'!IO27&gt;0,IF(INDEX('calcA'!$D$4:$EQ$4,'calcA'!IO27)=0,"使えない枠に入っています",IF(INDEX('calcA'!$D$27:$EQ$27,'calcA'!IO27)=1,"×の枠に入っています",IF('calcA'!IV27=0,"（出来れば）兄弟の前後ではありません",IF(AND(RIGHT(D22,4)="空けたい",INDEX('calcA'!$D$106:$EQ$106,'calcA'!IO27)=1,INDEX('calcA'!$D$109:$EQ$109,'calcA'!IO27+1)=1),IF(D22="必ず空けたい","後ろの枠が空いていません","（出来れば）後ろが空いていません"),IF(AND(D22="空けない",INDEX('calcA'!$D$106:$EQ$106,'calcA'!IO27)=1,INDEX('calcA'!$D$109:$EQ$109,'calcA'!IO27+1)=0),"（出来れば）すぐ後が空いています",""))))),IF(OR(Q22="入力済み",Q22="×なし"),"未決定","")))))</f>
        <v/>
      </c>
      <c r="X22" s="43">
        <f>IF('calcA'!IK27=0,IF('calcA'!IL27=1,"入る枠がありません",""),INDEX('calcA'!$D$8:$EQ$8,'calcA'!IK27))</f>
        <v/>
      </c>
      <c r="Y22" s="43">
        <f>IF('calcA'!IR27=0,IF('calcA'!IS27=1,"入る枠がありません",""),INDEX('calcA'!$D$8:$EQ$8,'calcA'!IR27))</f>
        <v/>
      </c>
      <c r="Z22" s="70">
        <f>HYPERLINK("#'×入力'!B481","×入力へ")</f>
        <v/>
      </c>
    </row>
    <row r="23" ht="19" customHeight="1">
      <c r="A23" s="68" t="n">
        <v>19</v>
      </c>
      <c r="B23" s="69" t="inlineStr">
        <is>
          <t>斎藤 かいと</t>
        </is>
      </c>
      <c r="C23" s="68" t="n"/>
      <c r="D23" s="68" t="n"/>
      <c r="E23" s="68" t="inlineStr">
        <is>
          <t>〇</t>
        </is>
      </c>
      <c r="F23" s="69" t="inlineStr">
        <is>
          <t>1年2組・4年1組</t>
        </is>
      </c>
      <c r="G23" s="68" t="inlineStr">
        <is>
          <t>11月25日（水）</t>
        </is>
      </c>
      <c r="H23" s="68" t="inlineStr">
        <is>
          <t>14:00〜</t>
        </is>
      </c>
      <c r="I23" s="68" t="inlineStr">
        <is>
          <t>どちらでも</t>
        </is>
      </c>
      <c r="J23" s="68" t="inlineStr">
        <is>
          <t>11月25日（水）</t>
        </is>
      </c>
      <c r="K23" s="68" t="inlineStr">
        <is>
          <t>14:30〜</t>
        </is>
      </c>
      <c r="L23" s="68" t="inlineStr">
        <is>
          <t>兄弟②の前</t>
        </is>
      </c>
      <c r="M23" s="68" t="n"/>
      <c r="N23" s="68" t="n"/>
      <c r="O23" s="68" t="n"/>
      <c r="P23" s="43">
        <f>IF(B23="","",IF(COUNTIF($B$5:$B$49,B23)&gt;1,IF(A23="","",A23&amp;" ")&amp;B23,B23))</f>
        <v/>
      </c>
      <c r="Q23" s="41">
        <f>IF(B23="","",IF('×入力'!F509="未提出","未提出",IF(R23&gt;0,"入力済み",IF('×入力'!F509="×なし（どこでもOK）","×なし","未入力"))))</f>
        <v/>
      </c>
      <c r="R23" s="41">
        <f>IF(B23="","",'calcA'!IN28)</f>
        <v/>
      </c>
      <c r="S23" s="41">
        <f>IF(OR(Q23="入力済み",Q23="×なし"),'calcA'!IM28,"")</f>
        <v/>
      </c>
      <c r="T23" s="41">
        <f>IF('calcA'!C28=1,COUNTIFS('calcA'!$C$10:$C$54,1,'calcA'!$IM$10:$IM$54,"&lt;"&amp;'calcA'!IM28)+1,"")</f>
        <v/>
      </c>
      <c r="U23" s="43">
        <f>IF('calcA'!IO28=0,"",INDEX('設定'!$E$11:$E$16,INDEX('calcA'!$D$2:$EQ$2,'calcA'!IO28)))</f>
        <v/>
      </c>
      <c r="V23" s="41">
        <f>IF('calcA'!IO28=0,"",INDEX('設定'!$I$11:$I$34,INDEX('calcA'!$D$3:$EQ$3,'calcA'!IO28)))</f>
        <v/>
      </c>
      <c r="W23" s="43">
        <f>IF(P23="","",IF('calcA'!JG28=1,"兄弟の日付・時刻が表にありません",IF(COUNTIF('調整・決定'!$C$6:$H$29,P23)&gt;1,"2か所以上に入っています",IF('calcA'!IO28&gt;0,IF(INDEX('calcA'!$D$4:$EQ$4,'calcA'!IO28)=0,"使えない枠に入っています",IF(INDEX('calcA'!$D$28:$EQ$28,'calcA'!IO28)=1,"×の枠に入っています",IF('calcA'!IV28=0,"（出来れば）兄弟の前後ではありません",IF(AND(RIGHT(D23,4)="空けたい",INDEX('calcA'!$D$106:$EQ$106,'calcA'!IO28)=1,INDEX('calcA'!$D$109:$EQ$109,'calcA'!IO28+1)=1),IF(D23="必ず空けたい","後ろの枠が空いていません","（出来れば）後ろが空いていません"),IF(AND(D23="空けない",INDEX('calcA'!$D$106:$EQ$106,'calcA'!IO28)=1,INDEX('calcA'!$D$109:$EQ$109,'calcA'!IO28+1)=0),"（出来れば）すぐ後が空いています",""))))),IF(OR(Q23="入力済み",Q23="×なし"),"未決定","")))))</f>
        <v/>
      </c>
      <c r="X23" s="43">
        <f>IF('calcA'!IK28=0,IF('calcA'!IL28=1,"入る枠がありません",""),INDEX('calcA'!$D$8:$EQ$8,'calcA'!IK28))</f>
        <v/>
      </c>
      <c r="Y23" s="43">
        <f>IF('calcA'!IR28=0,IF('calcA'!IS28=1,"入る枠がありません",""),INDEX('calcA'!$D$8:$EQ$8,'calcA'!IR28))</f>
        <v/>
      </c>
      <c r="Z23" s="70">
        <f>HYPERLINK("#'×入力'!B509","×入力へ")</f>
        <v/>
      </c>
    </row>
    <row r="24" ht="19" customHeight="1">
      <c r="A24" s="68" t="n">
        <v>20</v>
      </c>
      <c r="B24" s="69" t="inlineStr">
        <is>
          <t>清水 えま</t>
        </is>
      </c>
      <c r="C24" s="68" t="n"/>
      <c r="D24" s="68" t="n"/>
      <c r="E24" s="68" t="n"/>
      <c r="F24" s="69" t="n"/>
      <c r="G24" s="68" t="n"/>
      <c r="H24" s="68" t="n"/>
      <c r="I24" s="68" t="n"/>
      <c r="J24" s="68" t="n"/>
      <c r="K24" s="68" t="n"/>
      <c r="L24" s="68" t="n"/>
      <c r="M24" s="68" t="n"/>
      <c r="N24" s="68" t="n"/>
      <c r="O24" s="68" t="n"/>
      <c r="P24" s="43">
        <f>IF(B24="","",IF(COUNTIF($B$5:$B$49,B24)&gt;1,IF(A24="","",A24&amp;" ")&amp;B24,B24))</f>
        <v/>
      </c>
      <c r="Q24" s="41">
        <f>IF(B24="","",IF('×入力'!F537="未提出","未提出",IF(R24&gt;0,"入力済み",IF('×入力'!F537="×なし（どこでもOK）","×なし","未入力"))))</f>
        <v/>
      </c>
      <c r="R24" s="41">
        <f>IF(B24="","",'calcA'!IN29)</f>
        <v/>
      </c>
      <c r="S24" s="41">
        <f>IF(OR(Q24="入力済み",Q24="×なし"),'calcA'!IM29,"")</f>
        <v/>
      </c>
      <c r="T24" s="41">
        <f>IF('calcA'!C29=1,COUNTIFS('calcA'!$C$10:$C$54,1,'calcA'!$IM$10:$IM$54,"&lt;"&amp;'calcA'!IM29)+1,"")</f>
        <v/>
      </c>
      <c r="U24" s="43">
        <f>IF('calcA'!IO29=0,"",INDEX('設定'!$E$11:$E$16,INDEX('calcA'!$D$2:$EQ$2,'calcA'!IO29)))</f>
        <v/>
      </c>
      <c r="V24" s="41">
        <f>IF('calcA'!IO29=0,"",INDEX('設定'!$I$11:$I$34,INDEX('calcA'!$D$3:$EQ$3,'calcA'!IO29)))</f>
        <v/>
      </c>
      <c r="W24" s="43">
        <f>IF(P24="","",IF('calcA'!JG29=1,"兄弟の日付・時刻が表にありません",IF(COUNTIF('調整・決定'!$C$6:$H$29,P24)&gt;1,"2か所以上に入っています",IF('calcA'!IO29&gt;0,IF(INDEX('calcA'!$D$4:$EQ$4,'calcA'!IO29)=0,"使えない枠に入っています",IF(INDEX('calcA'!$D$29:$EQ$29,'calcA'!IO29)=1,"×の枠に入っています",IF('calcA'!IV29=0,"（出来れば）兄弟の前後ではありません",IF(AND(RIGHT(D24,4)="空けたい",INDEX('calcA'!$D$106:$EQ$106,'calcA'!IO29)=1,INDEX('calcA'!$D$109:$EQ$109,'calcA'!IO29+1)=1),IF(D24="必ず空けたい","後ろの枠が空いていません","（出来れば）後ろが空いていません"),IF(AND(D24="空けない",INDEX('calcA'!$D$106:$EQ$106,'calcA'!IO29)=1,INDEX('calcA'!$D$109:$EQ$109,'calcA'!IO29+1)=0),"（出来れば）すぐ後が空いています",""))))),IF(OR(Q24="入力済み",Q24="×なし"),"未決定","")))))</f>
        <v/>
      </c>
      <c r="X24" s="43">
        <f>IF('calcA'!IK29=0,IF('calcA'!IL29=1,"入る枠がありません",""),INDEX('calcA'!$D$8:$EQ$8,'calcA'!IK29))</f>
        <v/>
      </c>
      <c r="Y24" s="43">
        <f>IF('calcA'!IR29=0,IF('calcA'!IS29=1,"入る枠がありません",""),INDEX('calcA'!$D$8:$EQ$8,'calcA'!IR29))</f>
        <v/>
      </c>
      <c r="Z24" s="70">
        <f>HYPERLINK("#'×入力'!B537","×入力へ")</f>
        <v/>
      </c>
    </row>
    <row r="25" ht="19" customHeight="1">
      <c r="A25" s="68" t="n">
        <v>21</v>
      </c>
      <c r="B25" s="69" t="inlineStr">
        <is>
          <t>山崎 はやと</t>
        </is>
      </c>
      <c r="C25" s="68" t="n"/>
      <c r="D25" s="68" t="inlineStr">
        <is>
          <t>必ず空けたい</t>
        </is>
      </c>
      <c r="E25" s="68" t="n"/>
      <c r="F25" s="69" t="n"/>
      <c r="G25" s="68" t="n"/>
      <c r="H25" s="68" t="n"/>
      <c r="I25" s="68" t="n"/>
      <c r="J25" s="68" t="n"/>
      <c r="K25" s="68" t="n"/>
      <c r="L25" s="68" t="n"/>
      <c r="M25" s="68" t="n"/>
      <c r="N25" s="68" t="n"/>
      <c r="O25" s="68" t="n"/>
      <c r="P25" s="43">
        <f>IF(B25="","",IF(COUNTIF($B$5:$B$49,B25)&gt;1,IF(A25="","",A25&amp;" ")&amp;B25,B25))</f>
        <v/>
      </c>
      <c r="Q25" s="41">
        <f>IF(B25="","",IF('×入力'!F565="未提出","未提出",IF(R25&gt;0,"入力済み",IF('×入力'!F565="×なし（どこでもOK）","×なし","未入力"))))</f>
        <v/>
      </c>
      <c r="R25" s="41">
        <f>IF(B25="","",'calcA'!IN30)</f>
        <v/>
      </c>
      <c r="S25" s="41">
        <f>IF(OR(Q25="入力済み",Q25="×なし"),'calcA'!IM30,"")</f>
        <v/>
      </c>
      <c r="T25" s="41">
        <f>IF('calcA'!C30=1,COUNTIFS('calcA'!$C$10:$C$54,1,'calcA'!$IM$10:$IM$54,"&lt;"&amp;'calcA'!IM30)+1,"")</f>
        <v/>
      </c>
      <c r="U25" s="43">
        <f>IF('calcA'!IO30=0,"",INDEX('設定'!$E$11:$E$16,INDEX('calcA'!$D$2:$EQ$2,'calcA'!IO30)))</f>
        <v/>
      </c>
      <c r="V25" s="41">
        <f>IF('calcA'!IO30=0,"",INDEX('設定'!$I$11:$I$34,INDEX('calcA'!$D$3:$EQ$3,'calcA'!IO30)))</f>
        <v/>
      </c>
      <c r="W25" s="43">
        <f>IF(P25="","",IF('calcA'!JG30=1,"兄弟の日付・時刻が表にありません",IF(COUNTIF('調整・決定'!$C$6:$H$29,P25)&gt;1,"2か所以上に入っています",IF('calcA'!IO30&gt;0,IF(INDEX('calcA'!$D$4:$EQ$4,'calcA'!IO30)=0,"使えない枠に入っています",IF(INDEX('calcA'!$D$30:$EQ$30,'calcA'!IO30)=1,"×の枠に入っています",IF('calcA'!IV30=0,"（出来れば）兄弟の前後ではありません",IF(AND(RIGHT(D25,4)="空けたい",INDEX('calcA'!$D$106:$EQ$106,'calcA'!IO30)=1,INDEX('calcA'!$D$109:$EQ$109,'calcA'!IO30+1)=1),IF(D25="必ず空けたい","後ろの枠が空いていません","（出来れば）後ろが空いていません"),IF(AND(D25="空けない",INDEX('calcA'!$D$106:$EQ$106,'calcA'!IO30)=1,INDEX('calcA'!$D$109:$EQ$109,'calcA'!IO30+1)=0),"（出来れば）すぐ後が空いています",""))))),IF(OR(Q25="入力済み",Q25="×なし"),"未決定","")))))</f>
        <v/>
      </c>
      <c r="X25" s="43">
        <f>IF('calcA'!IK30=0,IF('calcA'!IL30=1,"入る枠がありません",""),INDEX('calcA'!$D$8:$EQ$8,'calcA'!IK30))</f>
        <v/>
      </c>
      <c r="Y25" s="43">
        <f>IF('calcA'!IR30=0,IF('calcA'!IS30=1,"入る枠がありません",""),INDEX('calcA'!$D$8:$EQ$8,'calcA'!IR30))</f>
        <v/>
      </c>
      <c r="Z25" s="70">
        <f>HYPERLINK("#'×入力'!B565","×入力へ")</f>
        <v/>
      </c>
    </row>
    <row r="26" ht="19" customHeight="1">
      <c r="A26" s="68" t="n">
        <v>22</v>
      </c>
      <c r="B26" s="69" t="inlineStr">
        <is>
          <t>森 つむぎ</t>
        </is>
      </c>
      <c r="C26" s="68" t="n"/>
      <c r="D26" s="68" t="n"/>
      <c r="E26" s="68" t="n"/>
      <c r="F26" s="69" t="n"/>
      <c r="G26" s="68" t="n"/>
      <c r="H26" s="68" t="n"/>
      <c r="I26" s="68" t="n"/>
      <c r="J26" s="68" t="n"/>
      <c r="K26" s="68" t="n"/>
      <c r="L26" s="68" t="n"/>
      <c r="M26" s="68" t="n"/>
      <c r="N26" s="68" t="n"/>
      <c r="O26" s="68" t="n"/>
      <c r="P26" s="43">
        <f>IF(B26="","",IF(COUNTIF($B$5:$B$49,B26)&gt;1,IF(A26="","",A26&amp;" ")&amp;B26,B26))</f>
        <v/>
      </c>
      <c r="Q26" s="41">
        <f>IF(B26="","",IF('×入力'!F593="未提出","未提出",IF(R26&gt;0,"入力済み",IF('×入力'!F593="×なし（どこでもOK）","×なし","未入力"))))</f>
        <v/>
      </c>
      <c r="R26" s="41">
        <f>IF(B26="","",'calcA'!IN31)</f>
        <v/>
      </c>
      <c r="S26" s="41">
        <f>IF(OR(Q26="入力済み",Q26="×なし"),'calcA'!IM31,"")</f>
        <v/>
      </c>
      <c r="T26" s="41">
        <f>IF('calcA'!C31=1,COUNTIFS('calcA'!$C$10:$C$54,1,'calcA'!$IM$10:$IM$54,"&lt;"&amp;'calcA'!IM31)+1,"")</f>
        <v/>
      </c>
      <c r="U26" s="43">
        <f>IF('calcA'!IO31=0,"",INDEX('設定'!$E$11:$E$16,INDEX('calcA'!$D$2:$EQ$2,'calcA'!IO31)))</f>
        <v/>
      </c>
      <c r="V26" s="41">
        <f>IF('calcA'!IO31=0,"",INDEX('設定'!$I$11:$I$34,INDEX('calcA'!$D$3:$EQ$3,'calcA'!IO31)))</f>
        <v/>
      </c>
      <c r="W26" s="43">
        <f>IF(P26="","",IF('calcA'!JG31=1,"兄弟の日付・時刻が表にありません",IF(COUNTIF('調整・決定'!$C$6:$H$29,P26)&gt;1,"2か所以上に入っています",IF('calcA'!IO31&gt;0,IF(INDEX('calcA'!$D$4:$EQ$4,'calcA'!IO31)=0,"使えない枠に入っています",IF(INDEX('calcA'!$D$31:$EQ$31,'calcA'!IO31)=1,"×の枠に入っています",IF('calcA'!IV31=0,"（出来れば）兄弟の前後ではありません",IF(AND(RIGHT(D26,4)="空けたい",INDEX('calcA'!$D$106:$EQ$106,'calcA'!IO31)=1,INDEX('calcA'!$D$109:$EQ$109,'calcA'!IO31+1)=1),IF(D26="必ず空けたい","後ろの枠が空いていません","（出来れば）後ろが空いていません"),IF(AND(D26="空けない",INDEX('calcA'!$D$106:$EQ$106,'calcA'!IO31)=1,INDEX('calcA'!$D$109:$EQ$109,'calcA'!IO31+1)=0),"（出来れば）すぐ後が空いています",""))))),IF(OR(Q26="入力済み",Q26="×なし"),"未決定","")))))</f>
        <v/>
      </c>
      <c r="X26" s="43">
        <f>IF('calcA'!IK31=0,IF('calcA'!IL31=1,"入る枠がありません",""),INDEX('calcA'!$D$8:$EQ$8,'calcA'!IK31))</f>
        <v/>
      </c>
      <c r="Y26" s="43">
        <f>IF('calcA'!IR31=0,IF('calcA'!IS31=1,"入る枠がありません",""),INDEX('calcA'!$D$8:$EQ$8,'calcA'!IR31))</f>
        <v/>
      </c>
      <c r="Z26" s="70">
        <f>HYPERLINK("#'×入力'!B593","×入力へ")</f>
        <v/>
      </c>
    </row>
    <row r="27" ht="19" customHeight="1">
      <c r="A27" s="68" t="n">
        <v>23</v>
      </c>
      <c r="B27" s="69" t="inlineStr">
        <is>
          <t>池田 あさひ</t>
        </is>
      </c>
      <c r="C27" s="68" t="inlineStr">
        <is>
          <t>遅い日</t>
        </is>
      </c>
      <c r="D27" s="68" t="n"/>
      <c r="E27" s="68" t="n"/>
      <c r="F27" s="69" t="n"/>
      <c r="G27" s="68" t="n"/>
      <c r="H27" s="68" t="n"/>
      <c r="I27" s="68" t="n"/>
      <c r="J27" s="68" t="n"/>
      <c r="K27" s="68" t="n"/>
      <c r="L27" s="68" t="n"/>
      <c r="M27" s="68" t="n"/>
      <c r="N27" s="68" t="n"/>
      <c r="O27" s="68" t="n"/>
      <c r="P27" s="43">
        <f>IF(B27="","",IF(COUNTIF($B$5:$B$49,B27)&gt;1,IF(A27="","",A27&amp;" ")&amp;B27,B27))</f>
        <v/>
      </c>
      <c r="Q27" s="41">
        <f>IF(B27="","",IF('×入力'!F621="未提出","未提出",IF(R27&gt;0,"入力済み",IF('×入力'!F621="×なし（どこでもOK）","×なし","未入力"))))</f>
        <v/>
      </c>
      <c r="R27" s="41">
        <f>IF(B27="","",'calcA'!IN32)</f>
        <v/>
      </c>
      <c r="S27" s="41">
        <f>IF(OR(Q27="入力済み",Q27="×なし"),'calcA'!IM32,"")</f>
        <v/>
      </c>
      <c r="T27" s="41">
        <f>IF('calcA'!C32=1,COUNTIFS('calcA'!$C$10:$C$54,1,'calcA'!$IM$10:$IM$54,"&lt;"&amp;'calcA'!IM32)+1,"")</f>
        <v/>
      </c>
      <c r="U27" s="43">
        <f>IF('calcA'!IO32=0,"",INDEX('設定'!$E$11:$E$16,INDEX('calcA'!$D$2:$EQ$2,'calcA'!IO32)))</f>
        <v/>
      </c>
      <c r="V27" s="41">
        <f>IF('calcA'!IO32=0,"",INDEX('設定'!$I$11:$I$34,INDEX('calcA'!$D$3:$EQ$3,'calcA'!IO32)))</f>
        <v/>
      </c>
      <c r="W27" s="43">
        <f>IF(P27="","",IF('calcA'!JG32=1,"兄弟の日付・時刻が表にありません",IF(COUNTIF('調整・決定'!$C$6:$H$29,P27)&gt;1,"2か所以上に入っています",IF('calcA'!IO32&gt;0,IF(INDEX('calcA'!$D$4:$EQ$4,'calcA'!IO32)=0,"使えない枠に入っています",IF(INDEX('calcA'!$D$32:$EQ$32,'calcA'!IO32)=1,"×の枠に入っています",IF('calcA'!IV32=0,"（出来れば）兄弟の前後ではありません",IF(AND(RIGHT(D27,4)="空けたい",INDEX('calcA'!$D$106:$EQ$106,'calcA'!IO32)=1,INDEX('calcA'!$D$109:$EQ$109,'calcA'!IO32+1)=1),IF(D27="必ず空けたい","後ろの枠が空いていません","（出来れば）後ろが空いていません"),IF(AND(D27="空けない",INDEX('calcA'!$D$106:$EQ$106,'calcA'!IO32)=1,INDEX('calcA'!$D$109:$EQ$109,'calcA'!IO32+1)=0),"（出来れば）すぐ後が空いています",""))))),IF(OR(Q27="入力済み",Q27="×なし"),"未決定","")))))</f>
        <v/>
      </c>
      <c r="X27" s="43">
        <f>IF('calcA'!IK32=0,IF('calcA'!IL32=1,"入る枠がありません",""),INDEX('calcA'!$D$8:$EQ$8,'calcA'!IK32))</f>
        <v/>
      </c>
      <c r="Y27" s="43">
        <f>IF('calcA'!IR32=0,IF('calcA'!IS32=1,"入る枠がありません",""),INDEX('calcA'!$D$8:$EQ$8,'calcA'!IR32))</f>
        <v/>
      </c>
      <c r="Z27" s="70">
        <f>HYPERLINK("#'×入力'!B621","×入力へ")</f>
        <v/>
      </c>
    </row>
    <row r="28" ht="19" customHeight="1">
      <c r="A28" s="68" t="n">
        <v>24</v>
      </c>
      <c r="B28" s="69" t="inlineStr">
        <is>
          <t>橋本 ここな</t>
        </is>
      </c>
      <c r="C28" s="68" t="n"/>
      <c r="D28" s="68" t="n"/>
      <c r="E28" s="68" t="n"/>
      <c r="F28" s="69" t="n"/>
      <c r="G28" s="68" t="n"/>
      <c r="H28" s="68" t="n"/>
      <c r="I28" s="68" t="n"/>
      <c r="J28" s="68" t="n"/>
      <c r="K28" s="68" t="n"/>
      <c r="L28" s="68" t="n"/>
      <c r="M28" s="68" t="n"/>
      <c r="N28" s="68" t="n"/>
      <c r="O28" s="68" t="n"/>
      <c r="P28" s="43">
        <f>IF(B28="","",IF(COUNTIF($B$5:$B$49,B28)&gt;1,IF(A28="","",A28&amp;" ")&amp;B28,B28))</f>
        <v/>
      </c>
      <c r="Q28" s="41">
        <f>IF(B28="","",IF('×入力'!F649="未提出","未提出",IF(R28&gt;0,"入力済み",IF('×入力'!F649="×なし（どこでもOK）","×なし","未入力"))))</f>
        <v/>
      </c>
      <c r="R28" s="41">
        <f>IF(B28="","",'calcA'!IN33)</f>
        <v/>
      </c>
      <c r="S28" s="41">
        <f>IF(OR(Q28="入力済み",Q28="×なし"),'calcA'!IM33,"")</f>
        <v/>
      </c>
      <c r="T28" s="41">
        <f>IF('calcA'!C33=1,COUNTIFS('calcA'!$C$10:$C$54,1,'calcA'!$IM$10:$IM$54,"&lt;"&amp;'calcA'!IM33)+1,"")</f>
        <v/>
      </c>
      <c r="U28" s="43">
        <f>IF('calcA'!IO33=0,"",INDEX('設定'!$E$11:$E$16,INDEX('calcA'!$D$2:$EQ$2,'calcA'!IO33)))</f>
        <v/>
      </c>
      <c r="V28" s="41">
        <f>IF('calcA'!IO33=0,"",INDEX('設定'!$I$11:$I$34,INDEX('calcA'!$D$3:$EQ$3,'calcA'!IO33)))</f>
        <v/>
      </c>
      <c r="W28" s="43">
        <f>IF(P28="","",IF('calcA'!JG33=1,"兄弟の日付・時刻が表にありません",IF(COUNTIF('調整・決定'!$C$6:$H$29,P28)&gt;1,"2か所以上に入っています",IF('calcA'!IO33&gt;0,IF(INDEX('calcA'!$D$4:$EQ$4,'calcA'!IO33)=0,"使えない枠に入っています",IF(INDEX('calcA'!$D$33:$EQ$33,'calcA'!IO33)=1,"×の枠に入っています",IF('calcA'!IV33=0,"（出来れば）兄弟の前後ではありません",IF(AND(RIGHT(D28,4)="空けたい",INDEX('calcA'!$D$106:$EQ$106,'calcA'!IO33)=1,INDEX('calcA'!$D$109:$EQ$109,'calcA'!IO33+1)=1),IF(D28="必ず空けたい","後ろの枠が空いていません","（出来れば）後ろが空いていません"),IF(AND(D28="空けない",INDEX('calcA'!$D$106:$EQ$106,'calcA'!IO33)=1,INDEX('calcA'!$D$109:$EQ$109,'calcA'!IO33+1)=0),"（出来れば）すぐ後が空いています",""))))),IF(OR(Q28="入力済み",Q28="×なし"),"未決定","")))))</f>
        <v/>
      </c>
      <c r="X28" s="43">
        <f>IF('calcA'!IK33=0,IF('calcA'!IL33=1,"入る枠がありません",""),INDEX('calcA'!$D$8:$EQ$8,'calcA'!IK33))</f>
        <v/>
      </c>
      <c r="Y28" s="43">
        <f>IF('calcA'!IR33=0,IF('calcA'!IS33=1,"入る枠がありません",""),INDEX('calcA'!$D$8:$EQ$8,'calcA'!IR33))</f>
        <v/>
      </c>
      <c r="Z28" s="70">
        <f>HYPERLINK("#'×入力'!B649","×入力へ")</f>
        <v/>
      </c>
    </row>
    <row r="29" ht="19" customHeight="1">
      <c r="A29" s="68" t="n">
        <v>25</v>
      </c>
      <c r="B29" s="69" t="inlineStr">
        <is>
          <t>阿部 ゆうま</t>
        </is>
      </c>
      <c r="C29" s="68" t="n"/>
      <c r="D29" s="68" t="inlineStr">
        <is>
          <t>空けない</t>
        </is>
      </c>
      <c r="E29" s="68" t="n"/>
      <c r="F29" s="69" t="n"/>
      <c r="G29" s="68" t="n"/>
      <c r="H29" s="68" t="n"/>
      <c r="I29" s="68" t="n"/>
      <c r="J29" s="68" t="n"/>
      <c r="K29" s="68" t="n"/>
      <c r="L29" s="68" t="n"/>
      <c r="M29" s="68" t="n"/>
      <c r="N29" s="68" t="n"/>
      <c r="O29" s="68" t="n"/>
      <c r="P29" s="43">
        <f>IF(B29="","",IF(COUNTIF($B$5:$B$49,B29)&gt;1,IF(A29="","",A29&amp;" ")&amp;B29,B29))</f>
        <v/>
      </c>
      <c r="Q29" s="41">
        <f>IF(B29="","",IF('×入力'!F677="未提出","未提出",IF(R29&gt;0,"入力済み",IF('×入力'!F677="×なし（どこでもOK）","×なし","未入力"))))</f>
        <v/>
      </c>
      <c r="R29" s="41">
        <f>IF(B29="","",'calcA'!IN34)</f>
        <v/>
      </c>
      <c r="S29" s="41">
        <f>IF(OR(Q29="入力済み",Q29="×なし"),'calcA'!IM34,"")</f>
        <v/>
      </c>
      <c r="T29" s="41">
        <f>IF('calcA'!C34=1,COUNTIFS('calcA'!$C$10:$C$54,1,'calcA'!$IM$10:$IM$54,"&lt;"&amp;'calcA'!IM34)+1,"")</f>
        <v/>
      </c>
      <c r="U29" s="43">
        <f>IF('calcA'!IO34=0,"",INDEX('設定'!$E$11:$E$16,INDEX('calcA'!$D$2:$EQ$2,'calcA'!IO34)))</f>
        <v/>
      </c>
      <c r="V29" s="41">
        <f>IF('calcA'!IO34=0,"",INDEX('設定'!$I$11:$I$34,INDEX('calcA'!$D$3:$EQ$3,'calcA'!IO34)))</f>
        <v/>
      </c>
      <c r="W29" s="43">
        <f>IF(P29="","",IF('calcA'!JG34=1,"兄弟の日付・時刻が表にありません",IF(COUNTIF('調整・決定'!$C$6:$H$29,P29)&gt;1,"2か所以上に入っています",IF('calcA'!IO34&gt;0,IF(INDEX('calcA'!$D$4:$EQ$4,'calcA'!IO34)=0,"使えない枠に入っています",IF(INDEX('calcA'!$D$34:$EQ$34,'calcA'!IO34)=1,"×の枠に入っています",IF('calcA'!IV34=0,"（出来れば）兄弟の前後ではありません",IF(AND(RIGHT(D29,4)="空けたい",INDEX('calcA'!$D$106:$EQ$106,'calcA'!IO34)=1,INDEX('calcA'!$D$109:$EQ$109,'calcA'!IO34+1)=1),IF(D29="必ず空けたい","後ろの枠が空いていません","（出来れば）後ろが空いていません"),IF(AND(D29="空けない",INDEX('calcA'!$D$106:$EQ$106,'calcA'!IO34)=1,INDEX('calcA'!$D$109:$EQ$109,'calcA'!IO34+1)=0),"（出来れば）すぐ後が空いています",""))))),IF(OR(Q29="入力済み",Q29="×なし"),"未決定","")))))</f>
        <v/>
      </c>
      <c r="X29" s="43">
        <f>IF('calcA'!IK34=0,IF('calcA'!IL34=1,"入る枠がありません",""),INDEX('calcA'!$D$8:$EQ$8,'calcA'!IK34))</f>
        <v/>
      </c>
      <c r="Y29" s="43">
        <f>IF('calcA'!IR34=0,IF('calcA'!IS34=1,"入る枠がありません",""),INDEX('calcA'!$D$8:$EQ$8,'calcA'!IR34))</f>
        <v/>
      </c>
      <c r="Z29" s="70">
        <f>HYPERLINK("#'×入力'!B677","×入力へ")</f>
        <v/>
      </c>
    </row>
    <row r="30" ht="19" customHeight="1">
      <c r="A30" s="68" t="n">
        <v>26</v>
      </c>
      <c r="B30" s="69" t="inlineStr">
        <is>
          <t>石川 ほのか</t>
        </is>
      </c>
      <c r="C30" s="68" t="n"/>
      <c r="D30" s="68" t="n"/>
      <c r="E30" s="68" t="n"/>
      <c r="F30" s="69" t="n"/>
      <c r="G30" s="68" t="n"/>
      <c r="H30" s="68" t="n"/>
      <c r="I30" s="68" t="n"/>
      <c r="J30" s="68" t="n"/>
      <c r="K30" s="68" t="n"/>
      <c r="L30" s="68" t="n"/>
      <c r="M30" s="68" t="n"/>
      <c r="N30" s="68" t="n"/>
      <c r="O30" s="68" t="n"/>
      <c r="P30" s="43">
        <f>IF(B30="","",IF(COUNTIF($B$5:$B$49,B30)&gt;1,IF(A30="","",A30&amp;" ")&amp;B30,B30))</f>
        <v/>
      </c>
      <c r="Q30" s="41">
        <f>IF(B30="","",IF('×入力'!F705="未提出","未提出",IF(R30&gt;0,"入力済み",IF('×入力'!F705="×なし（どこでもOK）","×なし","未入力"))))</f>
        <v/>
      </c>
      <c r="R30" s="41">
        <f>IF(B30="","",'calcA'!IN35)</f>
        <v/>
      </c>
      <c r="S30" s="41">
        <f>IF(OR(Q30="入力済み",Q30="×なし"),'calcA'!IM35,"")</f>
        <v/>
      </c>
      <c r="T30" s="41">
        <f>IF('calcA'!C35=1,COUNTIFS('calcA'!$C$10:$C$54,1,'calcA'!$IM$10:$IM$54,"&lt;"&amp;'calcA'!IM35)+1,"")</f>
        <v/>
      </c>
      <c r="U30" s="43">
        <f>IF('calcA'!IO35=0,"",INDEX('設定'!$E$11:$E$16,INDEX('calcA'!$D$2:$EQ$2,'calcA'!IO35)))</f>
        <v/>
      </c>
      <c r="V30" s="41">
        <f>IF('calcA'!IO35=0,"",INDEX('設定'!$I$11:$I$34,INDEX('calcA'!$D$3:$EQ$3,'calcA'!IO35)))</f>
        <v/>
      </c>
      <c r="W30" s="43">
        <f>IF(P30="","",IF('calcA'!JG35=1,"兄弟の日付・時刻が表にありません",IF(COUNTIF('調整・決定'!$C$6:$H$29,P30)&gt;1,"2か所以上に入っています",IF('calcA'!IO35&gt;0,IF(INDEX('calcA'!$D$4:$EQ$4,'calcA'!IO35)=0,"使えない枠に入っています",IF(INDEX('calcA'!$D$35:$EQ$35,'calcA'!IO35)=1,"×の枠に入っています",IF('calcA'!IV35=0,"（出来れば）兄弟の前後ではありません",IF(AND(RIGHT(D30,4)="空けたい",INDEX('calcA'!$D$106:$EQ$106,'calcA'!IO35)=1,INDEX('calcA'!$D$109:$EQ$109,'calcA'!IO35+1)=1),IF(D30="必ず空けたい","後ろの枠が空いていません","（出来れば）後ろが空いていません"),IF(AND(D30="空けない",INDEX('calcA'!$D$106:$EQ$106,'calcA'!IO35)=1,INDEX('calcA'!$D$109:$EQ$109,'calcA'!IO35+1)=0),"（出来れば）すぐ後が空いています",""))))),IF(OR(Q30="入力済み",Q30="×なし"),"未決定","")))))</f>
        <v/>
      </c>
      <c r="X30" s="43">
        <f>IF('calcA'!IK35=0,IF('calcA'!IL35=1,"入る枠がありません",""),INDEX('calcA'!$D$8:$EQ$8,'calcA'!IK35))</f>
        <v/>
      </c>
      <c r="Y30" s="43">
        <f>IF('calcA'!IR35=0,IF('calcA'!IS35=1,"入る枠がありません",""),INDEX('calcA'!$D$8:$EQ$8,'calcA'!IR35))</f>
        <v/>
      </c>
      <c r="Z30" s="70">
        <f>HYPERLINK("#'×入力'!B705","×入力へ")</f>
        <v/>
      </c>
    </row>
    <row r="31" ht="19" customHeight="1">
      <c r="A31" s="68" t="n">
        <v>27</v>
      </c>
      <c r="B31" s="69" t="inlineStr">
        <is>
          <t>山下 しょう</t>
        </is>
      </c>
      <c r="C31" s="68" t="n"/>
      <c r="D31" s="68" t="n"/>
      <c r="E31" s="68" t="inlineStr">
        <is>
          <t>〇</t>
        </is>
      </c>
      <c r="F31" s="69" t="inlineStr">
        <is>
          <t>3年1組</t>
        </is>
      </c>
      <c r="G31" s="68" t="n"/>
      <c r="H31" s="68" t="n"/>
      <c r="I31" s="68" t="n"/>
      <c r="J31" s="68" t="n"/>
      <c r="K31" s="68" t="n"/>
      <c r="L31" s="68" t="n"/>
      <c r="M31" s="68" t="n"/>
      <c r="N31" s="68" t="n"/>
      <c r="O31" s="68" t="n"/>
      <c r="P31" s="43">
        <f>IF(B31="","",IF(COUNTIF($B$5:$B$49,B31)&gt;1,IF(A31="","",A31&amp;" ")&amp;B31,B31))</f>
        <v/>
      </c>
      <c r="Q31" s="41">
        <f>IF(B31="","",IF('×入力'!F733="未提出","未提出",IF(R31&gt;0,"入力済み",IF('×入力'!F733="×なし（どこでもOK）","×なし","未入力"))))</f>
        <v/>
      </c>
      <c r="R31" s="41">
        <f>IF(B31="","",'calcA'!IN36)</f>
        <v/>
      </c>
      <c r="S31" s="41">
        <f>IF(OR(Q31="入力済み",Q31="×なし"),'calcA'!IM36,"")</f>
        <v/>
      </c>
      <c r="T31" s="41">
        <f>IF('calcA'!C36=1,COUNTIFS('calcA'!$C$10:$C$54,1,'calcA'!$IM$10:$IM$54,"&lt;"&amp;'calcA'!IM36)+1,"")</f>
        <v/>
      </c>
      <c r="U31" s="43">
        <f>IF('calcA'!IO36=0,"",INDEX('設定'!$E$11:$E$16,INDEX('calcA'!$D$2:$EQ$2,'calcA'!IO36)))</f>
        <v/>
      </c>
      <c r="V31" s="41">
        <f>IF('calcA'!IO36=0,"",INDEX('設定'!$I$11:$I$34,INDEX('calcA'!$D$3:$EQ$3,'calcA'!IO36)))</f>
        <v/>
      </c>
      <c r="W31" s="43">
        <f>IF(P31="","",IF('calcA'!JG36=1,"兄弟の日付・時刻が表にありません",IF(COUNTIF('調整・決定'!$C$6:$H$29,P31)&gt;1,"2か所以上に入っています",IF('calcA'!IO36&gt;0,IF(INDEX('calcA'!$D$4:$EQ$4,'calcA'!IO36)=0,"使えない枠に入っています",IF(INDEX('calcA'!$D$36:$EQ$36,'calcA'!IO36)=1,"×の枠に入っています",IF('calcA'!IV36=0,"（出来れば）兄弟の前後ではありません",IF(AND(RIGHT(D31,4)="空けたい",INDEX('calcA'!$D$106:$EQ$106,'calcA'!IO36)=1,INDEX('calcA'!$D$109:$EQ$109,'calcA'!IO36+1)=1),IF(D31="必ず空けたい","後ろの枠が空いていません","（出来れば）後ろが空いていません"),IF(AND(D31="空けない",INDEX('calcA'!$D$106:$EQ$106,'calcA'!IO36)=1,INDEX('calcA'!$D$109:$EQ$109,'calcA'!IO36+1)=0),"（出来れば）すぐ後が空いています",""))))),IF(OR(Q31="入力済み",Q31="×なし"),"未決定","")))))</f>
        <v/>
      </c>
      <c r="X31" s="43">
        <f>IF('calcA'!IK36=0,IF('calcA'!IL36=1,"入る枠がありません",""),INDEX('calcA'!$D$8:$EQ$8,'calcA'!IK36))</f>
        <v/>
      </c>
      <c r="Y31" s="43">
        <f>IF('calcA'!IR36=0,IF('calcA'!IS36=1,"入る枠がありません",""),INDEX('calcA'!$D$8:$EQ$8,'calcA'!IR36))</f>
        <v/>
      </c>
      <c r="Z31" s="70">
        <f>HYPERLINK("#'×入力'!B733","×入力へ")</f>
        <v/>
      </c>
    </row>
    <row r="32" ht="19" customHeight="1">
      <c r="A32" s="68" t="n">
        <v>28</v>
      </c>
      <c r="B32" s="69" t="inlineStr">
        <is>
          <t>中島 あかり</t>
        </is>
      </c>
      <c r="C32" s="68" t="n"/>
      <c r="D32" s="68" t="n"/>
      <c r="E32" s="68" t="n"/>
      <c r="F32" s="69" t="n"/>
      <c r="G32" s="68" t="n"/>
      <c r="H32" s="68" t="n"/>
      <c r="I32" s="68" t="n"/>
      <c r="J32" s="68" t="n"/>
      <c r="K32" s="68" t="n"/>
      <c r="L32" s="68" t="n"/>
      <c r="M32" s="68" t="n"/>
      <c r="N32" s="68" t="n"/>
      <c r="O32" s="68" t="n"/>
      <c r="P32" s="43">
        <f>IF(B32="","",IF(COUNTIF($B$5:$B$49,B32)&gt;1,IF(A32="","",A32&amp;" ")&amp;B32,B32))</f>
        <v/>
      </c>
      <c r="Q32" s="41">
        <f>IF(B32="","",IF('×入力'!F761="未提出","未提出",IF(R32&gt;0,"入力済み",IF('×入力'!F761="×なし（どこでもOK）","×なし","未入力"))))</f>
        <v/>
      </c>
      <c r="R32" s="41">
        <f>IF(B32="","",'calcA'!IN37)</f>
        <v/>
      </c>
      <c r="S32" s="41">
        <f>IF(OR(Q32="入力済み",Q32="×なし"),'calcA'!IM37,"")</f>
        <v/>
      </c>
      <c r="T32" s="41">
        <f>IF('calcA'!C37=1,COUNTIFS('calcA'!$C$10:$C$54,1,'calcA'!$IM$10:$IM$54,"&lt;"&amp;'calcA'!IM37)+1,"")</f>
        <v/>
      </c>
      <c r="U32" s="43">
        <f>IF('calcA'!IO37=0,"",INDEX('設定'!$E$11:$E$16,INDEX('calcA'!$D$2:$EQ$2,'calcA'!IO37)))</f>
        <v/>
      </c>
      <c r="V32" s="41">
        <f>IF('calcA'!IO37=0,"",INDEX('設定'!$I$11:$I$34,INDEX('calcA'!$D$3:$EQ$3,'calcA'!IO37)))</f>
        <v/>
      </c>
      <c r="W32" s="43">
        <f>IF(P32="","",IF('calcA'!JG37=1,"兄弟の日付・時刻が表にありません",IF(COUNTIF('調整・決定'!$C$6:$H$29,P32)&gt;1,"2か所以上に入っています",IF('calcA'!IO37&gt;0,IF(INDEX('calcA'!$D$4:$EQ$4,'calcA'!IO37)=0,"使えない枠に入っています",IF(INDEX('calcA'!$D$37:$EQ$37,'calcA'!IO37)=1,"×の枠に入っています",IF('calcA'!IV37=0,"（出来れば）兄弟の前後ではありません",IF(AND(RIGHT(D32,4)="空けたい",INDEX('calcA'!$D$106:$EQ$106,'calcA'!IO37)=1,INDEX('calcA'!$D$109:$EQ$109,'calcA'!IO37+1)=1),IF(D32="必ず空けたい","後ろの枠が空いていません","（出来れば）後ろが空いていません"),IF(AND(D32="空けない",INDEX('calcA'!$D$106:$EQ$106,'calcA'!IO37)=1,INDEX('calcA'!$D$109:$EQ$109,'calcA'!IO37+1)=0),"（出来れば）すぐ後が空いています",""))))),IF(OR(Q32="入力済み",Q32="×なし"),"未決定","")))))</f>
        <v/>
      </c>
      <c r="X32" s="43">
        <f>IF('calcA'!IK37=0,IF('calcA'!IL37=1,"入る枠がありません",""),INDEX('calcA'!$D$8:$EQ$8,'calcA'!IK37))</f>
        <v/>
      </c>
      <c r="Y32" s="43">
        <f>IF('calcA'!IR37=0,IF('calcA'!IS37=1,"入る枠がありません",""),INDEX('calcA'!$D$8:$EQ$8,'calcA'!IR37))</f>
        <v/>
      </c>
      <c r="Z32" s="70">
        <f>HYPERLINK("#'×入力'!B761","×入力へ")</f>
        <v/>
      </c>
    </row>
    <row r="33" ht="19" customHeight="1">
      <c r="A33" s="68" t="n">
        <v>29</v>
      </c>
      <c r="B33" s="69" t="inlineStr">
        <is>
          <t>石井 けんと</t>
        </is>
      </c>
      <c r="C33" s="68" t="n"/>
      <c r="D33" s="68" t="n"/>
      <c r="E33" s="68" t="n"/>
      <c r="F33" s="69" t="n"/>
      <c r="G33" s="68" t="n"/>
      <c r="H33" s="68" t="n"/>
      <c r="I33" s="68" t="n"/>
      <c r="J33" s="68" t="n"/>
      <c r="K33" s="68" t="n"/>
      <c r="L33" s="68" t="n"/>
      <c r="M33" s="68" t="n"/>
      <c r="N33" s="68" t="n"/>
      <c r="O33" s="68" t="n"/>
      <c r="P33" s="43">
        <f>IF(B33="","",IF(COUNTIF($B$5:$B$49,B33)&gt;1,IF(A33="","",A33&amp;" ")&amp;B33,B33))</f>
        <v/>
      </c>
      <c r="Q33" s="41">
        <f>IF(B33="","",IF('×入力'!F789="未提出","未提出",IF(R33&gt;0,"入力済み",IF('×入力'!F789="×なし（どこでもOK）","×なし","未入力"))))</f>
        <v/>
      </c>
      <c r="R33" s="41">
        <f>IF(B33="","",'calcA'!IN38)</f>
        <v/>
      </c>
      <c r="S33" s="41">
        <f>IF(OR(Q33="入力済み",Q33="×なし"),'calcA'!IM38,"")</f>
        <v/>
      </c>
      <c r="T33" s="41">
        <f>IF('calcA'!C38=1,COUNTIFS('calcA'!$C$10:$C$54,1,'calcA'!$IM$10:$IM$54,"&lt;"&amp;'calcA'!IM38)+1,"")</f>
        <v/>
      </c>
      <c r="U33" s="43">
        <f>IF('calcA'!IO38=0,"",INDEX('設定'!$E$11:$E$16,INDEX('calcA'!$D$2:$EQ$2,'calcA'!IO38)))</f>
        <v/>
      </c>
      <c r="V33" s="41">
        <f>IF('calcA'!IO38=0,"",INDEX('設定'!$I$11:$I$34,INDEX('calcA'!$D$3:$EQ$3,'calcA'!IO38)))</f>
        <v/>
      </c>
      <c r="W33" s="43">
        <f>IF(P33="","",IF('calcA'!JG38=1,"兄弟の日付・時刻が表にありません",IF(COUNTIF('調整・決定'!$C$6:$H$29,P33)&gt;1,"2か所以上に入っています",IF('calcA'!IO38&gt;0,IF(INDEX('calcA'!$D$4:$EQ$4,'calcA'!IO38)=0,"使えない枠に入っています",IF(INDEX('calcA'!$D$38:$EQ$38,'calcA'!IO38)=1,"×の枠に入っています",IF('calcA'!IV38=0,"（出来れば）兄弟の前後ではありません",IF(AND(RIGHT(D33,4)="空けたい",INDEX('calcA'!$D$106:$EQ$106,'calcA'!IO38)=1,INDEX('calcA'!$D$109:$EQ$109,'calcA'!IO38+1)=1),IF(D33="必ず空けたい","後ろの枠が空いていません","（出来れば）後ろが空いていません"),IF(AND(D33="空けない",INDEX('calcA'!$D$106:$EQ$106,'calcA'!IO38)=1,INDEX('calcA'!$D$109:$EQ$109,'calcA'!IO38+1)=0),"（出来れば）すぐ後が空いています",""))))),IF(OR(Q33="入力済み",Q33="×なし"),"未決定","")))))</f>
        <v/>
      </c>
      <c r="X33" s="43">
        <f>IF('calcA'!IK38=0,IF('calcA'!IL38=1,"入る枠がありません",""),INDEX('calcA'!$D$8:$EQ$8,'calcA'!IK38))</f>
        <v/>
      </c>
      <c r="Y33" s="43">
        <f>IF('calcA'!IR38=0,IF('calcA'!IS38=1,"入る枠がありません",""),INDEX('calcA'!$D$8:$EQ$8,'calcA'!IR38))</f>
        <v/>
      </c>
      <c r="Z33" s="70">
        <f>HYPERLINK("#'×入力'!B789","×入力へ")</f>
        <v/>
      </c>
    </row>
    <row r="34" ht="19" customHeight="1">
      <c r="A34" s="68" t="n">
        <v>30</v>
      </c>
      <c r="B34" s="69" t="inlineStr">
        <is>
          <t>小川 ゆず</t>
        </is>
      </c>
      <c r="C34" s="68" t="inlineStr">
        <is>
          <t>遅い時刻</t>
        </is>
      </c>
      <c r="D34" s="68" t="n"/>
      <c r="E34" s="68" t="n"/>
      <c r="F34" s="69" t="n"/>
      <c r="G34" s="68" t="n"/>
      <c r="H34" s="68" t="n"/>
      <c r="I34" s="68" t="n"/>
      <c r="J34" s="68" t="n"/>
      <c r="K34" s="68" t="n"/>
      <c r="L34" s="68" t="n"/>
      <c r="M34" s="68" t="n"/>
      <c r="N34" s="68" t="n"/>
      <c r="O34" s="68" t="n"/>
      <c r="P34" s="43">
        <f>IF(B34="","",IF(COUNTIF($B$5:$B$49,B34)&gt;1,IF(A34="","",A34&amp;" ")&amp;B34,B34))</f>
        <v/>
      </c>
      <c r="Q34" s="41">
        <f>IF(B34="","",IF('×入力'!F817="未提出","未提出",IF(R34&gt;0,"入力済み",IF('×入力'!F817="×なし（どこでもOK）","×なし","未入力"))))</f>
        <v/>
      </c>
      <c r="R34" s="41">
        <f>IF(B34="","",'calcA'!IN39)</f>
        <v/>
      </c>
      <c r="S34" s="41">
        <f>IF(OR(Q34="入力済み",Q34="×なし"),'calcA'!IM39,"")</f>
        <v/>
      </c>
      <c r="T34" s="41">
        <f>IF('calcA'!C39=1,COUNTIFS('calcA'!$C$10:$C$54,1,'calcA'!$IM$10:$IM$54,"&lt;"&amp;'calcA'!IM39)+1,"")</f>
        <v/>
      </c>
      <c r="U34" s="43">
        <f>IF('calcA'!IO39=0,"",INDEX('設定'!$E$11:$E$16,INDEX('calcA'!$D$2:$EQ$2,'calcA'!IO39)))</f>
        <v/>
      </c>
      <c r="V34" s="41">
        <f>IF('calcA'!IO39=0,"",INDEX('設定'!$I$11:$I$34,INDEX('calcA'!$D$3:$EQ$3,'calcA'!IO39)))</f>
        <v/>
      </c>
      <c r="W34" s="43">
        <f>IF(P34="","",IF('calcA'!JG39=1,"兄弟の日付・時刻が表にありません",IF(COUNTIF('調整・決定'!$C$6:$H$29,P34)&gt;1,"2か所以上に入っています",IF('calcA'!IO39&gt;0,IF(INDEX('calcA'!$D$4:$EQ$4,'calcA'!IO39)=0,"使えない枠に入っています",IF(INDEX('calcA'!$D$39:$EQ$39,'calcA'!IO39)=1,"×の枠に入っています",IF('calcA'!IV39=0,"（出来れば）兄弟の前後ではありません",IF(AND(RIGHT(D34,4)="空けたい",INDEX('calcA'!$D$106:$EQ$106,'calcA'!IO39)=1,INDEX('calcA'!$D$109:$EQ$109,'calcA'!IO39+1)=1),IF(D34="必ず空けたい","後ろの枠が空いていません","（出来れば）後ろが空いていません"),IF(AND(D34="空けない",INDEX('calcA'!$D$106:$EQ$106,'calcA'!IO39)=1,INDEX('calcA'!$D$109:$EQ$109,'calcA'!IO39+1)=0),"（出来れば）すぐ後が空いています",""))))),IF(OR(Q34="入力済み",Q34="×なし"),"未決定","")))))</f>
        <v/>
      </c>
      <c r="X34" s="43">
        <f>IF('calcA'!IK39=0,IF('calcA'!IL39=1,"入る枠がありません",""),INDEX('calcA'!$D$8:$EQ$8,'calcA'!IK39))</f>
        <v/>
      </c>
      <c r="Y34" s="43">
        <f>IF('calcA'!IR39=0,IF('calcA'!IS39=1,"入る枠がありません",""),INDEX('calcA'!$D$8:$EQ$8,'calcA'!IR39))</f>
        <v/>
      </c>
      <c r="Z34" s="70">
        <f>HYPERLINK("#'×入力'!B817","×入力へ")</f>
        <v/>
      </c>
    </row>
    <row r="35" ht="19" customHeight="1">
      <c r="A35" s="68" t="n">
        <v>31</v>
      </c>
      <c r="B35" s="69" t="inlineStr">
        <is>
          <t>前田 だいち</t>
        </is>
      </c>
      <c r="C35" s="68" t="n"/>
      <c r="D35" s="68" t="n"/>
      <c r="E35" s="68" t="n"/>
      <c r="F35" s="69" t="n"/>
      <c r="G35" s="68" t="n"/>
      <c r="H35" s="68" t="n"/>
      <c r="I35" s="68" t="n"/>
      <c r="J35" s="68" t="n"/>
      <c r="K35" s="68" t="n"/>
      <c r="L35" s="68" t="n"/>
      <c r="M35" s="68" t="n"/>
      <c r="N35" s="68" t="n"/>
      <c r="O35" s="68" t="n"/>
      <c r="P35" s="43">
        <f>IF(B35="","",IF(COUNTIF($B$5:$B$49,B35)&gt;1,IF(A35="","",A35&amp;" ")&amp;B35,B35))</f>
        <v/>
      </c>
      <c r="Q35" s="41">
        <f>IF(B35="","",IF('×入力'!F845="未提出","未提出",IF(R35&gt;0,"入力済み",IF('×入力'!F845="×なし（どこでもOK）","×なし","未入力"))))</f>
        <v/>
      </c>
      <c r="R35" s="41">
        <f>IF(B35="","",'calcA'!IN40)</f>
        <v/>
      </c>
      <c r="S35" s="41">
        <f>IF(OR(Q35="入力済み",Q35="×なし"),'calcA'!IM40,"")</f>
        <v/>
      </c>
      <c r="T35" s="41">
        <f>IF('calcA'!C40=1,COUNTIFS('calcA'!$C$10:$C$54,1,'calcA'!$IM$10:$IM$54,"&lt;"&amp;'calcA'!IM40)+1,"")</f>
        <v/>
      </c>
      <c r="U35" s="43">
        <f>IF('calcA'!IO40=0,"",INDEX('設定'!$E$11:$E$16,INDEX('calcA'!$D$2:$EQ$2,'calcA'!IO40)))</f>
        <v/>
      </c>
      <c r="V35" s="41">
        <f>IF('calcA'!IO40=0,"",INDEX('設定'!$I$11:$I$34,INDEX('calcA'!$D$3:$EQ$3,'calcA'!IO40)))</f>
        <v/>
      </c>
      <c r="W35" s="43">
        <f>IF(P35="","",IF('calcA'!JG40=1,"兄弟の日付・時刻が表にありません",IF(COUNTIF('調整・決定'!$C$6:$H$29,P35)&gt;1,"2か所以上に入っています",IF('calcA'!IO40&gt;0,IF(INDEX('calcA'!$D$4:$EQ$4,'calcA'!IO40)=0,"使えない枠に入っています",IF(INDEX('calcA'!$D$40:$EQ$40,'calcA'!IO40)=1,"×の枠に入っています",IF('calcA'!IV40=0,"（出来れば）兄弟の前後ではありません",IF(AND(RIGHT(D35,4)="空けたい",INDEX('calcA'!$D$106:$EQ$106,'calcA'!IO40)=1,INDEX('calcA'!$D$109:$EQ$109,'calcA'!IO40+1)=1),IF(D35="必ず空けたい","後ろの枠が空いていません","（出来れば）後ろが空いていません"),IF(AND(D35="空けない",INDEX('calcA'!$D$106:$EQ$106,'calcA'!IO40)=1,INDEX('calcA'!$D$109:$EQ$109,'calcA'!IO40+1)=0),"（出来れば）すぐ後が空いています",""))))),IF(OR(Q35="入力済み",Q35="×なし"),"未決定","")))))</f>
        <v/>
      </c>
      <c r="X35" s="43">
        <f>IF('calcA'!IK40=0,IF('calcA'!IL40=1,"入る枠がありません",""),INDEX('calcA'!$D$8:$EQ$8,'calcA'!IK40))</f>
        <v/>
      </c>
      <c r="Y35" s="43">
        <f>IF('calcA'!IR40=0,IF('calcA'!IS40=1,"入る枠がありません",""),INDEX('calcA'!$D$8:$EQ$8,'calcA'!IR40))</f>
        <v/>
      </c>
      <c r="Z35" s="70">
        <f>HYPERLINK("#'×入力'!B845","×入力へ")</f>
        <v/>
      </c>
    </row>
    <row r="36" ht="19" customHeight="1">
      <c r="A36" s="68" t="n">
        <v>32</v>
      </c>
      <c r="B36" s="69" t="inlineStr">
        <is>
          <t>岡田 みゆ</t>
        </is>
      </c>
      <c r="C36" s="68" t="n"/>
      <c r="D36" s="68" t="n"/>
      <c r="E36" s="68" t="n"/>
      <c r="F36" s="69" t="n"/>
      <c r="G36" s="68" t="n"/>
      <c r="H36" s="68" t="n"/>
      <c r="I36" s="68" t="n"/>
      <c r="J36" s="68" t="n"/>
      <c r="K36" s="68" t="n"/>
      <c r="L36" s="68" t="n"/>
      <c r="M36" s="68" t="n"/>
      <c r="N36" s="68" t="n"/>
      <c r="O36" s="68" t="n"/>
      <c r="P36" s="43">
        <f>IF(B36="","",IF(COUNTIF($B$5:$B$49,B36)&gt;1,IF(A36="","",A36&amp;" ")&amp;B36,B36))</f>
        <v/>
      </c>
      <c r="Q36" s="41">
        <f>IF(B36="","",IF('×入力'!F873="未提出","未提出",IF(R36&gt;0,"入力済み",IF('×入力'!F873="×なし（どこでもOK）","×なし","未入力"))))</f>
        <v/>
      </c>
      <c r="R36" s="41">
        <f>IF(B36="","",'calcA'!IN41)</f>
        <v/>
      </c>
      <c r="S36" s="41">
        <f>IF(OR(Q36="入力済み",Q36="×なし"),'calcA'!IM41,"")</f>
        <v/>
      </c>
      <c r="T36" s="41">
        <f>IF('calcA'!C41=1,COUNTIFS('calcA'!$C$10:$C$54,1,'calcA'!$IM$10:$IM$54,"&lt;"&amp;'calcA'!IM41)+1,"")</f>
        <v/>
      </c>
      <c r="U36" s="43">
        <f>IF('calcA'!IO41=0,"",INDEX('設定'!$E$11:$E$16,INDEX('calcA'!$D$2:$EQ$2,'calcA'!IO41)))</f>
        <v/>
      </c>
      <c r="V36" s="41">
        <f>IF('calcA'!IO41=0,"",INDEX('設定'!$I$11:$I$34,INDEX('calcA'!$D$3:$EQ$3,'calcA'!IO41)))</f>
        <v/>
      </c>
      <c r="W36" s="43">
        <f>IF(P36="","",IF('calcA'!JG41=1,"兄弟の日付・時刻が表にありません",IF(COUNTIF('調整・決定'!$C$6:$H$29,P36)&gt;1,"2か所以上に入っています",IF('calcA'!IO41&gt;0,IF(INDEX('calcA'!$D$4:$EQ$4,'calcA'!IO41)=0,"使えない枠に入っています",IF(INDEX('calcA'!$D$41:$EQ$41,'calcA'!IO41)=1,"×の枠に入っています",IF('calcA'!IV41=0,"（出来れば）兄弟の前後ではありません",IF(AND(RIGHT(D36,4)="空けたい",INDEX('calcA'!$D$106:$EQ$106,'calcA'!IO41)=1,INDEX('calcA'!$D$109:$EQ$109,'calcA'!IO41+1)=1),IF(D36="必ず空けたい","後ろの枠が空いていません","（出来れば）後ろが空いていません"),IF(AND(D36="空けない",INDEX('calcA'!$D$106:$EQ$106,'calcA'!IO41)=1,INDEX('calcA'!$D$109:$EQ$109,'calcA'!IO41+1)=0),"（出来れば）すぐ後が空いています",""))))),IF(OR(Q36="入力済み",Q36="×なし"),"未決定","")))))</f>
        <v/>
      </c>
      <c r="X36" s="43">
        <f>IF('calcA'!IK41=0,IF('calcA'!IL41=1,"入る枠がありません",""),INDEX('calcA'!$D$8:$EQ$8,'calcA'!IK41))</f>
        <v/>
      </c>
      <c r="Y36" s="43">
        <f>IF('calcA'!IR41=0,IF('calcA'!IS41=1,"入る枠がありません",""),INDEX('calcA'!$D$8:$EQ$8,'calcA'!IR41))</f>
        <v/>
      </c>
      <c r="Z36" s="70">
        <f>HYPERLINK("#'×入力'!B873","×入力へ")</f>
        <v/>
      </c>
    </row>
    <row r="37" ht="19" customHeight="1">
      <c r="A37" s="68" t="n">
        <v>33</v>
      </c>
      <c r="B37" s="69" t="inlineStr">
        <is>
          <t>長谷川 こうき</t>
        </is>
      </c>
      <c r="C37" s="68" t="inlineStr">
        <is>
          <t>早い時刻</t>
        </is>
      </c>
      <c r="D37" s="68" t="n"/>
      <c r="E37" s="68" t="n"/>
      <c r="F37" s="69" t="n"/>
      <c r="G37" s="68" t="n"/>
      <c r="H37" s="68" t="n"/>
      <c r="I37" s="68" t="n"/>
      <c r="J37" s="68" t="n"/>
      <c r="K37" s="68" t="n"/>
      <c r="L37" s="68" t="n"/>
      <c r="M37" s="68" t="n"/>
      <c r="N37" s="68" t="n"/>
      <c r="O37" s="68" t="n"/>
      <c r="P37" s="43">
        <f>IF(B37="","",IF(COUNTIF($B$5:$B$49,B37)&gt;1,IF(A37="","",A37&amp;" ")&amp;B37,B37))</f>
        <v/>
      </c>
      <c r="Q37" s="41">
        <f>IF(B37="","",IF('×入力'!F901="未提出","未提出",IF(R37&gt;0,"入力済み",IF('×入力'!F901="×なし（どこでもOK）","×なし","未入力"))))</f>
        <v/>
      </c>
      <c r="R37" s="41">
        <f>IF(B37="","",'calcA'!IN42)</f>
        <v/>
      </c>
      <c r="S37" s="41">
        <f>IF(OR(Q37="入力済み",Q37="×なし"),'calcA'!IM42,"")</f>
        <v/>
      </c>
      <c r="T37" s="41">
        <f>IF('calcA'!C42=1,COUNTIFS('calcA'!$C$10:$C$54,1,'calcA'!$IM$10:$IM$54,"&lt;"&amp;'calcA'!IM42)+1,"")</f>
        <v/>
      </c>
      <c r="U37" s="43">
        <f>IF('calcA'!IO42=0,"",INDEX('設定'!$E$11:$E$16,INDEX('calcA'!$D$2:$EQ$2,'calcA'!IO42)))</f>
        <v/>
      </c>
      <c r="V37" s="41">
        <f>IF('calcA'!IO42=0,"",INDEX('設定'!$I$11:$I$34,INDEX('calcA'!$D$3:$EQ$3,'calcA'!IO42)))</f>
        <v/>
      </c>
      <c r="W37" s="43">
        <f>IF(P37="","",IF('calcA'!JG42=1,"兄弟の日付・時刻が表にありません",IF(COUNTIF('調整・決定'!$C$6:$H$29,P37)&gt;1,"2か所以上に入っています",IF('calcA'!IO42&gt;0,IF(INDEX('calcA'!$D$4:$EQ$4,'calcA'!IO42)=0,"使えない枠に入っています",IF(INDEX('calcA'!$D$42:$EQ$42,'calcA'!IO42)=1,"×の枠に入っています",IF('calcA'!IV42=0,"（出来れば）兄弟の前後ではありません",IF(AND(RIGHT(D37,4)="空けたい",INDEX('calcA'!$D$106:$EQ$106,'calcA'!IO42)=1,INDEX('calcA'!$D$109:$EQ$109,'calcA'!IO42+1)=1),IF(D37="必ず空けたい","後ろの枠が空いていません","（出来れば）後ろが空いていません"),IF(AND(D37="空けない",INDEX('calcA'!$D$106:$EQ$106,'calcA'!IO42)=1,INDEX('calcA'!$D$109:$EQ$109,'calcA'!IO42+1)=0),"（出来れば）すぐ後が空いています",""))))),IF(OR(Q37="入力済み",Q37="×なし"),"未決定","")))))</f>
        <v/>
      </c>
      <c r="X37" s="43">
        <f>IF('calcA'!IK42=0,IF('calcA'!IL42=1,"入る枠がありません",""),INDEX('calcA'!$D$8:$EQ$8,'calcA'!IK42))</f>
        <v/>
      </c>
      <c r="Y37" s="43">
        <f>IF('calcA'!IR42=0,IF('calcA'!IS42=1,"入る枠がありません",""),INDEX('calcA'!$D$8:$EQ$8,'calcA'!IR42))</f>
        <v/>
      </c>
      <c r="Z37" s="70">
        <f>HYPERLINK("#'×入力'!B901","×入力へ")</f>
        <v/>
      </c>
    </row>
    <row r="38" ht="19" customHeight="1">
      <c r="A38" s="68" t="n">
        <v>34</v>
      </c>
      <c r="B38" s="69" t="inlineStr">
        <is>
          <t>藤田 さら</t>
        </is>
      </c>
      <c r="C38" s="68" t="n"/>
      <c r="D38" s="68" t="inlineStr">
        <is>
          <t>出来れば空けたい</t>
        </is>
      </c>
      <c r="E38" s="68" t="n"/>
      <c r="F38" s="69" t="n"/>
      <c r="G38" s="68" t="n"/>
      <c r="H38" s="68" t="n"/>
      <c r="I38" s="68" t="n"/>
      <c r="J38" s="68" t="n"/>
      <c r="K38" s="68" t="n"/>
      <c r="L38" s="68" t="n"/>
      <c r="M38" s="68" t="n"/>
      <c r="N38" s="68" t="n"/>
      <c r="O38" s="68" t="n"/>
      <c r="P38" s="43">
        <f>IF(B38="","",IF(COUNTIF($B$5:$B$49,B38)&gt;1,IF(A38="","",A38&amp;" ")&amp;B38,B38))</f>
        <v/>
      </c>
      <c r="Q38" s="41">
        <f>IF(B38="","",IF('×入力'!F929="未提出","未提出",IF(R38&gt;0,"入力済み",IF('×入力'!F929="×なし（どこでもOK）","×なし","未入力"))))</f>
        <v/>
      </c>
      <c r="R38" s="41">
        <f>IF(B38="","",'calcA'!IN43)</f>
        <v/>
      </c>
      <c r="S38" s="41">
        <f>IF(OR(Q38="入力済み",Q38="×なし"),'calcA'!IM43,"")</f>
        <v/>
      </c>
      <c r="T38" s="41">
        <f>IF('calcA'!C43=1,COUNTIFS('calcA'!$C$10:$C$54,1,'calcA'!$IM$10:$IM$54,"&lt;"&amp;'calcA'!IM43)+1,"")</f>
        <v/>
      </c>
      <c r="U38" s="43">
        <f>IF('calcA'!IO43=0,"",INDEX('設定'!$E$11:$E$16,INDEX('calcA'!$D$2:$EQ$2,'calcA'!IO43)))</f>
        <v/>
      </c>
      <c r="V38" s="41">
        <f>IF('calcA'!IO43=0,"",INDEX('設定'!$I$11:$I$34,INDEX('calcA'!$D$3:$EQ$3,'calcA'!IO43)))</f>
        <v/>
      </c>
      <c r="W38" s="43">
        <f>IF(P38="","",IF('calcA'!JG43=1,"兄弟の日付・時刻が表にありません",IF(COUNTIF('調整・決定'!$C$6:$H$29,P38)&gt;1,"2か所以上に入っています",IF('calcA'!IO43&gt;0,IF(INDEX('calcA'!$D$4:$EQ$4,'calcA'!IO43)=0,"使えない枠に入っています",IF(INDEX('calcA'!$D$43:$EQ$43,'calcA'!IO43)=1,"×の枠に入っています",IF('calcA'!IV43=0,"（出来れば）兄弟の前後ではありません",IF(AND(RIGHT(D38,4)="空けたい",INDEX('calcA'!$D$106:$EQ$106,'calcA'!IO43)=1,INDEX('calcA'!$D$109:$EQ$109,'calcA'!IO43+1)=1),IF(D38="必ず空けたい","後ろの枠が空いていません","（出来れば）後ろが空いていません"),IF(AND(D38="空けない",INDEX('calcA'!$D$106:$EQ$106,'calcA'!IO43)=1,INDEX('calcA'!$D$109:$EQ$109,'calcA'!IO43+1)=0),"（出来れば）すぐ後が空いています",""))))),IF(OR(Q38="入力済み",Q38="×なし"),"未決定","")))))</f>
        <v/>
      </c>
      <c r="X38" s="43">
        <f>IF('calcA'!IK43=0,IF('calcA'!IL43=1,"入る枠がありません",""),INDEX('calcA'!$D$8:$EQ$8,'calcA'!IK43))</f>
        <v/>
      </c>
      <c r="Y38" s="43">
        <f>IF('calcA'!IR43=0,IF('calcA'!IS43=1,"入る枠がありません",""),INDEX('calcA'!$D$8:$EQ$8,'calcA'!IR43))</f>
        <v/>
      </c>
      <c r="Z38" s="70">
        <f>HYPERLINK("#'×入力'!B929","×入力へ")</f>
        <v/>
      </c>
    </row>
    <row r="39" ht="19" customHeight="1">
      <c r="A39" s="68" t="n">
        <v>35</v>
      </c>
      <c r="B39" s="69" t="inlineStr">
        <is>
          <t>後藤 りょう</t>
        </is>
      </c>
      <c r="C39" s="68" t="n"/>
      <c r="D39" s="68" t="n"/>
      <c r="E39" s="68" t="n"/>
      <c r="F39" s="69" t="n"/>
      <c r="G39" s="68" t="n"/>
      <c r="H39" s="68" t="n"/>
      <c r="I39" s="68" t="n"/>
      <c r="J39" s="68" t="n"/>
      <c r="K39" s="68" t="n"/>
      <c r="L39" s="68" t="n"/>
      <c r="M39" s="68" t="n"/>
      <c r="N39" s="68" t="n"/>
      <c r="O39" s="68" t="n"/>
      <c r="P39" s="43">
        <f>IF(B39="","",IF(COUNTIF($B$5:$B$49,B39)&gt;1,IF(A39="","",A39&amp;" ")&amp;B39,B39))</f>
        <v/>
      </c>
      <c r="Q39" s="41">
        <f>IF(B39="","",IF('×入力'!F957="未提出","未提出",IF(R39&gt;0,"入力済み",IF('×入力'!F957="×なし（どこでもOK）","×なし","未入力"))))</f>
        <v/>
      </c>
      <c r="R39" s="41">
        <f>IF(B39="","",'calcA'!IN44)</f>
        <v/>
      </c>
      <c r="S39" s="41">
        <f>IF(OR(Q39="入力済み",Q39="×なし"),'calcA'!IM44,"")</f>
        <v/>
      </c>
      <c r="T39" s="41">
        <f>IF('calcA'!C44=1,COUNTIFS('calcA'!$C$10:$C$54,1,'calcA'!$IM$10:$IM$54,"&lt;"&amp;'calcA'!IM44)+1,"")</f>
        <v/>
      </c>
      <c r="U39" s="43">
        <f>IF('calcA'!IO44=0,"",INDEX('設定'!$E$11:$E$16,INDEX('calcA'!$D$2:$EQ$2,'calcA'!IO44)))</f>
        <v/>
      </c>
      <c r="V39" s="41">
        <f>IF('calcA'!IO44=0,"",INDEX('設定'!$I$11:$I$34,INDEX('calcA'!$D$3:$EQ$3,'calcA'!IO44)))</f>
        <v/>
      </c>
      <c r="W39" s="43">
        <f>IF(P39="","",IF('calcA'!JG44=1,"兄弟の日付・時刻が表にありません",IF(COUNTIF('調整・決定'!$C$6:$H$29,P39)&gt;1,"2か所以上に入っています",IF('calcA'!IO44&gt;0,IF(INDEX('calcA'!$D$4:$EQ$4,'calcA'!IO44)=0,"使えない枠に入っています",IF(INDEX('calcA'!$D$44:$EQ$44,'calcA'!IO44)=1,"×の枠に入っています",IF('calcA'!IV44=0,"（出来れば）兄弟の前後ではありません",IF(AND(RIGHT(D39,4)="空けたい",INDEX('calcA'!$D$106:$EQ$106,'calcA'!IO44)=1,INDEX('calcA'!$D$109:$EQ$109,'calcA'!IO44+1)=1),IF(D39="必ず空けたい","後ろの枠が空いていません","（出来れば）後ろが空いていません"),IF(AND(D39="空けない",INDEX('calcA'!$D$106:$EQ$106,'calcA'!IO44)=1,INDEX('calcA'!$D$109:$EQ$109,'calcA'!IO44+1)=0),"（出来れば）すぐ後が空いています",""))))),IF(OR(Q39="入力済み",Q39="×なし"),"未決定","")))))</f>
        <v/>
      </c>
      <c r="X39" s="43">
        <f>IF('calcA'!IK44=0,IF('calcA'!IL44=1,"入る枠がありません",""),INDEX('calcA'!$D$8:$EQ$8,'calcA'!IK44))</f>
        <v/>
      </c>
      <c r="Y39" s="43">
        <f>IF('calcA'!IR44=0,IF('calcA'!IS44=1,"入る枠がありません",""),INDEX('calcA'!$D$8:$EQ$8,'calcA'!IR44))</f>
        <v/>
      </c>
      <c r="Z39" s="70">
        <f>HYPERLINK("#'×入力'!B957","×入力へ")</f>
        <v/>
      </c>
    </row>
    <row r="40" ht="19" customHeight="1">
      <c r="A40" s="68" t="n"/>
      <c r="B40" s="69" t="n"/>
      <c r="C40" s="68" t="n"/>
      <c r="D40" s="68" t="n"/>
      <c r="E40" s="68" t="n"/>
      <c r="F40" s="69" t="n"/>
      <c r="G40" s="68" t="n"/>
      <c r="H40" s="68" t="n"/>
      <c r="I40" s="68" t="n"/>
      <c r="J40" s="68" t="n"/>
      <c r="K40" s="68" t="n"/>
      <c r="L40" s="68" t="n"/>
      <c r="M40" s="68" t="n"/>
      <c r="N40" s="68" t="n"/>
      <c r="O40" s="68" t="n"/>
      <c r="P40" s="43">
        <f>IF(B40="","",IF(COUNTIF($B$5:$B$49,B40)&gt;1,IF(A40="","",A40&amp;" ")&amp;B40,B40))</f>
        <v/>
      </c>
      <c r="Q40" s="41">
        <f>IF(B40="","",IF('×入力'!F985="未提出","未提出",IF(R40&gt;0,"入力済み",IF('×入力'!F985="×なし（どこでもOK）","×なし","未入力"))))</f>
        <v/>
      </c>
      <c r="R40" s="41">
        <f>IF(B40="","",'calcA'!IN45)</f>
        <v/>
      </c>
      <c r="S40" s="41">
        <f>IF(OR(Q40="入力済み",Q40="×なし"),'calcA'!IM45,"")</f>
        <v/>
      </c>
      <c r="T40" s="41">
        <f>IF('calcA'!C45=1,COUNTIFS('calcA'!$C$10:$C$54,1,'calcA'!$IM$10:$IM$54,"&lt;"&amp;'calcA'!IM45)+1,"")</f>
        <v/>
      </c>
      <c r="U40" s="43">
        <f>IF('calcA'!IO45=0,"",INDEX('設定'!$E$11:$E$16,INDEX('calcA'!$D$2:$EQ$2,'calcA'!IO45)))</f>
        <v/>
      </c>
      <c r="V40" s="41">
        <f>IF('calcA'!IO45=0,"",INDEX('設定'!$I$11:$I$34,INDEX('calcA'!$D$3:$EQ$3,'calcA'!IO45)))</f>
        <v/>
      </c>
      <c r="W40" s="43">
        <f>IF(P40="","",IF('calcA'!JG45=1,"兄弟の日付・時刻が表にありません",IF(COUNTIF('調整・決定'!$C$6:$H$29,P40)&gt;1,"2か所以上に入っています",IF('calcA'!IO45&gt;0,IF(INDEX('calcA'!$D$4:$EQ$4,'calcA'!IO45)=0,"使えない枠に入っています",IF(INDEX('calcA'!$D$45:$EQ$45,'calcA'!IO45)=1,"×の枠に入っています",IF('calcA'!IV45=0,"（出来れば）兄弟の前後ではありません",IF(AND(RIGHT(D40,4)="空けたい",INDEX('calcA'!$D$106:$EQ$106,'calcA'!IO45)=1,INDEX('calcA'!$D$109:$EQ$109,'calcA'!IO45+1)=1),IF(D40="必ず空けたい","後ろの枠が空いていません","（出来れば）後ろが空いていません"),IF(AND(D40="空けない",INDEX('calcA'!$D$106:$EQ$106,'calcA'!IO45)=1,INDEX('calcA'!$D$109:$EQ$109,'calcA'!IO45+1)=0),"（出来れば）すぐ後が空いています",""))))),IF(OR(Q40="入力済み",Q40="×なし"),"未決定","")))))</f>
        <v/>
      </c>
      <c r="X40" s="43">
        <f>IF('calcA'!IK45=0,IF('calcA'!IL45=1,"入る枠がありません",""),INDEX('calcA'!$D$8:$EQ$8,'calcA'!IK45))</f>
        <v/>
      </c>
      <c r="Y40" s="43">
        <f>IF('calcA'!IR45=0,IF('calcA'!IS45=1,"入る枠がありません",""),INDEX('calcA'!$D$8:$EQ$8,'calcA'!IR45))</f>
        <v/>
      </c>
      <c r="Z40" s="70">
        <f>HYPERLINK("#'×入力'!B985","×入力へ")</f>
        <v/>
      </c>
    </row>
    <row r="41" ht="19" customHeight="1">
      <c r="A41" s="68" t="n"/>
      <c r="B41" s="69" t="n"/>
      <c r="C41" s="68" t="n"/>
      <c r="D41" s="68" t="n"/>
      <c r="E41" s="68" t="n"/>
      <c r="F41" s="69" t="n"/>
      <c r="G41" s="68" t="n"/>
      <c r="H41" s="68" t="n"/>
      <c r="I41" s="68" t="n"/>
      <c r="J41" s="68" t="n"/>
      <c r="K41" s="68" t="n"/>
      <c r="L41" s="68" t="n"/>
      <c r="M41" s="68" t="n"/>
      <c r="N41" s="68" t="n"/>
      <c r="O41" s="68" t="n"/>
      <c r="P41" s="43">
        <f>IF(B41="","",IF(COUNTIF($B$5:$B$49,B41)&gt;1,IF(A41="","",A41&amp;" ")&amp;B41,B41))</f>
        <v/>
      </c>
      <c r="Q41" s="41">
        <f>IF(B41="","",IF('×入力'!F1013="未提出","未提出",IF(R41&gt;0,"入力済み",IF('×入力'!F1013="×なし（どこでもOK）","×なし","未入力"))))</f>
        <v/>
      </c>
      <c r="R41" s="41">
        <f>IF(B41="","",'calcA'!IN46)</f>
        <v/>
      </c>
      <c r="S41" s="41">
        <f>IF(OR(Q41="入力済み",Q41="×なし"),'calcA'!IM46,"")</f>
        <v/>
      </c>
      <c r="T41" s="41">
        <f>IF('calcA'!C46=1,COUNTIFS('calcA'!$C$10:$C$54,1,'calcA'!$IM$10:$IM$54,"&lt;"&amp;'calcA'!IM46)+1,"")</f>
        <v/>
      </c>
      <c r="U41" s="43">
        <f>IF('calcA'!IO46=0,"",INDEX('設定'!$E$11:$E$16,INDEX('calcA'!$D$2:$EQ$2,'calcA'!IO46)))</f>
        <v/>
      </c>
      <c r="V41" s="41">
        <f>IF('calcA'!IO46=0,"",INDEX('設定'!$I$11:$I$34,INDEX('calcA'!$D$3:$EQ$3,'calcA'!IO46)))</f>
        <v/>
      </c>
      <c r="W41" s="43">
        <f>IF(P41="","",IF('calcA'!JG46=1,"兄弟の日付・時刻が表にありません",IF(COUNTIF('調整・決定'!$C$6:$H$29,P41)&gt;1,"2か所以上に入っています",IF('calcA'!IO46&gt;0,IF(INDEX('calcA'!$D$4:$EQ$4,'calcA'!IO46)=0,"使えない枠に入っています",IF(INDEX('calcA'!$D$46:$EQ$46,'calcA'!IO46)=1,"×の枠に入っています",IF('calcA'!IV46=0,"（出来れば）兄弟の前後ではありません",IF(AND(RIGHT(D41,4)="空けたい",INDEX('calcA'!$D$106:$EQ$106,'calcA'!IO46)=1,INDEX('calcA'!$D$109:$EQ$109,'calcA'!IO46+1)=1),IF(D41="必ず空けたい","後ろの枠が空いていません","（出来れば）後ろが空いていません"),IF(AND(D41="空けない",INDEX('calcA'!$D$106:$EQ$106,'calcA'!IO46)=1,INDEX('calcA'!$D$109:$EQ$109,'calcA'!IO46+1)=0),"（出来れば）すぐ後が空いています",""))))),IF(OR(Q41="入力済み",Q41="×なし"),"未決定","")))))</f>
        <v/>
      </c>
      <c r="X41" s="43">
        <f>IF('calcA'!IK46=0,IF('calcA'!IL46=1,"入る枠がありません",""),INDEX('calcA'!$D$8:$EQ$8,'calcA'!IK46))</f>
        <v/>
      </c>
      <c r="Y41" s="43">
        <f>IF('calcA'!IR46=0,IF('calcA'!IS46=1,"入る枠がありません",""),INDEX('calcA'!$D$8:$EQ$8,'calcA'!IR46))</f>
        <v/>
      </c>
      <c r="Z41" s="70">
        <f>HYPERLINK("#'×入力'!B1013","×入力へ")</f>
        <v/>
      </c>
    </row>
    <row r="42" ht="19" customHeight="1">
      <c r="A42" s="68" t="n"/>
      <c r="B42" s="69" t="n"/>
      <c r="C42" s="68" t="n"/>
      <c r="D42" s="68" t="n"/>
      <c r="E42" s="68" t="n"/>
      <c r="F42" s="69" t="n"/>
      <c r="G42" s="68" t="n"/>
      <c r="H42" s="68" t="n"/>
      <c r="I42" s="68" t="n"/>
      <c r="J42" s="68" t="n"/>
      <c r="K42" s="68" t="n"/>
      <c r="L42" s="68" t="n"/>
      <c r="M42" s="68" t="n"/>
      <c r="N42" s="68" t="n"/>
      <c r="O42" s="68" t="n"/>
      <c r="P42" s="43">
        <f>IF(B42="","",IF(COUNTIF($B$5:$B$49,B42)&gt;1,IF(A42="","",A42&amp;" ")&amp;B42,B42))</f>
        <v/>
      </c>
      <c r="Q42" s="41">
        <f>IF(B42="","",IF('×入力'!F1041="未提出","未提出",IF(R42&gt;0,"入力済み",IF('×入力'!F1041="×なし（どこでもOK）","×なし","未入力"))))</f>
        <v/>
      </c>
      <c r="R42" s="41">
        <f>IF(B42="","",'calcA'!IN47)</f>
        <v/>
      </c>
      <c r="S42" s="41">
        <f>IF(OR(Q42="入力済み",Q42="×なし"),'calcA'!IM47,"")</f>
        <v/>
      </c>
      <c r="T42" s="41">
        <f>IF('calcA'!C47=1,COUNTIFS('calcA'!$C$10:$C$54,1,'calcA'!$IM$10:$IM$54,"&lt;"&amp;'calcA'!IM47)+1,"")</f>
        <v/>
      </c>
      <c r="U42" s="43">
        <f>IF('calcA'!IO47=0,"",INDEX('設定'!$E$11:$E$16,INDEX('calcA'!$D$2:$EQ$2,'calcA'!IO47)))</f>
        <v/>
      </c>
      <c r="V42" s="41">
        <f>IF('calcA'!IO47=0,"",INDEX('設定'!$I$11:$I$34,INDEX('calcA'!$D$3:$EQ$3,'calcA'!IO47)))</f>
        <v/>
      </c>
      <c r="W42" s="43">
        <f>IF(P42="","",IF('calcA'!JG47=1,"兄弟の日付・時刻が表にありません",IF(COUNTIF('調整・決定'!$C$6:$H$29,P42)&gt;1,"2か所以上に入っています",IF('calcA'!IO47&gt;0,IF(INDEX('calcA'!$D$4:$EQ$4,'calcA'!IO47)=0,"使えない枠に入っています",IF(INDEX('calcA'!$D$47:$EQ$47,'calcA'!IO47)=1,"×の枠に入っています",IF('calcA'!IV47=0,"（出来れば）兄弟の前後ではありません",IF(AND(RIGHT(D42,4)="空けたい",INDEX('calcA'!$D$106:$EQ$106,'calcA'!IO47)=1,INDEX('calcA'!$D$109:$EQ$109,'calcA'!IO47+1)=1),IF(D42="必ず空けたい","後ろの枠が空いていません","（出来れば）後ろが空いていません"),IF(AND(D42="空けない",INDEX('calcA'!$D$106:$EQ$106,'calcA'!IO47)=1,INDEX('calcA'!$D$109:$EQ$109,'calcA'!IO47+1)=0),"（出来れば）すぐ後が空いています",""))))),IF(OR(Q42="入力済み",Q42="×なし"),"未決定","")))))</f>
        <v/>
      </c>
      <c r="X42" s="43">
        <f>IF('calcA'!IK47=0,IF('calcA'!IL47=1,"入る枠がありません",""),INDEX('calcA'!$D$8:$EQ$8,'calcA'!IK47))</f>
        <v/>
      </c>
      <c r="Y42" s="43">
        <f>IF('calcA'!IR47=0,IF('calcA'!IS47=1,"入る枠がありません",""),INDEX('calcA'!$D$8:$EQ$8,'calcA'!IR47))</f>
        <v/>
      </c>
      <c r="Z42" s="70">
        <f>HYPERLINK("#'×入力'!B1041","×入力へ")</f>
        <v/>
      </c>
    </row>
    <row r="43" ht="19" customHeight="1">
      <c r="A43" s="68" t="n"/>
      <c r="B43" s="69" t="n"/>
      <c r="C43" s="68" t="n"/>
      <c r="D43" s="68" t="n"/>
      <c r="E43" s="68" t="n"/>
      <c r="F43" s="69" t="n"/>
      <c r="G43" s="68" t="n"/>
      <c r="H43" s="68" t="n"/>
      <c r="I43" s="68" t="n"/>
      <c r="J43" s="68" t="n"/>
      <c r="K43" s="68" t="n"/>
      <c r="L43" s="68" t="n"/>
      <c r="M43" s="68" t="n"/>
      <c r="N43" s="68" t="n"/>
      <c r="O43" s="68" t="n"/>
      <c r="P43" s="43">
        <f>IF(B43="","",IF(COUNTIF($B$5:$B$49,B43)&gt;1,IF(A43="","",A43&amp;" ")&amp;B43,B43))</f>
        <v/>
      </c>
      <c r="Q43" s="41">
        <f>IF(B43="","",IF('×入力'!F1069="未提出","未提出",IF(R43&gt;0,"入力済み",IF('×入力'!F1069="×なし（どこでもOK）","×なし","未入力"))))</f>
        <v/>
      </c>
      <c r="R43" s="41">
        <f>IF(B43="","",'calcA'!IN48)</f>
        <v/>
      </c>
      <c r="S43" s="41">
        <f>IF(OR(Q43="入力済み",Q43="×なし"),'calcA'!IM48,"")</f>
        <v/>
      </c>
      <c r="T43" s="41">
        <f>IF('calcA'!C48=1,COUNTIFS('calcA'!$C$10:$C$54,1,'calcA'!$IM$10:$IM$54,"&lt;"&amp;'calcA'!IM48)+1,"")</f>
        <v/>
      </c>
      <c r="U43" s="43">
        <f>IF('calcA'!IO48=0,"",INDEX('設定'!$E$11:$E$16,INDEX('calcA'!$D$2:$EQ$2,'calcA'!IO48)))</f>
        <v/>
      </c>
      <c r="V43" s="41">
        <f>IF('calcA'!IO48=0,"",INDEX('設定'!$I$11:$I$34,INDEX('calcA'!$D$3:$EQ$3,'calcA'!IO48)))</f>
        <v/>
      </c>
      <c r="W43" s="43">
        <f>IF(P43="","",IF('calcA'!JG48=1,"兄弟の日付・時刻が表にありません",IF(COUNTIF('調整・決定'!$C$6:$H$29,P43)&gt;1,"2か所以上に入っています",IF('calcA'!IO48&gt;0,IF(INDEX('calcA'!$D$4:$EQ$4,'calcA'!IO48)=0,"使えない枠に入っています",IF(INDEX('calcA'!$D$48:$EQ$48,'calcA'!IO48)=1,"×の枠に入っています",IF('calcA'!IV48=0,"（出来れば）兄弟の前後ではありません",IF(AND(RIGHT(D43,4)="空けたい",INDEX('calcA'!$D$106:$EQ$106,'calcA'!IO48)=1,INDEX('calcA'!$D$109:$EQ$109,'calcA'!IO48+1)=1),IF(D43="必ず空けたい","後ろの枠が空いていません","（出来れば）後ろが空いていません"),IF(AND(D43="空けない",INDEX('calcA'!$D$106:$EQ$106,'calcA'!IO48)=1,INDEX('calcA'!$D$109:$EQ$109,'calcA'!IO48+1)=0),"（出来れば）すぐ後が空いています",""))))),IF(OR(Q43="入力済み",Q43="×なし"),"未決定","")))))</f>
        <v/>
      </c>
      <c r="X43" s="43">
        <f>IF('calcA'!IK48=0,IF('calcA'!IL48=1,"入る枠がありません",""),INDEX('calcA'!$D$8:$EQ$8,'calcA'!IK48))</f>
        <v/>
      </c>
      <c r="Y43" s="43">
        <f>IF('calcA'!IR48=0,IF('calcA'!IS48=1,"入る枠がありません",""),INDEX('calcA'!$D$8:$EQ$8,'calcA'!IR48))</f>
        <v/>
      </c>
      <c r="Z43" s="70">
        <f>HYPERLINK("#'×入力'!B1069","×入力へ")</f>
        <v/>
      </c>
    </row>
    <row r="44" ht="19" customHeight="1">
      <c r="A44" s="68" t="n"/>
      <c r="B44" s="69" t="n"/>
      <c r="C44" s="68" t="n"/>
      <c r="D44" s="68" t="n"/>
      <c r="E44" s="68" t="n"/>
      <c r="F44" s="69" t="n"/>
      <c r="G44" s="68" t="n"/>
      <c r="H44" s="68" t="n"/>
      <c r="I44" s="68" t="n"/>
      <c r="J44" s="68" t="n"/>
      <c r="K44" s="68" t="n"/>
      <c r="L44" s="68" t="n"/>
      <c r="M44" s="68" t="n"/>
      <c r="N44" s="68" t="n"/>
      <c r="O44" s="68" t="n"/>
      <c r="P44" s="43">
        <f>IF(B44="","",IF(COUNTIF($B$5:$B$49,B44)&gt;1,IF(A44="","",A44&amp;" ")&amp;B44,B44))</f>
        <v/>
      </c>
      <c r="Q44" s="41">
        <f>IF(B44="","",IF('×入力'!F1097="未提出","未提出",IF(R44&gt;0,"入力済み",IF('×入力'!F1097="×なし（どこでもOK）","×なし","未入力"))))</f>
        <v/>
      </c>
      <c r="R44" s="41">
        <f>IF(B44="","",'calcA'!IN49)</f>
        <v/>
      </c>
      <c r="S44" s="41">
        <f>IF(OR(Q44="入力済み",Q44="×なし"),'calcA'!IM49,"")</f>
        <v/>
      </c>
      <c r="T44" s="41">
        <f>IF('calcA'!C49=1,COUNTIFS('calcA'!$C$10:$C$54,1,'calcA'!$IM$10:$IM$54,"&lt;"&amp;'calcA'!IM49)+1,"")</f>
        <v/>
      </c>
      <c r="U44" s="43">
        <f>IF('calcA'!IO49=0,"",INDEX('設定'!$E$11:$E$16,INDEX('calcA'!$D$2:$EQ$2,'calcA'!IO49)))</f>
        <v/>
      </c>
      <c r="V44" s="41">
        <f>IF('calcA'!IO49=0,"",INDEX('設定'!$I$11:$I$34,INDEX('calcA'!$D$3:$EQ$3,'calcA'!IO49)))</f>
        <v/>
      </c>
      <c r="W44" s="43">
        <f>IF(P44="","",IF('calcA'!JG49=1,"兄弟の日付・時刻が表にありません",IF(COUNTIF('調整・決定'!$C$6:$H$29,P44)&gt;1,"2か所以上に入っています",IF('calcA'!IO49&gt;0,IF(INDEX('calcA'!$D$4:$EQ$4,'calcA'!IO49)=0,"使えない枠に入っています",IF(INDEX('calcA'!$D$49:$EQ$49,'calcA'!IO49)=1,"×の枠に入っています",IF('calcA'!IV49=0,"（出来れば）兄弟の前後ではありません",IF(AND(RIGHT(D44,4)="空けたい",INDEX('calcA'!$D$106:$EQ$106,'calcA'!IO49)=1,INDEX('calcA'!$D$109:$EQ$109,'calcA'!IO49+1)=1),IF(D44="必ず空けたい","後ろの枠が空いていません","（出来れば）後ろが空いていません"),IF(AND(D44="空けない",INDEX('calcA'!$D$106:$EQ$106,'calcA'!IO49)=1,INDEX('calcA'!$D$109:$EQ$109,'calcA'!IO49+1)=0),"（出来れば）すぐ後が空いています",""))))),IF(OR(Q44="入力済み",Q44="×なし"),"未決定","")))))</f>
        <v/>
      </c>
      <c r="X44" s="43">
        <f>IF('calcA'!IK49=0,IF('calcA'!IL49=1,"入る枠がありません",""),INDEX('calcA'!$D$8:$EQ$8,'calcA'!IK49))</f>
        <v/>
      </c>
      <c r="Y44" s="43">
        <f>IF('calcA'!IR49=0,IF('calcA'!IS49=1,"入る枠がありません",""),INDEX('calcA'!$D$8:$EQ$8,'calcA'!IR49))</f>
        <v/>
      </c>
      <c r="Z44" s="70">
        <f>HYPERLINK("#'×入力'!B1097","×入力へ")</f>
        <v/>
      </c>
    </row>
  </sheetData>
  <autoFilter ref="A4:Y49"/>
  <mergeCells count="7">
    <mergeCell ref="P3:W3"/>
    <mergeCell ref="AB1:AC1"/>
    <mergeCell ref="Q1:R1"/>
    <mergeCell ref="AD1:AE1"/>
    <mergeCell ref="S1:T1"/>
    <mergeCell ref="Z1:AA1"/>
    <mergeCell ref="A3:F3"/>
  </mergeCells>
  <conditionalFormatting sqref="F5:O49">
    <cfRule type="expression" priority="1" dxfId="6">
      <formula>$E5=""</formula>
    </cfRule>
  </conditionalFormatting>
  <conditionalFormatting sqref="W5:W49">
    <cfRule type="expression" priority="2" dxfId="7">
      <formula>OR(W5="未決定",LEFT(W5,6)="（出来れば）")</formula>
    </cfRule>
    <cfRule type="expression" priority="3" dxfId="8">
      <formula>W5&lt;&gt;""</formula>
    </cfRule>
  </conditionalFormatting>
  <conditionalFormatting sqref="X5:Y49">
    <cfRule type="expression" priority="4" dxfId="8">
      <formula>X5="入る枠がありません"</formula>
    </cfRule>
  </conditionalFormatting>
  <conditionalFormatting sqref="Q5:Q49">
    <cfRule type="expression" priority="5" dxfId="9">
      <formula>OR(Q5="未入力",Q5="未提出")</formula>
    </cfRule>
  </conditionalFormatting>
  <conditionalFormatting sqref="S5:S49">
    <cfRule type="expression" priority="6" dxfId="10">
      <formula>AND(T5&lt;&gt;"",S5&lt;=2)</formula>
    </cfRule>
  </conditionalFormatting>
  <dataValidations count="9">
    <dataValidation sqref="E5 E6 E7 E8 E9 E10 E11 E12 E13 E14 E15 E16 E17 E18 E19 E20 E21 E22 E23 E24 E25 E26 E27 E28 E29 E30 E31 E32 E33 E34 E35 E36 E37 E38 E39 E40 E41 E42 E43 E44" showDropDown="0" showInputMessage="0" showErrorMessage="0" allowBlank="1" type="list">
      <formula1>"〇"</formula1>
    </dataValidation>
    <dataValidation sqref="G5 G6 G7 G8 G9 G10 G11 G12 G13 G14 G15 G16 G17 G18 G19 G20 G21 G22 G23 G24 G25 G26 G27 G28 G29 G30 G31 G32 G33 G34 G35 G36 G37 G38 G39 G40 G41 G42 G43 G44 J5 J6 J7 J8 J9 J10 J11 J12 J13 J14 J15 J16 J17 J18 J19 J20 J21 J22 J23 J24 J25 J26 J27 J28 J29 J30 J31 J32 J33 J34 J35 J36 J37 J38 J39 J40 J41 J42 J43 J44 M5 M6 M7 M8 M9 M10 M11 M12 M13 M14 M15 M16 M17 M18 M19 M20 M21 M22 M23 M24 M25 M26 M27 M28 M29 M30 M31 M32 M33 M34 M35 M36 M37 M38 M39 M40 M41 M42 M43 M44" showDropDown="0" showInputMessage="0" showErrorMessage="0" allowBlank="1" type="list">
      <formula1>='設定'!$E$11:$E$16</formula1>
    </dataValidation>
    <dataValidation sqref="H5 H6 H7 H8 H9 H10 H11 H12 H13 H14 H15 H16 H17 H18 H19 H20 H21 H22 H23 H24 H25 H26 H27 H28 H29 H30 H31 H32 H33 H34 H35 H36 H37 H38 H39 H40 H41 H42 H43 H44 K5 K6 K7 K8 K9 K10 K11 K12 K13 K14 K15 K16 K17 K18 K19 K20 K21 K22 K23 K24 K25 K26 K27 K28 K29 K30 K31 K32 K33 K34 K35 K36 K37 K38 K39 K40 K41 K42 K43 K44 N5 N6 N7 N8 N9 N10 N11 N12 N13 N14 N15 N16 N17 N18 N19 N20 N21 N22 N23 N24 N25 N26 N27 N28 N29 N30 N31 N32 N33 N34 N35 N36 N37 N38 N39 N40 N41 N42 N43 N44" showDropDown="0" showInputMessage="0" showErrorMessage="0" allowBlank="1" type="list">
      <formula1>='設定'!$I$11:$I$34</formula1>
    </dataValidation>
    <dataValidation sqref="C5 C6 C7 C8 C9 C10 C11 C12 C13 C14 C15 C16 C17 C18 C19 C20 C21 C22 C23 C24 C25 C26 C27 C28 C29 C30 C31 C32 C33 C34 C35 C36 C37 C38 C39 C40 C41 C42 C43 C44" showDropDown="0" showInputMessage="0" showErrorMessage="0" allowBlank="1" type="list">
      <formula1>"早い時刻,遅い時刻,早い日,遅い日"</formula1>
    </dataValidation>
    <dataValidation sqref="D5 D6 D7 D8 D9 D10 D11 D12 D13 D14 D15 D16 D17 D18 D19 D20 D21 D22 D23 D24 D25 D26 D27 D28 D29 D30 D31 D32 D33 D34 D35 D36 D37 D38 D39 D40 D41 D42 D43 D44" showDropDown="0" showInputMessage="0" showErrorMessage="0" allowBlank="1" type="list">
      <formula1>"必ず空けたい,出来れば空けたい,空けない"</formula1>
    </dataValidation>
    <dataValidation sqref="F5 F6 F7 F8 F9 F10 F11 F12 F13 F14 F15 F16 F17 F18 F19 F20 F21 F22 F23 F24 F25 F26 F27 F28 F29 F30 F31 F32 F33 F34 F35 F36 F37 F38 F39 F40 F41 F42 F43 F44" showDropDown="0" showInputMessage="1" showErrorMessage="0" allowBlank="1" promptTitle="兄弟の面談の日時" prompt="兄弟の担任から聞いた日時は、いちばん上の「＋」を押すと出てくる「兄弟①〜③」の列に入れます。"/>
    <dataValidation sqref="I5 I6 I7 I8 I9 I10 I11 I12 I13 I14 I15 I16 I17 I18 I19 I20 I21 I22 I23 I24 I25 I26 I27 I28 I29 I30 I31 I32 I33 I34 I35 I36 I37 I38 I39 I40 I41 I42 I43 I44" showDropDown="0" showInputMessage="0" showErrorMessage="0" allowBlank="1" type="list">
      <formula1>"兄弟①の前,兄弟①の後,どちらでも"</formula1>
    </dataValidation>
    <dataValidation sqref="L5 L6 L7 L8 L9 L10 L11 L12 L13 L14 L15 L16 L17 L18 L19 L20 L21 L22 L23 L24 L25 L26 L27 L28 L29 L30 L31 L32 L33 L34 L35 L36 L37 L38 L39 L40 L41 L42 L43 L44" showDropDown="0" showInputMessage="0" showErrorMessage="0" allowBlank="1" type="list">
      <formula1>"兄弟②の前,兄弟②の後,どちらでも"</formula1>
    </dataValidation>
    <dataValidation sqref="O5 O6 O7 O8 O9 O10 O11 O12 O13 O14 O15 O16 O17 O18 O19 O20 O21 O22 O23 O24 O25 O26 O27 O28 O29 O30 O31 O32 O33 O34 O35 O36 O37 O38 O39 O40 O41 O42 O43 O44" showDropDown="0" showInputMessage="0" showErrorMessage="0" allowBlank="1" type="list">
      <formula1>"兄弟③の前,兄弟③の後,どちらでも"</formula1>
    </dataValidation>
  </dataValidations>
  <pageMargins left="0.75" right="0.75" top="1" bottom="1" header="0.5" footer="0.5"/>
</worksheet>
</file>

<file path=xl/worksheets/sheet4.xml><?xml version="1.0" encoding="utf-8"?>
<worksheet xmlns="http://schemas.openxmlformats.org/spreadsheetml/2006/main">
  <sheetPr>
    <tabColor rgb="00B23A3A"/>
    <outlinePr summaryBelow="1" summaryRight="1"/>
    <pageSetUpPr/>
  </sheetPr>
  <dimension ref="A1:S1124"/>
  <sheetViews>
    <sheetView showGridLines="0" showRowColHeaders="0" workbookViewId="0">
      <pane ySplit="4" topLeftCell="A5" activePane="bottomLeft" state="frozen"/>
      <selection pane="bottomLeft" activeCell="A1" sqref="A1"/>
    </sheetView>
  </sheetViews>
  <sheetFormatPr baseColWidth="8" defaultRowHeight="15"/>
  <cols>
    <col width="10" customWidth="1" min="1" max="1"/>
    <col width="9"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width="15" customWidth="1" min="14" max="14"/>
    <col width="15" customWidth="1" min="15" max="15"/>
    <col hidden="1" width="13" customWidth="1" min="19" max="19"/>
  </cols>
  <sheetData>
    <row r="1" ht="44" customHeight="1">
      <c r="A1" s="2" t="n"/>
      <c r="B1" s="71" t="inlineStr">
        <is>
          <t>×入力</t>
        </is>
      </c>
      <c r="C1" s="2" t="n"/>
      <c r="D1" s="2" t="n"/>
      <c r="E1" s="2" t="n"/>
      <c r="F1" s="22">
        <f>HYPERLINK("#'ホーム'!A1","ホーム")</f>
        <v/>
      </c>
      <c r="G1" s="22">
        <f>HYPERLINK("#'設定'!A1","① 設定")</f>
        <v/>
      </c>
      <c r="H1" s="22">
        <f>HYPERLINK("#'名簿'!A1","② 名簿")</f>
        <v/>
      </c>
      <c r="I1" s="23">
        <f>HYPERLINK("#'×入力'!A1","③ ×入力")</f>
        <v/>
      </c>
      <c r="J1" s="22">
        <f>HYPERLINK("#'自動案A'!A1","④ 自動案A")</f>
        <v/>
      </c>
      <c r="K1" s="22">
        <f>HYPERLINK("#'自動案B'!A1","④ 自動案B")</f>
        <v/>
      </c>
      <c r="L1" s="22">
        <f>HYPERLINK("#'調整・決定'!A1","⑤ 調整・決定")</f>
        <v/>
      </c>
      <c r="M1" s="22">
        <f>HYPERLINK("#'兄弟確認用'!A1","⑥ 兄弟確認")</f>
        <v/>
      </c>
      <c r="N1" s="22">
        <f>HYPERLINK("#'お手紙（夏）'!A1","⑦ お手紙 夏")</f>
        <v/>
      </c>
      <c r="O1" s="22">
        <f>HYPERLINK("#'お手紙（秋）'!A1","⑧ お手紙 秋")</f>
        <v/>
      </c>
    </row>
    <row r="2" ht="24" customHeight="1">
      <c r="A2" s="5" t="n"/>
      <c r="B2" s="72" t="inlineStr">
        <is>
          <t>都合の悪い枠をダブルクリック→「×」（もう一度で消える）。日付の上の欄→その日全部、時刻の左の欄→その時間全部。×が1つもない家庭は「提出状況」で「×なし（どこでもOK）」、出していない家庭は「未提出」。</t>
        </is>
      </c>
      <c r="C2" s="5" t="n"/>
      <c r="D2" s="5" t="n"/>
      <c r="E2" s="5" t="n"/>
      <c r="F2" s="5" t="n"/>
      <c r="G2" s="5" t="n"/>
      <c r="H2" s="5" t="n"/>
      <c r="I2" s="5" t="n"/>
      <c r="J2" s="5" t="n"/>
      <c r="K2" s="5" t="n"/>
      <c r="L2" s="5" t="n"/>
      <c r="M2" s="5" t="n"/>
      <c r="N2" s="5" t="n"/>
      <c r="O2" s="5" t="n"/>
    </row>
    <row r="3" ht="30" customHeight="1">
      <c r="B3" s="73" t="inlineStr">
        <is>
          <t>児童を選ぶ ▼</t>
        </is>
      </c>
      <c r="D3" s="74" t="n"/>
      <c r="E3" s="33" t="n"/>
      <c r="G3" s="75" t="inlineStr">
        <is>
          <t>▶ 次の未入力の子へ</t>
        </is>
      </c>
      <c r="H3" s="76" t="n"/>
    </row>
    <row r="4" ht="34" customHeight="1">
      <c r="B4" s="77">
        <f>IF(SUBTOTAL(103,S5:S1124)&lt;&gt;COUNTIF(S5:S1124,"表示"),"⚠ 設定で枠の数が変わりました。このシートで Ctrl＋Alt＋L を押してください（押すと時刻の行が合います）","")</f>
        <v/>
      </c>
      <c r="S4" t="inlineStr">
        <is>
          <t>表示</t>
        </is>
      </c>
    </row>
    <row r="5" ht="26" customHeight="1">
      <c r="B5" s="78">
        <f>IF('名簿'!B5="","（名簿 1行目：なし）",'名簿'!P5)</f>
        <v/>
      </c>
      <c r="C5" s="5" t="n"/>
      <c r="D5" s="5" t="n"/>
      <c r="E5" s="79" t="inlineStr">
        <is>
          <t>提出状況 ▶</t>
        </is>
      </c>
      <c r="F5" s="42" t="n"/>
      <c r="G5" s="33" t="n"/>
      <c r="H5" s="80" t="inlineStr">
        <is>
          <t>状況：</t>
        </is>
      </c>
      <c r="I5" s="81">
        <f>'名簿'!Q5</f>
        <v/>
      </c>
      <c r="J5" s="80" t="inlineStr">
        <is>
          <t>×の数：</t>
        </is>
      </c>
      <c r="K5" s="82">
        <f>'名簿'!R5</f>
        <v/>
      </c>
      <c r="L5" s="83">
        <f>HYPERLINK("#'×入力'!B33","次の人へ ▼")</f>
        <v/>
      </c>
      <c r="S5" t="inlineStr">
        <is>
          <t>表示</t>
        </is>
      </c>
    </row>
    <row r="6" ht="22" customHeight="1">
      <c r="A6" s="34" t="inlineStr">
        <is>
          <t>この日全部 ▶</t>
        </is>
      </c>
      <c r="C6" s="84" t="n"/>
      <c r="D6" s="84" t="n"/>
      <c r="E6" s="84" t="n"/>
      <c r="F6" s="84" t="n"/>
      <c r="G6" s="84" t="n"/>
      <c r="H6" s="84" t="n"/>
      <c r="S6" t="inlineStr">
        <is>
          <t>表示</t>
        </is>
      </c>
    </row>
    <row r="7" ht="28" customHeight="1">
      <c r="A7" s="37" t="inlineStr">
        <is>
          <t>この時間
全部 ▼</t>
        </is>
      </c>
      <c r="B7" s="38" t="inlineStr"/>
      <c r="C7" s="39">
        <f>'設定'!$E$11</f>
        <v/>
      </c>
      <c r="D7" s="39">
        <f>'設定'!$E$12</f>
        <v/>
      </c>
      <c r="E7" s="39">
        <f>'設定'!$E$13</f>
        <v/>
      </c>
      <c r="F7" s="39">
        <f>'設定'!$E$14</f>
        <v/>
      </c>
      <c r="G7" s="39">
        <f>'設定'!$E$15</f>
        <v/>
      </c>
      <c r="H7" s="39">
        <f>'設定'!$E$16</f>
        <v/>
      </c>
      <c r="S7" t="inlineStr">
        <is>
          <t>表示</t>
        </is>
      </c>
    </row>
    <row r="8" ht="21" customHeight="1">
      <c r="A8" s="84" t="n"/>
      <c r="B8" s="46">
        <f>'設定'!$I$11</f>
        <v/>
      </c>
      <c r="C8" s="85" t="inlineStr">
        <is>
          <t>×</t>
        </is>
      </c>
      <c r="D8" s="85" t="inlineStr">
        <is>
          <t>×</t>
        </is>
      </c>
      <c r="E8" s="85" t="n"/>
      <c r="F8" s="85" t="inlineStr">
        <is>
          <t>×</t>
        </is>
      </c>
      <c r="G8" s="85" t="inlineStr">
        <is>
          <t>×</t>
        </is>
      </c>
      <c r="H8" s="85" t="n"/>
      <c r="S8">
        <f>IF(1&lt;='設定'!$B$6,"表示","隠す")</f>
        <v/>
      </c>
    </row>
    <row r="9" ht="21" customHeight="1">
      <c r="A9" s="84" t="n"/>
      <c r="B9" s="46">
        <f>'設定'!$I$12</f>
        <v/>
      </c>
      <c r="C9" s="85" t="inlineStr">
        <is>
          <t>×</t>
        </is>
      </c>
      <c r="D9" s="85" t="n"/>
      <c r="E9" s="85" t="n"/>
      <c r="F9" s="85" t="inlineStr">
        <is>
          <t>×</t>
        </is>
      </c>
      <c r="G9" s="85" t="inlineStr">
        <is>
          <t>×</t>
        </is>
      </c>
      <c r="H9" s="85" t="n"/>
      <c r="S9">
        <f>IF(2&lt;='設定'!$B$6,"表示","隠す")</f>
        <v/>
      </c>
    </row>
    <row r="10" ht="21" customHeight="1">
      <c r="A10" s="84" t="n"/>
      <c r="B10" s="46">
        <f>'設定'!$I$13</f>
        <v/>
      </c>
      <c r="C10" s="85" t="inlineStr">
        <is>
          <t>×</t>
        </is>
      </c>
      <c r="D10" s="85" t="n"/>
      <c r="E10" s="85" t="n"/>
      <c r="F10" s="85" t="inlineStr">
        <is>
          <t>×</t>
        </is>
      </c>
      <c r="G10" s="85" t="inlineStr">
        <is>
          <t>×</t>
        </is>
      </c>
      <c r="H10" s="85" t="n"/>
      <c r="S10">
        <f>IF(3&lt;='設定'!$B$6,"表示","隠す")</f>
        <v/>
      </c>
    </row>
    <row r="11" ht="21" customHeight="1">
      <c r="A11" s="84" t="n"/>
      <c r="B11" s="46">
        <f>'設定'!$I$14</f>
        <v/>
      </c>
      <c r="C11" s="85" t="inlineStr">
        <is>
          <t>×</t>
        </is>
      </c>
      <c r="D11" s="85" t="n"/>
      <c r="E11" s="85" t="inlineStr">
        <is>
          <t>×</t>
        </is>
      </c>
      <c r="F11" s="85" t="inlineStr">
        <is>
          <t>×</t>
        </is>
      </c>
      <c r="G11" s="85" t="inlineStr">
        <is>
          <t>×</t>
        </is>
      </c>
      <c r="H11" s="85" t="n"/>
      <c r="S11">
        <f>IF(4&lt;='設定'!$B$6,"表示","隠す")</f>
        <v/>
      </c>
    </row>
    <row r="12" ht="21" customHeight="1">
      <c r="A12" s="84" t="n"/>
      <c r="B12" s="46">
        <f>'設定'!$I$15</f>
        <v/>
      </c>
      <c r="C12" s="85" t="inlineStr">
        <is>
          <t>×</t>
        </is>
      </c>
      <c r="D12" s="85" t="n"/>
      <c r="E12" s="85" t="n"/>
      <c r="F12" s="85" t="inlineStr">
        <is>
          <t>×</t>
        </is>
      </c>
      <c r="G12" s="85" t="inlineStr">
        <is>
          <t>×</t>
        </is>
      </c>
      <c r="H12" s="85" t="n"/>
      <c r="S12">
        <f>IF(5&lt;='設定'!$B$6,"表示","隠す")</f>
        <v/>
      </c>
    </row>
    <row r="13" ht="21" customHeight="1">
      <c r="A13" s="84" t="n"/>
      <c r="B13" s="46">
        <f>'設定'!$I$16</f>
        <v/>
      </c>
      <c r="C13" s="85" t="inlineStr">
        <is>
          <t>×</t>
        </is>
      </c>
      <c r="D13" s="85" t="n"/>
      <c r="E13" s="85" t="inlineStr">
        <is>
          <t>×</t>
        </is>
      </c>
      <c r="F13" s="85" t="inlineStr">
        <is>
          <t>×</t>
        </is>
      </c>
      <c r="G13" s="85" t="inlineStr">
        <is>
          <t>×</t>
        </is>
      </c>
      <c r="H13" s="85" t="n"/>
      <c r="S13">
        <f>IF(6&lt;='設定'!$B$6,"表示","隠す")</f>
        <v/>
      </c>
    </row>
    <row r="14" ht="21" customHeight="1">
      <c r="A14" s="84" t="n"/>
      <c r="B14" s="46">
        <f>'設定'!$I$17</f>
        <v/>
      </c>
      <c r="C14" s="85" t="inlineStr">
        <is>
          <t>×</t>
        </is>
      </c>
      <c r="D14" s="85" t="n"/>
      <c r="E14" s="85" t="n"/>
      <c r="F14" s="85" t="inlineStr">
        <is>
          <t>×</t>
        </is>
      </c>
      <c r="G14" s="85" t="inlineStr">
        <is>
          <t>×</t>
        </is>
      </c>
      <c r="H14" s="85" t="n"/>
      <c r="S14">
        <f>IF(7&lt;='設定'!$B$6,"表示","隠す")</f>
        <v/>
      </c>
    </row>
    <row r="15" ht="21" customHeight="1">
      <c r="A15" s="84" t="n"/>
      <c r="B15" s="46">
        <f>'設定'!$I$18</f>
        <v/>
      </c>
      <c r="C15" s="85" t="inlineStr">
        <is>
          <t>×</t>
        </is>
      </c>
      <c r="D15" s="85" t="n"/>
      <c r="E15" s="85" t="n"/>
      <c r="F15" s="85" t="inlineStr">
        <is>
          <t>×</t>
        </is>
      </c>
      <c r="G15" s="85" t="inlineStr">
        <is>
          <t>×</t>
        </is>
      </c>
      <c r="H15" s="85" t="n"/>
      <c r="S15">
        <f>IF(8&lt;='設定'!$B$6,"表示","隠す")</f>
        <v/>
      </c>
    </row>
    <row r="16" ht="21" customHeight="1">
      <c r="A16" s="84" t="n"/>
      <c r="B16" s="46">
        <f>'設定'!$I$19</f>
        <v/>
      </c>
      <c r="C16" s="85" t="inlineStr">
        <is>
          <t>×</t>
        </is>
      </c>
      <c r="D16" s="85" t="n"/>
      <c r="E16" s="85" t="n"/>
      <c r="F16" s="85" t="inlineStr">
        <is>
          <t>×</t>
        </is>
      </c>
      <c r="G16" s="85" t="inlineStr">
        <is>
          <t>×</t>
        </is>
      </c>
      <c r="H16" s="85" t="n"/>
      <c r="S16">
        <f>IF(9&lt;='設定'!$B$6,"表示","隠す")</f>
        <v/>
      </c>
    </row>
    <row r="17" hidden="1" ht="21" customHeight="1">
      <c r="A17" s="84" t="n"/>
      <c r="B17" s="46">
        <f>'設定'!$I$20</f>
        <v/>
      </c>
      <c r="C17" s="85" t="n"/>
      <c r="D17" s="85" t="n"/>
      <c r="E17" s="85" t="n"/>
      <c r="F17" s="85" t="n"/>
      <c r="G17" s="85" t="n"/>
      <c r="H17" s="85" t="n"/>
      <c r="S17">
        <f>IF(10&lt;='設定'!$B$6,"表示","隠す")</f>
        <v/>
      </c>
    </row>
    <row r="18" hidden="1" ht="21" customHeight="1">
      <c r="A18" s="84" t="n"/>
      <c r="B18" s="46">
        <f>'設定'!$I$21</f>
        <v/>
      </c>
      <c r="C18" s="85" t="n"/>
      <c r="D18" s="85" t="n"/>
      <c r="E18" s="85" t="n"/>
      <c r="F18" s="85" t="n"/>
      <c r="G18" s="85" t="n"/>
      <c r="H18" s="85" t="n"/>
      <c r="S18">
        <f>IF(11&lt;='設定'!$B$6,"表示","隠す")</f>
        <v/>
      </c>
    </row>
    <row r="19" hidden="1" ht="21" customHeight="1">
      <c r="A19" s="84" t="n"/>
      <c r="B19" s="46">
        <f>'設定'!$I$22</f>
        <v/>
      </c>
      <c r="C19" s="85" t="n"/>
      <c r="D19" s="85" t="n"/>
      <c r="E19" s="85" t="n"/>
      <c r="F19" s="85" t="n"/>
      <c r="G19" s="85" t="n"/>
      <c r="H19" s="85" t="n"/>
      <c r="S19">
        <f>IF(12&lt;='設定'!$B$6,"表示","隠す")</f>
        <v/>
      </c>
    </row>
    <row r="20" hidden="1" ht="21" customHeight="1">
      <c r="A20" s="84" t="n"/>
      <c r="B20" s="46">
        <f>'設定'!$I$23</f>
        <v/>
      </c>
      <c r="C20" s="85" t="n"/>
      <c r="D20" s="85" t="n"/>
      <c r="E20" s="85" t="n"/>
      <c r="F20" s="85" t="n"/>
      <c r="G20" s="85" t="n"/>
      <c r="H20" s="85" t="n"/>
      <c r="S20">
        <f>IF(13&lt;='設定'!$B$6,"表示","隠す")</f>
        <v/>
      </c>
    </row>
    <row r="21" hidden="1" ht="21" customHeight="1">
      <c r="A21" s="84" t="n"/>
      <c r="B21" s="46">
        <f>'設定'!$I$24</f>
        <v/>
      </c>
      <c r="C21" s="85" t="n"/>
      <c r="D21" s="85" t="n"/>
      <c r="E21" s="85" t="n"/>
      <c r="F21" s="85" t="n"/>
      <c r="G21" s="85" t="n"/>
      <c r="H21" s="85" t="n"/>
      <c r="S21">
        <f>IF(14&lt;='設定'!$B$6,"表示","隠す")</f>
        <v/>
      </c>
    </row>
    <row r="22" hidden="1" ht="21" customHeight="1">
      <c r="A22" s="84" t="n"/>
      <c r="B22" s="46">
        <f>'設定'!$I$25</f>
        <v/>
      </c>
      <c r="C22" s="85" t="n"/>
      <c r="D22" s="85" t="n"/>
      <c r="E22" s="85" t="n"/>
      <c r="F22" s="85" t="n"/>
      <c r="G22" s="85" t="n"/>
      <c r="H22" s="85" t="n"/>
      <c r="S22">
        <f>IF(15&lt;='設定'!$B$6,"表示","隠す")</f>
        <v/>
      </c>
    </row>
    <row r="23" hidden="1" ht="21" customHeight="1">
      <c r="A23" s="84" t="n"/>
      <c r="B23" s="46">
        <f>'設定'!$I$26</f>
        <v/>
      </c>
      <c r="C23" s="85" t="n"/>
      <c r="D23" s="85" t="n"/>
      <c r="E23" s="85" t="n"/>
      <c r="F23" s="85" t="n"/>
      <c r="G23" s="85" t="n"/>
      <c r="H23" s="85" t="n"/>
      <c r="S23">
        <f>IF(16&lt;='設定'!$B$6,"表示","隠す")</f>
        <v/>
      </c>
    </row>
    <row r="24" hidden="1" ht="21" customHeight="1">
      <c r="A24" s="84" t="n"/>
      <c r="B24" s="46">
        <f>'設定'!$I$27</f>
        <v/>
      </c>
      <c r="C24" s="85" t="n"/>
      <c r="D24" s="85" t="n"/>
      <c r="E24" s="85" t="n"/>
      <c r="F24" s="85" t="n"/>
      <c r="G24" s="85" t="n"/>
      <c r="H24" s="85" t="n"/>
      <c r="S24">
        <f>IF(17&lt;='設定'!$B$6,"表示","隠す")</f>
        <v/>
      </c>
    </row>
    <row r="25" hidden="1" ht="21" customHeight="1">
      <c r="A25" s="84" t="n"/>
      <c r="B25" s="46">
        <f>'設定'!$I$28</f>
        <v/>
      </c>
      <c r="C25" s="85" t="n"/>
      <c r="D25" s="85" t="n"/>
      <c r="E25" s="85" t="n"/>
      <c r="F25" s="85" t="n"/>
      <c r="G25" s="85" t="n"/>
      <c r="H25" s="85" t="n"/>
      <c r="S25">
        <f>IF(18&lt;='設定'!$B$6,"表示","隠す")</f>
        <v/>
      </c>
    </row>
    <row r="26" hidden="1" ht="21" customHeight="1">
      <c r="A26" s="84" t="n"/>
      <c r="B26" s="46">
        <f>'設定'!$I$29</f>
        <v/>
      </c>
      <c r="C26" s="85" t="n"/>
      <c r="D26" s="85" t="n"/>
      <c r="E26" s="85" t="n"/>
      <c r="F26" s="85" t="n"/>
      <c r="G26" s="85" t="n"/>
      <c r="H26" s="85" t="n"/>
      <c r="S26">
        <f>IF(19&lt;='設定'!$B$6,"表示","隠す")</f>
        <v/>
      </c>
    </row>
    <row r="27" hidden="1" ht="21" customHeight="1">
      <c r="A27" s="84" t="n"/>
      <c r="B27" s="46">
        <f>'設定'!$I$30</f>
        <v/>
      </c>
      <c r="C27" s="85" t="n"/>
      <c r="D27" s="85" t="n"/>
      <c r="E27" s="85" t="n"/>
      <c r="F27" s="85" t="n"/>
      <c r="G27" s="85" t="n"/>
      <c r="H27" s="85" t="n"/>
      <c r="S27">
        <f>IF(20&lt;='設定'!$B$6,"表示","隠す")</f>
        <v/>
      </c>
    </row>
    <row r="28" hidden="1" ht="21" customHeight="1">
      <c r="A28" s="84" t="n"/>
      <c r="B28" s="46">
        <f>'設定'!$I$31</f>
        <v/>
      </c>
      <c r="C28" s="85" t="n"/>
      <c r="D28" s="85" t="n"/>
      <c r="E28" s="85" t="n"/>
      <c r="F28" s="85" t="n"/>
      <c r="G28" s="85" t="n"/>
      <c r="H28" s="85" t="n"/>
      <c r="S28">
        <f>IF(21&lt;='設定'!$B$6,"表示","隠す")</f>
        <v/>
      </c>
    </row>
    <row r="29" hidden="1" ht="21" customHeight="1">
      <c r="A29" s="84" t="n"/>
      <c r="B29" s="46">
        <f>'設定'!$I$32</f>
        <v/>
      </c>
      <c r="C29" s="85" t="n"/>
      <c r="D29" s="85" t="n"/>
      <c r="E29" s="85" t="n"/>
      <c r="F29" s="85" t="n"/>
      <c r="G29" s="85" t="n"/>
      <c r="H29" s="85" t="n"/>
      <c r="S29">
        <f>IF(22&lt;='設定'!$B$6,"表示","隠す")</f>
        <v/>
      </c>
    </row>
    <row r="30" hidden="1" ht="21" customHeight="1">
      <c r="A30" s="84" t="n"/>
      <c r="B30" s="46">
        <f>'設定'!$I$33</f>
        <v/>
      </c>
      <c r="C30" s="85" t="n"/>
      <c r="D30" s="85" t="n"/>
      <c r="E30" s="85" t="n"/>
      <c r="F30" s="85" t="n"/>
      <c r="G30" s="85" t="n"/>
      <c r="H30" s="85" t="n"/>
      <c r="S30">
        <f>IF(23&lt;='設定'!$B$6,"表示","隠す")</f>
        <v/>
      </c>
    </row>
    <row r="31" hidden="1" ht="21" customHeight="1">
      <c r="A31" s="84" t="n"/>
      <c r="B31" s="46">
        <f>'設定'!$I$34</f>
        <v/>
      </c>
      <c r="C31" s="85" t="n"/>
      <c r="D31" s="85" t="n"/>
      <c r="E31" s="85" t="n"/>
      <c r="F31" s="85" t="n"/>
      <c r="G31" s="85" t="n"/>
      <c r="H31" s="85" t="n"/>
      <c r="S31">
        <f>IF(24&lt;='設定'!$B$6,"表示","隠す")</f>
        <v/>
      </c>
    </row>
    <row r="32">
      <c r="S32" t="inlineStr">
        <is>
          <t>表示</t>
        </is>
      </c>
    </row>
    <row r="33" ht="26" customHeight="1">
      <c r="B33" s="78">
        <f>IF('名簿'!B6="","（名簿 2行目：なし）",'名簿'!P6)</f>
        <v/>
      </c>
      <c r="C33" s="5" t="n"/>
      <c r="D33" s="5" t="n"/>
      <c r="E33" s="79" t="inlineStr">
        <is>
          <t>提出状況 ▶</t>
        </is>
      </c>
      <c r="F33" s="42" t="n"/>
      <c r="G33" s="33" t="n"/>
      <c r="H33" s="80" t="inlineStr">
        <is>
          <t>状況：</t>
        </is>
      </c>
      <c r="I33" s="81">
        <f>'名簿'!Q6</f>
        <v/>
      </c>
      <c r="J33" s="80" t="inlineStr">
        <is>
          <t>×の数：</t>
        </is>
      </c>
      <c r="K33" s="82">
        <f>'名簿'!R6</f>
        <v/>
      </c>
      <c r="L33" s="83">
        <f>HYPERLINK("#'×入力'!B61","次の人へ ▼")</f>
        <v/>
      </c>
      <c r="S33" t="inlineStr">
        <is>
          <t>表示</t>
        </is>
      </c>
    </row>
    <row r="34" ht="22" customHeight="1">
      <c r="A34" s="34" t="inlineStr">
        <is>
          <t>この日全部 ▶</t>
        </is>
      </c>
      <c r="C34" s="84" t="n"/>
      <c r="D34" s="84" t="n"/>
      <c r="E34" s="84" t="n"/>
      <c r="F34" s="84" t="n"/>
      <c r="G34" s="84" t="n"/>
      <c r="H34" s="84" t="n"/>
      <c r="S34" t="inlineStr">
        <is>
          <t>表示</t>
        </is>
      </c>
    </row>
    <row r="35" ht="28" customHeight="1">
      <c r="A35" s="37" t="inlineStr">
        <is>
          <t>この時間
全部 ▼</t>
        </is>
      </c>
      <c r="B35" s="38" t="inlineStr"/>
      <c r="C35" s="39">
        <f>'設定'!$E$11</f>
        <v/>
      </c>
      <c r="D35" s="39">
        <f>'設定'!$E$12</f>
        <v/>
      </c>
      <c r="E35" s="39">
        <f>'設定'!$E$13</f>
        <v/>
      </c>
      <c r="F35" s="39">
        <f>'設定'!$E$14</f>
        <v/>
      </c>
      <c r="G35" s="39">
        <f>'設定'!$E$15</f>
        <v/>
      </c>
      <c r="H35" s="39">
        <f>'設定'!$E$16</f>
        <v/>
      </c>
      <c r="S35" t="inlineStr">
        <is>
          <t>表示</t>
        </is>
      </c>
    </row>
    <row r="36" ht="21" customHeight="1">
      <c r="A36" s="84" t="n"/>
      <c r="B36" s="46">
        <f>'設定'!$I$11</f>
        <v/>
      </c>
      <c r="C36" s="85" t="n"/>
      <c r="D36" s="85" t="n"/>
      <c r="E36" s="85" t="n"/>
      <c r="F36" s="85" t="n"/>
      <c r="G36" s="85" t="n"/>
      <c r="H36" s="85" t="n"/>
      <c r="S36">
        <f>IF(1&lt;='設定'!$B$6,"表示","隠す")</f>
        <v/>
      </c>
    </row>
    <row r="37" ht="21" customHeight="1">
      <c r="A37" s="84" t="n"/>
      <c r="B37" s="46">
        <f>'設定'!$I$12</f>
        <v/>
      </c>
      <c r="C37" s="85" t="n"/>
      <c r="D37" s="85" t="n"/>
      <c r="E37" s="85" t="n"/>
      <c r="F37" s="85" t="inlineStr">
        <is>
          <t>×</t>
        </is>
      </c>
      <c r="G37" s="85" t="n"/>
      <c r="H37" s="85" t="n"/>
      <c r="S37">
        <f>IF(2&lt;='設定'!$B$6,"表示","隠す")</f>
        <v/>
      </c>
    </row>
    <row r="38" ht="21" customHeight="1">
      <c r="A38" s="84" t="n"/>
      <c r="B38" s="46">
        <f>'設定'!$I$13</f>
        <v/>
      </c>
      <c r="C38" s="85" t="n"/>
      <c r="D38" s="85" t="n"/>
      <c r="E38" s="85" t="n"/>
      <c r="F38" s="85" t="n"/>
      <c r="G38" s="85" t="n"/>
      <c r="H38" s="85" t="n"/>
      <c r="S38">
        <f>IF(3&lt;='設定'!$B$6,"表示","隠す")</f>
        <v/>
      </c>
    </row>
    <row r="39" ht="21" customHeight="1">
      <c r="A39" s="84" t="n"/>
      <c r="B39" s="46">
        <f>'設定'!$I$14</f>
        <v/>
      </c>
      <c r="C39" s="85" t="n"/>
      <c r="D39" s="85" t="n"/>
      <c r="E39" s="85" t="n"/>
      <c r="F39" s="85" t="n"/>
      <c r="G39" s="85" t="n"/>
      <c r="H39" s="85" t="n"/>
      <c r="S39">
        <f>IF(4&lt;='設定'!$B$6,"表示","隠す")</f>
        <v/>
      </c>
    </row>
    <row r="40" ht="21" customHeight="1">
      <c r="A40" s="84" t="n"/>
      <c r="B40" s="46">
        <f>'設定'!$I$15</f>
        <v/>
      </c>
      <c r="C40" s="85" t="n"/>
      <c r="D40" s="85" t="inlineStr">
        <is>
          <t>×</t>
        </is>
      </c>
      <c r="E40" s="85" t="n"/>
      <c r="F40" s="85" t="n"/>
      <c r="G40" s="85" t="inlineStr">
        <is>
          <t>×</t>
        </is>
      </c>
      <c r="H40" s="85" t="n"/>
      <c r="S40">
        <f>IF(5&lt;='設定'!$B$6,"表示","隠す")</f>
        <v/>
      </c>
    </row>
    <row r="41" ht="21" customHeight="1">
      <c r="A41" s="84" t="n"/>
      <c r="B41" s="46">
        <f>'設定'!$I$16</f>
        <v/>
      </c>
      <c r="C41" s="85" t="inlineStr">
        <is>
          <t>×</t>
        </is>
      </c>
      <c r="D41" s="85" t="n"/>
      <c r="E41" s="85" t="n"/>
      <c r="F41" s="85" t="n"/>
      <c r="G41" s="85" t="n"/>
      <c r="H41" s="85" t="n"/>
      <c r="S41">
        <f>IF(6&lt;='設定'!$B$6,"表示","隠す")</f>
        <v/>
      </c>
    </row>
    <row r="42" ht="21" customHeight="1">
      <c r="A42" s="84" t="n"/>
      <c r="B42" s="46">
        <f>'設定'!$I$17</f>
        <v/>
      </c>
      <c r="C42" s="85" t="n"/>
      <c r="D42" s="85" t="n"/>
      <c r="E42" s="85" t="n"/>
      <c r="F42" s="85" t="n"/>
      <c r="G42" s="85" t="n"/>
      <c r="H42" s="85" t="n"/>
      <c r="S42">
        <f>IF(7&lt;='設定'!$B$6,"表示","隠す")</f>
        <v/>
      </c>
    </row>
    <row r="43" ht="21" customHeight="1">
      <c r="A43" s="84" t="n"/>
      <c r="B43" s="46">
        <f>'設定'!$I$18</f>
        <v/>
      </c>
      <c r="C43" s="85" t="n"/>
      <c r="D43" s="85" t="n"/>
      <c r="E43" s="85" t="inlineStr">
        <is>
          <t>×</t>
        </is>
      </c>
      <c r="F43" s="85" t="n"/>
      <c r="G43" s="85" t="n"/>
      <c r="H43" s="85" t="n"/>
      <c r="S43">
        <f>IF(8&lt;='設定'!$B$6,"表示","隠す")</f>
        <v/>
      </c>
    </row>
    <row r="44" ht="21" customHeight="1">
      <c r="A44" s="84" t="n"/>
      <c r="B44" s="46">
        <f>'設定'!$I$19</f>
        <v/>
      </c>
      <c r="C44" s="85" t="inlineStr">
        <is>
          <t>×</t>
        </is>
      </c>
      <c r="D44" s="85" t="n"/>
      <c r="E44" s="85" t="n"/>
      <c r="F44" s="85" t="inlineStr">
        <is>
          <t>×</t>
        </is>
      </c>
      <c r="G44" s="85" t="n"/>
      <c r="H44" s="85" t="n"/>
      <c r="S44">
        <f>IF(9&lt;='設定'!$B$6,"表示","隠す")</f>
        <v/>
      </c>
    </row>
    <row r="45" hidden="1" ht="21" customHeight="1">
      <c r="A45" s="84" t="n"/>
      <c r="B45" s="46">
        <f>'設定'!$I$20</f>
        <v/>
      </c>
      <c r="C45" s="85" t="n"/>
      <c r="D45" s="85" t="n"/>
      <c r="E45" s="85" t="n"/>
      <c r="F45" s="85" t="n"/>
      <c r="G45" s="85" t="n"/>
      <c r="H45" s="85" t="n"/>
      <c r="S45">
        <f>IF(10&lt;='設定'!$B$6,"表示","隠す")</f>
        <v/>
      </c>
    </row>
    <row r="46" hidden="1" ht="21" customHeight="1">
      <c r="A46" s="84" t="n"/>
      <c r="B46" s="46">
        <f>'設定'!$I$21</f>
        <v/>
      </c>
      <c r="C46" s="85" t="n"/>
      <c r="D46" s="85" t="n"/>
      <c r="E46" s="85" t="n"/>
      <c r="F46" s="85" t="n"/>
      <c r="G46" s="85" t="n"/>
      <c r="H46" s="85" t="n"/>
      <c r="S46">
        <f>IF(11&lt;='設定'!$B$6,"表示","隠す")</f>
        <v/>
      </c>
    </row>
    <row r="47" hidden="1" ht="21" customHeight="1">
      <c r="A47" s="84" t="n"/>
      <c r="B47" s="46">
        <f>'設定'!$I$22</f>
        <v/>
      </c>
      <c r="C47" s="85" t="n"/>
      <c r="D47" s="85" t="n"/>
      <c r="E47" s="85" t="n"/>
      <c r="F47" s="85" t="n"/>
      <c r="G47" s="85" t="n"/>
      <c r="H47" s="85" t="n"/>
      <c r="S47">
        <f>IF(12&lt;='設定'!$B$6,"表示","隠す")</f>
        <v/>
      </c>
    </row>
    <row r="48" hidden="1" ht="21" customHeight="1">
      <c r="A48" s="84" t="n"/>
      <c r="B48" s="46">
        <f>'設定'!$I$23</f>
        <v/>
      </c>
      <c r="C48" s="85" t="n"/>
      <c r="D48" s="85" t="n"/>
      <c r="E48" s="85" t="n"/>
      <c r="F48" s="85" t="n"/>
      <c r="G48" s="85" t="n"/>
      <c r="H48" s="85" t="n"/>
      <c r="S48">
        <f>IF(13&lt;='設定'!$B$6,"表示","隠す")</f>
        <v/>
      </c>
    </row>
    <row r="49" hidden="1" ht="21" customHeight="1">
      <c r="A49" s="84" t="n"/>
      <c r="B49" s="46">
        <f>'設定'!$I$24</f>
        <v/>
      </c>
      <c r="C49" s="85" t="n"/>
      <c r="D49" s="85" t="n"/>
      <c r="E49" s="85" t="n"/>
      <c r="F49" s="85" t="n"/>
      <c r="G49" s="85" t="n"/>
      <c r="H49" s="85" t="n"/>
      <c r="S49">
        <f>IF(14&lt;='設定'!$B$6,"表示","隠す")</f>
        <v/>
      </c>
    </row>
    <row r="50" hidden="1" ht="21" customHeight="1">
      <c r="A50" s="84" t="n"/>
      <c r="B50" s="46">
        <f>'設定'!$I$25</f>
        <v/>
      </c>
      <c r="C50" s="85" t="n"/>
      <c r="D50" s="85" t="n"/>
      <c r="E50" s="85" t="n"/>
      <c r="F50" s="85" t="n"/>
      <c r="G50" s="85" t="n"/>
      <c r="H50" s="85" t="n"/>
      <c r="S50">
        <f>IF(15&lt;='設定'!$B$6,"表示","隠す")</f>
        <v/>
      </c>
    </row>
    <row r="51" hidden="1" ht="21" customHeight="1">
      <c r="A51" s="84" t="n"/>
      <c r="B51" s="46">
        <f>'設定'!$I$26</f>
        <v/>
      </c>
      <c r="C51" s="85" t="n"/>
      <c r="D51" s="85" t="n"/>
      <c r="E51" s="85" t="n"/>
      <c r="F51" s="85" t="n"/>
      <c r="G51" s="85" t="n"/>
      <c r="H51" s="85" t="n"/>
      <c r="S51">
        <f>IF(16&lt;='設定'!$B$6,"表示","隠す")</f>
        <v/>
      </c>
    </row>
    <row r="52" hidden="1" ht="21" customHeight="1">
      <c r="A52" s="84" t="n"/>
      <c r="B52" s="46">
        <f>'設定'!$I$27</f>
        <v/>
      </c>
      <c r="C52" s="85" t="n"/>
      <c r="D52" s="85" t="n"/>
      <c r="E52" s="85" t="n"/>
      <c r="F52" s="85" t="n"/>
      <c r="G52" s="85" t="n"/>
      <c r="H52" s="85" t="n"/>
      <c r="S52">
        <f>IF(17&lt;='設定'!$B$6,"表示","隠す")</f>
        <v/>
      </c>
    </row>
    <row r="53" hidden="1" ht="21" customHeight="1">
      <c r="A53" s="84" t="n"/>
      <c r="B53" s="46">
        <f>'設定'!$I$28</f>
        <v/>
      </c>
      <c r="C53" s="85" t="n"/>
      <c r="D53" s="85" t="n"/>
      <c r="E53" s="85" t="n"/>
      <c r="F53" s="85" t="n"/>
      <c r="G53" s="85" t="n"/>
      <c r="H53" s="85" t="n"/>
      <c r="S53">
        <f>IF(18&lt;='設定'!$B$6,"表示","隠す")</f>
        <v/>
      </c>
    </row>
    <row r="54" hidden="1" ht="21" customHeight="1">
      <c r="A54" s="84" t="n"/>
      <c r="B54" s="46">
        <f>'設定'!$I$29</f>
        <v/>
      </c>
      <c r="C54" s="85" t="n"/>
      <c r="D54" s="85" t="n"/>
      <c r="E54" s="85" t="n"/>
      <c r="F54" s="85" t="n"/>
      <c r="G54" s="85" t="n"/>
      <c r="H54" s="85" t="n"/>
      <c r="S54">
        <f>IF(19&lt;='設定'!$B$6,"表示","隠す")</f>
        <v/>
      </c>
    </row>
    <row r="55" hidden="1" ht="21" customHeight="1">
      <c r="A55" s="84" t="n"/>
      <c r="B55" s="46">
        <f>'設定'!$I$30</f>
        <v/>
      </c>
      <c r="C55" s="85" t="n"/>
      <c r="D55" s="85" t="n"/>
      <c r="E55" s="85" t="n"/>
      <c r="F55" s="85" t="n"/>
      <c r="G55" s="85" t="n"/>
      <c r="H55" s="85" t="n"/>
      <c r="S55">
        <f>IF(20&lt;='設定'!$B$6,"表示","隠す")</f>
        <v/>
      </c>
    </row>
    <row r="56" hidden="1" ht="21" customHeight="1">
      <c r="A56" s="84" t="n"/>
      <c r="B56" s="46">
        <f>'設定'!$I$31</f>
        <v/>
      </c>
      <c r="C56" s="85" t="n"/>
      <c r="D56" s="85" t="n"/>
      <c r="E56" s="85" t="n"/>
      <c r="F56" s="85" t="n"/>
      <c r="G56" s="85" t="n"/>
      <c r="H56" s="85" t="n"/>
      <c r="S56">
        <f>IF(21&lt;='設定'!$B$6,"表示","隠す")</f>
        <v/>
      </c>
    </row>
    <row r="57" hidden="1" ht="21" customHeight="1">
      <c r="A57" s="84" t="n"/>
      <c r="B57" s="46">
        <f>'設定'!$I$32</f>
        <v/>
      </c>
      <c r="C57" s="85" t="n"/>
      <c r="D57" s="85" t="n"/>
      <c r="E57" s="85" t="n"/>
      <c r="F57" s="85" t="n"/>
      <c r="G57" s="85" t="n"/>
      <c r="H57" s="85" t="n"/>
      <c r="S57">
        <f>IF(22&lt;='設定'!$B$6,"表示","隠す")</f>
        <v/>
      </c>
    </row>
    <row r="58" hidden="1" ht="21" customHeight="1">
      <c r="A58" s="84" t="n"/>
      <c r="B58" s="46">
        <f>'設定'!$I$33</f>
        <v/>
      </c>
      <c r="C58" s="85" t="n"/>
      <c r="D58" s="85" t="n"/>
      <c r="E58" s="85" t="n"/>
      <c r="F58" s="85" t="n"/>
      <c r="G58" s="85" t="n"/>
      <c r="H58" s="85" t="n"/>
      <c r="S58">
        <f>IF(23&lt;='設定'!$B$6,"表示","隠す")</f>
        <v/>
      </c>
    </row>
    <row r="59" hidden="1" ht="21" customHeight="1">
      <c r="A59" s="84" t="n"/>
      <c r="B59" s="46">
        <f>'設定'!$I$34</f>
        <v/>
      </c>
      <c r="C59" s="85" t="n"/>
      <c r="D59" s="85" t="n"/>
      <c r="E59" s="85" t="n"/>
      <c r="F59" s="85" t="n"/>
      <c r="G59" s="85" t="n"/>
      <c r="H59" s="85" t="n"/>
      <c r="S59">
        <f>IF(24&lt;='設定'!$B$6,"表示","隠す")</f>
        <v/>
      </c>
    </row>
    <row r="60">
      <c r="S60" t="inlineStr">
        <is>
          <t>表示</t>
        </is>
      </c>
    </row>
    <row r="61" ht="26" customHeight="1">
      <c r="B61" s="78">
        <f>IF('名簿'!B7="","（名簿 3行目：なし）",'名簿'!P7)</f>
        <v/>
      </c>
      <c r="C61" s="5" t="n"/>
      <c r="D61" s="5" t="n"/>
      <c r="E61" s="79" t="inlineStr">
        <is>
          <t>提出状況 ▶</t>
        </is>
      </c>
      <c r="F61" s="42" t="n"/>
      <c r="G61" s="33" t="n"/>
      <c r="H61" s="80" t="inlineStr">
        <is>
          <t>状況：</t>
        </is>
      </c>
      <c r="I61" s="81">
        <f>'名簿'!Q7</f>
        <v/>
      </c>
      <c r="J61" s="80" t="inlineStr">
        <is>
          <t>×の数：</t>
        </is>
      </c>
      <c r="K61" s="82">
        <f>'名簿'!R7</f>
        <v/>
      </c>
      <c r="L61" s="83">
        <f>HYPERLINK("#'×入力'!B89","次の人へ ▼")</f>
        <v/>
      </c>
      <c r="S61" t="inlineStr">
        <is>
          <t>表示</t>
        </is>
      </c>
    </row>
    <row r="62" ht="22" customHeight="1">
      <c r="A62" s="34" t="inlineStr">
        <is>
          <t>この日全部 ▶</t>
        </is>
      </c>
      <c r="C62" s="84" t="n"/>
      <c r="D62" s="84" t="inlineStr">
        <is>
          <t>×</t>
        </is>
      </c>
      <c r="E62" s="84" t="n"/>
      <c r="F62" s="84" t="n"/>
      <c r="G62" s="84" t="n"/>
      <c r="H62" s="84" t="n"/>
      <c r="S62" t="inlineStr">
        <is>
          <t>表示</t>
        </is>
      </c>
    </row>
    <row r="63" ht="28" customHeight="1">
      <c r="A63" s="37" t="inlineStr">
        <is>
          <t>この時間
全部 ▼</t>
        </is>
      </c>
      <c r="B63" s="38" t="inlineStr"/>
      <c r="C63" s="39">
        <f>'設定'!$E$11</f>
        <v/>
      </c>
      <c r="D63" s="39">
        <f>'設定'!$E$12</f>
        <v/>
      </c>
      <c r="E63" s="39">
        <f>'設定'!$E$13</f>
        <v/>
      </c>
      <c r="F63" s="39">
        <f>'設定'!$E$14</f>
        <v/>
      </c>
      <c r="G63" s="39">
        <f>'設定'!$E$15</f>
        <v/>
      </c>
      <c r="H63" s="39">
        <f>'設定'!$E$16</f>
        <v/>
      </c>
      <c r="S63" t="inlineStr">
        <is>
          <t>表示</t>
        </is>
      </c>
    </row>
    <row r="64" ht="21" customHeight="1">
      <c r="A64" s="84" t="n"/>
      <c r="B64" s="46">
        <f>'設定'!$I$11</f>
        <v/>
      </c>
      <c r="C64" s="85" t="inlineStr">
        <is>
          <t>×</t>
        </is>
      </c>
      <c r="D64" s="85" t="inlineStr">
        <is>
          <t>×</t>
        </is>
      </c>
      <c r="E64" s="85" t="inlineStr">
        <is>
          <t>×</t>
        </is>
      </c>
      <c r="F64" s="85" t="inlineStr">
        <is>
          <t>×</t>
        </is>
      </c>
      <c r="G64" s="85" t="inlineStr">
        <is>
          <t>×</t>
        </is>
      </c>
      <c r="H64" s="85" t="n"/>
      <c r="S64">
        <f>IF(1&lt;='設定'!$B$6,"表示","隠す")</f>
        <v/>
      </c>
    </row>
    <row r="65" ht="21" customHeight="1">
      <c r="A65" s="84" t="n"/>
      <c r="B65" s="46">
        <f>'設定'!$I$12</f>
        <v/>
      </c>
      <c r="C65" s="85" t="inlineStr">
        <is>
          <t>×</t>
        </is>
      </c>
      <c r="D65" s="85" t="inlineStr">
        <is>
          <t>×</t>
        </is>
      </c>
      <c r="E65" s="85" t="inlineStr">
        <is>
          <t>×</t>
        </is>
      </c>
      <c r="F65" s="85" t="inlineStr">
        <is>
          <t>×</t>
        </is>
      </c>
      <c r="G65" s="85" t="inlineStr">
        <is>
          <t>×</t>
        </is>
      </c>
      <c r="H65" s="85" t="n"/>
      <c r="S65">
        <f>IF(2&lt;='設定'!$B$6,"表示","隠す")</f>
        <v/>
      </c>
    </row>
    <row r="66" ht="21" customHeight="1">
      <c r="A66" s="84" t="n"/>
      <c r="B66" s="46">
        <f>'設定'!$I$13</f>
        <v/>
      </c>
      <c r="C66" s="85" t="n"/>
      <c r="D66" s="85" t="n"/>
      <c r="E66" s="85" t="n"/>
      <c r="F66" s="85" t="n"/>
      <c r="G66" s="85" t="n"/>
      <c r="H66" s="85" t="n"/>
      <c r="S66">
        <f>IF(3&lt;='設定'!$B$6,"表示","隠す")</f>
        <v/>
      </c>
    </row>
    <row r="67" ht="21" customHeight="1">
      <c r="A67" s="84" t="n"/>
      <c r="B67" s="46">
        <f>'設定'!$I$14</f>
        <v/>
      </c>
      <c r="C67" s="85" t="inlineStr">
        <is>
          <t>×</t>
        </is>
      </c>
      <c r="D67" s="85" t="n"/>
      <c r="E67" s="85" t="n"/>
      <c r="F67" s="85" t="n"/>
      <c r="G67" s="85" t="n"/>
      <c r="H67" s="85" t="n"/>
      <c r="S67">
        <f>IF(4&lt;='設定'!$B$6,"表示","隠す")</f>
        <v/>
      </c>
    </row>
    <row r="68" ht="21" customHeight="1">
      <c r="A68" s="84" t="n"/>
      <c r="B68" s="46">
        <f>'設定'!$I$15</f>
        <v/>
      </c>
      <c r="C68" s="85" t="n"/>
      <c r="D68" s="85" t="n"/>
      <c r="E68" s="85" t="n"/>
      <c r="F68" s="85" t="n"/>
      <c r="G68" s="85" t="n"/>
      <c r="H68" s="85" t="n"/>
      <c r="S68">
        <f>IF(5&lt;='設定'!$B$6,"表示","隠す")</f>
        <v/>
      </c>
    </row>
    <row r="69" ht="21" customHeight="1">
      <c r="A69" s="84" t="n"/>
      <c r="B69" s="46">
        <f>'設定'!$I$16</f>
        <v/>
      </c>
      <c r="C69" s="85" t="n"/>
      <c r="D69" s="85" t="n"/>
      <c r="E69" s="85" t="n"/>
      <c r="F69" s="85" t="n"/>
      <c r="G69" s="85" t="n"/>
      <c r="H69" s="85" t="n"/>
      <c r="S69">
        <f>IF(6&lt;='設定'!$B$6,"表示","隠す")</f>
        <v/>
      </c>
    </row>
    <row r="70" ht="21" customHeight="1">
      <c r="A70" s="84" t="n"/>
      <c r="B70" s="46">
        <f>'設定'!$I$17</f>
        <v/>
      </c>
      <c r="C70" s="85" t="n"/>
      <c r="D70" s="85" t="n"/>
      <c r="E70" s="85" t="inlineStr">
        <is>
          <t>×</t>
        </is>
      </c>
      <c r="F70" s="85" t="n"/>
      <c r="G70" s="85" t="inlineStr">
        <is>
          <t>×</t>
        </is>
      </c>
      <c r="H70" s="85" t="n"/>
      <c r="S70">
        <f>IF(7&lt;='設定'!$B$6,"表示","隠す")</f>
        <v/>
      </c>
    </row>
    <row r="71" ht="21" customHeight="1">
      <c r="A71" s="84" t="n"/>
      <c r="B71" s="46">
        <f>'設定'!$I$18</f>
        <v/>
      </c>
      <c r="C71" s="85" t="n"/>
      <c r="D71" s="85" t="n"/>
      <c r="E71" s="85" t="n"/>
      <c r="F71" s="85" t="n"/>
      <c r="G71" s="85" t="inlineStr">
        <is>
          <t>×</t>
        </is>
      </c>
      <c r="H71" s="85" t="n"/>
      <c r="S71">
        <f>IF(8&lt;='設定'!$B$6,"表示","隠す")</f>
        <v/>
      </c>
    </row>
    <row r="72" ht="21" customHeight="1">
      <c r="A72" s="84" t="n"/>
      <c r="B72" s="46">
        <f>'設定'!$I$19</f>
        <v/>
      </c>
      <c r="C72" s="85" t="n"/>
      <c r="D72" s="85" t="n"/>
      <c r="E72" s="85" t="n"/>
      <c r="F72" s="85" t="inlineStr">
        <is>
          <t>×</t>
        </is>
      </c>
      <c r="G72" s="85" t="inlineStr">
        <is>
          <t>×</t>
        </is>
      </c>
      <c r="H72" s="85" t="n"/>
      <c r="S72">
        <f>IF(9&lt;='設定'!$B$6,"表示","隠す")</f>
        <v/>
      </c>
    </row>
    <row r="73" hidden="1" ht="21" customHeight="1">
      <c r="A73" s="84" t="n"/>
      <c r="B73" s="46">
        <f>'設定'!$I$20</f>
        <v/>
      </c>
      <c r="C73" s="85" t="n"/>
      <c r="D73" s="85" t="n"/>
      <c r="E73" s="85" t="n"/>
      <c r="F73" s="85" t="n"/>
      <c r="G73" s="85" t="n"/>
      <c r="H73" s="85" t="n"/>
      <c r="S73">
        <f>IF(10&lt;='設定'!$B$6,"表示","隠す")</f>
        <v/>
      </c>
    </row>
    <row r="74" hidden="1" ht="21" customHeight="1">
      <c r="A74" s="84" t="n"/>
      <c r="B74" s="46">
        <f>'設定'!$I$21</f>
        <v/>
      </c>
      <c r="C74" s="85" t="n"/>
      <c r="D74" s="85" t="n"/>
      <c r="E74" s="85" t="n"/>
      <c r="F74" s="85" t="n"/>
      <c r="G74" s="85" t="n"/>
      <c r="H74" s="85" t="n"/>
      <c r="S74">
        <f>IF(11&lt;='設定'!$B$6,"表示","隠す")</f>
        <v/>
      </c>
    </row>
    <row r="75" hidden="1" ht="21" customHeight="1">
      <c r="A75" s="84" t="n"/>
      <c r="B75" s="46">
        <f>'設定'!$I$22</f>
        <v/>
      </c>
      <c r="C75" s="85" t="n"/>
      <c r="D75" s="85" t="n"/>
      <c r="E75" s="85" t="n"/>
      <c r="F75" s="85" t="n"/>
      <c r="G75" s="85" t="n"/>
      <c r="H75" s="85" t="n"/>
      <c r="S75">
        <f>IF(12&lt;='設定'!$B$6,"表示","隠す")</f>
        <v/>
      </c>
    </row>
    <row r="76" hidden="1" ht="21" customHeight="1">
      <c r="A76" s="84" t="n"/>
      <c r="B76" s="46">
        <f>'設定'!$I$23</f>
        <v/>
      </c>
      <c r="C76" s="85" t="n"/>
      <c r="D76" s="85" t="n"/>
      <c r="E76" s="85" t="n"/>
      <c r="F76" s="85" t="n"/>
      <c r="G76" s="85" t="n"/>
      <c r="H76" s="85" t="n"/>
      <c r="S76">
        <f>IF(13&lt;='設定'!$B$6,"表示","隠す")</f>
        <v/>
      </c>
    </row>
    <row r="77" hidden="1" ht="21" customHeight="1">
      <c r="A77" s="84" t="n"/>
      <c r="B77" s="46">
        <f>'設定'!$I$24</f>
        <v/>
      </c>
      <c r="C77" s="85" t="n"/>
      <c r="D77" s="85" t="n"/>
      <c r="E77" s="85" t="n"/>
      <c r="F77" s="85" t="n"/>
      <c r="G77" s="85" t="n"/>
      <c r="H77" s="85" t="n"/>
      <c r="S77">
        <f>IF(14&lt;='設定'!$B$6,"表示","隠す")</f>
        <v/>
      </c>
    </row>
    <row r="78" hidden="1" ht="21" customHeight="1">
      <c r="A78" s="84" t="n"/>
      <c r="B78" s="46">
        <f>'設定'!$I$25</f>
        <v/>
      </c>
      <c r="C78" s="85" t="n"/>
      <c r="D78" s="85" t="n"/>
      <c r="E78" s="85" t="n"/>
      <c r="F78" s="85" t="n"/>
      <c r="G78" s="85" t="n"/>
      <c r="H78" s="85" t="n"/>
      <c r="S78">
        <f>IF(15&lt;='設定'!$B$6,"表示","隠す")</f>
        <v/>
      </c>
    </row>
    <row r="79" hidden="1" ht="21" customHeight="1">
      <c r="A79" s="84" t="n"/>
      <c r="B79" s="46">
        <f>'設定'!$I$26</f>
        <v/>
      </c>
      <c r="C79" s="85" t="n"/>
      <c r="D79" s="85" t="n"/>
      <c r="E79" s="85" t="n"/>
      <c r="F79" s="85" t="n"/>
      <c r="G79" s="85" t="n"/>
      <c r="H79" s="85" t="n"/>
      <c r="S79">
        <f>IF(16&lt;='設定'!$B$6,"表示","隠す")</f>
        <v/>
      </c>
    </row>
    <row r="80" hidden="1" ht="21" customHeight="1">
      <c r="A80" s="84" t="n"/>
      <c r="B80" s="46">
        <f>'設定'!$I$27</f>
        <v/>
      </c>
      <c r="C80" s="85" t="n"/>
      <c r="D80" s="85" t="n"/>
      <c r="E80" s="85" t="n"/>
      <c r="F80" s="85" t="n"/>
      <c r="G80" s="85" t="n"/>
      <c r="H80" s="85" t="n"/>
      <c r="S80">
        <f>IF(17&lt;='設定'!$B$6,"表示","隠す")</f>
        <v/>
      </c>
    </row>
    <row r="81" hidden="1" ht="21" customHeight="1">
      <c r="A81" s="84" t="n"/>
      <c r="B81" s="46">
        <f>'設定'!$I$28</f>
        <v/>
      </c>
      <c r="C81" s="85" t="n"/>
      <c r="D81" s="85" t="n"/>
      <c r="E81" s="85" t="n"/>
      <c r="F81" s="85" t="n"/>
      <c r="G81" s="85" t="n"/>
      <c r="H81" s="85" t="n"/>
      <c r="S81">
        <f>IF(18&lt;='設定'!$B$6,"表示","隠す")</f>
        <v/>
      </c>
    </row>
    <row r="82" hidden="1" ht="21" customHeight="1">
      <c r="A82" s="84" t="n"/>
      <c r="B82" s="46">
        <f>'設定'!$I$29</f>
        <v/>
      </c>
      <c r="C82" s="85" t="n"/>
      <c r="D82" s="85" t="n"/>
      <c r="E82" s="85" t="n"/>
      <c r="F82" s="85" t="n"/>
      <c r="G82" s="85" t="n"/>
      <c r="H82" s="85" t="n"/>
      <c r="S82">
        <f>IF(19&lt;='設定'!$B$6,"表示","隠す")</f>
        <v/>
      </c>
    </row>
    <row r="83" hidden="1" ht="21" customHeight="1">
      <c r="A83" s="84" t="n"/>
      <c r="B83" s="46">
        <f>'設定'!$I$30</f>
        <v/>
      </c>
      <c r="C83" s="85" t="n"/>
      <c r="D83" s="85" t="n"/>
      <c r="E83" s="85" t="n"/>
      <c r="F83" s="85" t="n"/>
      <c r="G83" s="85" t="n"/>
      <c r="H83" s="85" t="n"/>
      <c r="S83">
        <f>IF(20&lt;='設定'!$B$6,"表示","隠す")</f>
        <v/>
      </c>
    </row>
    <row r="84" hidden="1" ht="21" customHeight="1">
      <c r="A84" s="84" t="n"/>
      <c r="B84" s="46">
        <f>'設定'!$I$31</f>
        <v/>
      </c>
      <c r="C84" s="85" t="n"/>
      <c r="D84" s="85" t="n"/>
      <c r="E84" s="85" t="n"/>
      <c r="F84" s="85" t="n"/>
      <c r="G84" s="85" t="n"/>
      <c r="H84" s="85" t="n"/>
      <c r="S84">
        <f>IF(21&lt;='設定'!$B$6,"表示","隠す")</f>
        <v/>
      </c>
    </row>
    <row r="85" hidden="1" ht="21" customHeight="1">
      <c r="A85" s="84" t="n"/>
      <c r="B85" s="46">
        <f>'設定'!$I$32</f>
        <v/>
      </c>
      <c r="C85" s="85" t="n"/>
      <c r="D85" s="85" t="n"/>
      <c r="E85" s="85" t="n"/>
      <c r="F85" s="85" t="n"/>
      <c r="G85" s="85" t="n"/>
      <c r="H85" s="85" t="n"/>
      <c r="S85">
        <f>IF(22&lt;='設定'!$B$6,"表示","隠す")</f>
        <v/>
      </c>
    </row>
    <row r="86" hidden="1" ht="21" customHeight="1">
      <c r="A86" s="84" t="n"/>
      <c r="B86" s="46">
        <f>'設定'!$I$33</f>
        <v/>
      </c>
      <c r="C86" s="85" t="n"/>
      <c r="D86" s="85" t="n"/>
      <c r="E86" s="85" t="n"/>
      <c r="F86" s="85" t="n"/>
      <c r="G86" s="85" t="n"/>
      <c r="H86" s="85" t="n"/>
      <c r="S86">
        <f>IF(23&lt;='設定'!$B$6,"表示","隠す")</f>
        <v/>
      </c>
    </row>
    <row r="87" hidden="1" ht="21" customHeight="1">
      <c r="A87" s="84" t="n"/>
      <c r="B87" s="46">
        <f>'設定'!$I$34</f>
        <v/>
      </c>
      <c r="C87" s="85" t="n"/>
      <c r="D87" s="85" t="n"/>
      <c r="E87" s="85" t="n"/>
      <c r="F87" s="85" t="n"/>
      <c r="G87" s="85" t="n"/>
      <c r="H87" s="85" t="n"/>
      <c r="S87">
        <f>IF(24&lt;='設定'!$B$6,"表示","隠す")</f>
        <v/>
      </c>
    </row>
    <row r="88">
      <c r="S88" t="inlineStr">
        <is>
          <t>表示</t>
        </is>
      </c>
    </row>
    <row r="89" ht="26" customHeight="1">
      <c r="B89" s="78">
        <f>IF('名簿'!B8="","（名簿 4行目：なし）",'名簿'!P8)</f>
        <v/>
      </c>
      <c r="C89" s="5" t="n"/>
      <c r="D89" s="5" t="n"/>
      <c r="E89" s="79" t="inlineStr">
        <is>
          <t>提出状況 ▶</t>
        </is>
      </c>
      <c r="F89" s="42" t="n"/>
      <c r="G89" s="33" t="n"/>
      <c r="H89" s="80" t="inlineStr">
        <is>
          <t>状況：</t>
        </is>
      </c>
      <c r="I89" s="81">
        <f>'名簿'!Q8</f>
        <v/>
      </c>
      <c r="J89" s="80" t="inlineStr">
        <is>
          <t>×の数：</t>
        </is>
      </c>
      <c r="K89" s="82">
        <f>'名簿'!R8</f>
        <v/>
      </c>
      <c r="L89" s="83">
        <f>HYPERLINK("#'×入力'!B117","次の人へ ▼")</f>
        <v/>
      </c>
      <c r="S89" t="inlineStr">
        <is>
          <t>表示</t>
        </is>
      </c>
    </row>
    <row r="90" ht="22" customHeight="1">
      <c r="A90" s="34" t="inlineStr">
        <is>
          <t>この日全部 ▶</t>
        </is>
      </c>
      <c r="C90" s="84" t="n"/>
      <c r="D90" s="84" t="n"/>
      <c r="E90" s="84" t="n"/>
      <c r="F90" s="84" t="n"/>
      <c r="G90" s="84" t="n"/>
      <c r="H90" s="84" t="n"/>
      <c r="S90" t="inlineStr">
        <is>
          <t>表示</t>
        </is>
      </c>
    </row>
    <row r="91" ht="28" customHeight="1">
      <c r="A91" s="37" t="inlineStr">
        <is>
          <t>この時間
全部 ▼</t>
        </is>
      </c>
      <c r="B91" s="38" t="inlineStr"/>
      <c r="C91" s="39">
        <f>'設定'!$E$11</f>
        <v/>
      </c>
      <c r="D91" s="39">
        <f>'設定'!$E$12</f>
        <v/>
      </c>
      <c r="E91" s="39">
        <f>'設定'!$E$13</f>
        <v/>
      </c>
      <c r="F91" s="39">
        <f>'設定'!$E$14</f>
        <v/>
      </c>
      <c r="G91" s="39">
        <f>'設定'!$E$15</f>
        <v/>
      </c>
      <c r="H91" s="39">
        <f>'設定'!$E$16</f>
        <v/>
      </c>
      <c r="S91" t="inlineStr">
        <is>
          <t>表示</t>
        </is>
      </c>
    </row>
    <row r="92" ht="21" customHeight="1">
      <c r="A92" s="84" t="n"/>
      <c r="B92" s="46">
        <f>'設定'!$I$11</f>
        <v/>
      </c>
      <c r="C92" s="85" t="inlineStr">
        <is>
          <t>×</t>
        </is>
      </c>
      <c r="D92" s="85" t="inlineStr">
        <is>
          <t>×</t>
        </is>
      </c>
      <c r="E92" s="85" t="inlineStr">
        <is>
          <t>×</t>
        </is>
      </c>
      <c r="F92" s="85" t="inlineStr">
        <is>
          <t>×</t>
        </is>
      </c>
      <c r="G92" s="85" t="inlineStr">
        <is>
          <t>×</t>
        </is>
      </c>
      <c r="H92" s="85" t="n"/>
      <c r="S92">
        <f>IF(1&lt;='設定'!$B$6,"表示","隠す")</f>
        <v/>
      </c>
    </row>
    <row r="93" ht="21" customHeight="1">
      <c r="A93" s="84" t="n"/>
      <c r="B93" s="46">
        <f>'設定'!$I$12</f>
        <v/>
      </c>
      <c r="C93" s="85" t="inlineStr">
        <is>
          <t>×</t>
        </is>
      </c>
      <c r="D93" s="85" t="inlineStr">
        <is>
          <t>×</t>
        </is>
      </c>
      <c r="E93" s="85" t="inlineStr">
        <is>
          <t>×</t>
        </is>
      </c>
      <c r="F93" s="85" t="inlineStr">
        <is>
          <t>×</t>
        </is>
      </c>
      <c r="G93" s="85" t="inlineStr">
        <is>
          <t>×</t>
        </is>
      </c>
      <c r="H93" s="85" t="n"/>
      <c r="S93">
        <f>IF(2&lt;='設定'!$B$6,"表示","隠す")</f>
        <v/>
      </c>
    </row>
    <row r="94" ht="21" customHeight="1">
      <c r="A94" s="84" t="n"/>
      <c r="B94" s="46">
        <f>'設定'!$I$13</f>
        <v/>
      </c>
      <c r="C94" s="85" t="inlineStr">
        <is>
          <t>×</t>
        </is>
      </c>
      <c r="D94" s="85" t="inlineStr">
        <is>
          <t>×</t>
        </is>
      </c>
      <c r="E94" s="85" t="inlineStr">
        <is>
          <t>×</t>
        </is>
      </c>
      <c r="F94" s="85" t="inlineStr">
        <is>
          <t>×</t>
        </is>
      </c>
      <c r="G94" s="85" t="inlineStr">
        <is>
          <t>×</t>
        </is>
      </c>
      <c r="H94" s="85" t="n"/>
      <c r="S94">
        <f>IF(3&lt;='設定'!$B$6,"表示","隠す")</f>
        <v/>
      </c>
    </row>
    <row r="95" ht="21" customHeight="1">
      <c r="A95" s="84" t="n"/>
      <c r="B95" s="46">
        <f>'設定'!$I$14</f>
        <v/>
      </c>
      <c r="C95" s="85" t="inlineStr">
        <is>
          <t>×</t>
        </is>
      </c>
      <c r="D95" s="85" t="inlineStr">
        <is>
          <t>×</t>
        </is>
      </c>
      <c r="E95" s="85" t="inlineStr">
        <is>
          <t>×</t>
        </is>
      </c>
      <c r="F95" s="85" t="inlineStr">
        <is>
          <t>×</t>
        </is>
      </c>
      <c r="G95" s="85" t="inlineStr">
        <is>
          <t>×</t>
        </is>
      </c>
      <c r="H95" s="85" t="n"/>
      <c r="S95">
        <f>IF(4&lt;='設定'!$B$6,"表示","隠す")</f>
        <v/>
      </c>
    </row>
    <row r="96" ht="21" customHeight="1">
      <c r="A96" s="84" t="n"/>
      <c r="B96" s="46">
        <f>'設定'!$I$15</f>
        <v/>
      </c>
      <c r="C96" s="85" t="inlineStr">
        <is>
          <t>×</t>
        </is>
      </c>
      <c r="D96" s="85" t="inlineStr">
        <is>
          <t>×</t>
        </is>
      </c>
      <c r="E96" s="85" t="inlineStr">
        <is>
          <t>×</t>
        </is>
      </c>
      <c r="F96" s="85" t="inlineStr">
        <is>
          <t>×</t>
        </is>
      </c>
      <c r="G96" s="85" t="inlineStr">
        <is>
          <t>×</t>
        </is>
      </c>
      <c r="H96" s="85" t="n"/>
      <c r="S96">
        <f>IF(5&lt;='設定'!$B$6,"表示","隠す")</f>
        <v/>
      </c>
    </row>
    <row r="97" ht="21" customHeight="1">
      <c r="A97" s="84" t="n"/>
      <c r="B97" s="46">
        <f>'設定'!$I$16</f>
        <v/>
      </c>
      <c r="C97" s="85" t="n"/>
      <c r="D97" s="85" t="n"/>
      <c r="E97" s="85" t="n"/>
      <c r="F97" s="85" t="n"/>
      <c r="G97" s="85" t="n"/>
      <c r="H97" s="85" t="n"/>
      <c r="S97">
        <f>IF(6&lt;='設定'!$B$6,"表示","隠す")</f>
        <v/>
      </c>
    </row>
    <row r="98" ht="21" customHeight="1">
      <c r="A98" s="84" t="n"/>
      <c r="B98" s="46">
        <f>'設定'!$I$17</f>
        <v/>
      </c>
      <c r="C98" s="85" t="n"/>
      <c r="D98" s="85" t="n"/>
      <c r="E98" s="85" t="n"/>
      <c r="F98" s="85" t="inlineStr">
        <is>
          <t>×</t>
        </is>
      </c>
      <c r="G98" s="85" t="n"/>
      <c r="H98" s="85" t="n"/>
      <c r="S98">
        <f>IF(7&lt;='設定'!$B$6,"表示","隠す")</f>
        <v/>
      </c>
    </row>
    <row r="99" ht="21" customHeight="1">
      <c r="A99" s="84" t="n"/>
      <c r="B99" s="46">
        <f>'設定'!$I$18</f>
        <v/>
      </c>
      <c r="C99" s="85" t="inlineStr">
        <is>
          <t>×</t>
        </is>
      </c>
      <c r="D99" s="85" t="n"/>
      <c r="E99" s="85" t="n"/>
      <c r="F99" s="85" t="n"/>
      <c r="G99" s="85" t="n"/>
      <c r="H99" s="85" t="n"/>
      <c r="S99">
        <f>IF(8&lt;='設定'!$B$6,"表示","隠す")</f>
        <v/>
      </c>
    </row>
    <row r="100" ht="21" customHeight="1">
      <c r="A100" s="84" t="n"/>
      <c r="B100" s="46">
        <f>'設定'!$I$19</f>
        <v/>
      </c>
      <c r="C100" s="85" t="n"/>
      <c r="D100" s="85" t="n"/>
      <c r="E100" s="85" t="inlineStr">
        <is>
          <t>×</t>
        </is>
      </c>
      <c r="F100" s="85" t="inlineStr">
        <is>
          <t>×</t>
        </is>
      </c>
      <c r="G100" s="85" t="inlineStr">
        <is>
          <t>×</t>
        </is>
      </c>
      <c r="H100" s="85" t="n"/>
      <c r="S100">
        <f>IF(9&lt;='設定'!$B$6,"表示","隠す")</f>
        <v/>
      </c>
    </row>
    <row r="101" hidden="1" ht="21" customHeight="1">
      <c r="A101" s="84" t="n"/>
      <c r="B101" s="46">
        <f>'設定'!$I$20</f>
        <v/>
      </c>
      <c r="C101" s="85" t="n"/>
      <c r="D101" s="85" t="n"/>
      <c r="E101" s="85" t="n"/>
      <c r="F101" s="85" t="n"/>
      <c r="G101" s="85" t="n"/>
      <c r="H101" s="85" t="n"/>
      <c r="S101">
        <f>IF(10&lt;='設定'!$B$6,"表示","隠す")</f>
        <v/>
      </c>
    </row>
    <row r="102" hidden="1" ht="21" customHeight="1">
      <c r="A102" s="84" t="n"/>
      <c r="B102" s="46">
        <f>'設定'!$I$21</f>
        <v/>
      </c>
      <c r="C102" s="85" t="n"/>
      <c r="D102" s="85" t="n"/>
      <c r="E102" s="85" t="n"/>
      <c r="F102" s="85" t="n"/>
      <c r="G102" s="85" t="n"/>
      <c r="H102" s="85" t="n"/>
      <c r="S102">
        <f>IF(11&lt;='設定'!$B$6,"表示","隠す")</f>
        <v/>
      </c>
    </row>
    <row r="103" hidden="1" ht="21" customHeight="1">
      <c r="A103" s="84" t="n"/>
      <c r="B103" s="46">
        <f>'設定'!$I$22</f>
        <v/>
      </c>
      <c r="C103" s="85" t="n"/>
      <c r="D103" s="85" t="n"/>
      <c r="E103" s="85" t="n"/>
      <c r="F103" s="85" t="n"/>
      <c r="G103" s="85" t="n"/>
      <c r="H103" s="85" t="n"/>
      <c r="S103">
        <f>IF(12&lt;='設定'!$B$6,"表示","隠す")</f>
        <v/>
      </c>
    </row>
    <row r="104" hidden="1" ht="21" customHeight="1">
      <c r="A104" s="84" t="n"/>
      <c r="B104" s="46">
        <f>'設定'!$I$23</f>
        <v/>
      </c>
      <c r="C104" s="85" t="n"/>
      <c r="D104" s="85" t="n"/>
      <c r="E104" s="85" t="n"/>
      <c r="F104" s="85" t="n"/>
      <c r="G104" s="85" t="n"/>
      <c r="H104" s="85" t="n"/>
      <c r="S104">
        <f>IF(13&lt;='設定'!$B$6,"表示","隠す")</f>
        <v/>
      </c>
    </row>
    <row r="105" hidden="1" ht="21" customHeight="1">
      <c r="A105" s="84" t="n"/>
      <c r="B105" s="46">
        <f>'設定'!$I$24</f>
        <v/>
      </c>
      <c r="C105" s="85" t="n"/>
      <c r="D105" s="85" t="n"/>
      <c r="E105" s="85" t="n"/>
      <c r="F105" s="85" t="n"/>
      <c r="G105" s="85" t="n"/>
      <c r="H105" s="85" t="n"/>
      <c r="S105">
        <f>IF(14&lt;='設定'!$B$6,"表示","隠す")</f>
        <v/>
      </c>
    </row>
    <row r="106" hidden="1" ht="21" customHeight="1">
      <c r="A106" s="84" t="n"/>
      <c r="B106" s="46">
        <f>'設定'!$I$25</f>
        <v/>
      </c>
      <c r="C106" s="85" t="n"/>
      <c r="D106" s="85" t="n"/>
      <c r="E106" s="85" t="n"/>
      <c r="F106" s="85" t="n"/>
      <c r="G106" s="85" t="n"/>
      <c r="H106" s="85" t="n"/>
      <c r="S106">
        <f>IF(15&lt;='設定'!$B$6,"表示","隠す")</f>
        <v/>
      </c>
    </row>
    <row r="107" hidden="1" ht="21" customHeight="1">
      <c r="A107" s="84" t="n"/>
      <c r="B107" s="46">
        <f>'設定'!$I$26</f>
        <v/>
      </c>
      <c r="C107" s="85" t="n"/>
      <c r="D107" s="85" t="n"/>
      <c r="E107" s="85" t="n"/>
      <c r="F107" s="85" t="n"/>
      <c r="G107" s="85" t="n"/>
      <c r="H107" s="85" t="n"/>
      <c r="S107">
        <f>IF(16&lt;='設定'!$B$6,"表示","隠す")</f>
        <v/>
      </c>
    </row>
    <row r="108" hidden="1" ht="21" customHeight="1">
      <c r="A108" s="84" t="n"/>
      <c r="B108" s="46">
        <f>'設定'!$I$27</f>
        <v/>
      </c>
      <c r="C108" s="85" t="n"/>
      <c r="D108" s="85" t="n"/>
      <c r="E108" s="85" t="n"/>
      <c r="F108" s="85" t="n"/>
      <c r="G108" s="85" t="n"/>
      <c r="H108" s="85" t="n"/>
      <c r="S108">
        <f>IF(17&lt;='設定'!$B$6,"表示","隠す")</f>
        <v/>
      </c>
    </row>
    <row r="109" hidden="1" ht="21" customHeight="1">
      <c r="A109" s="84" t="n"/>
      <c r="B109" s="46">
        <f>'設定'!$I$28</f>
        <v/>
      </c>
      <c r="C109" s="85" t="n"/>
      <c r="D109" s="85" t="n"/>
      <c r="E109" s="85" t="n"/>
      <c r="F109" s="85" t="n"/>
      <c r="G109" s="85" t="n"/>
      <c r="H109" s="85" t="n"/>
      <c r="S109">
        <f>IF(18&lt;='設定'!$B$6,"表示","隠す")</f>
        <v/>
      </c>
    </row>
    <row r="110" hidden="1" ht="21" customHeight="1">
      <c r="A110" s="84" t="n"/>
      <c r="B110" s="46">
        <f>'設定'!$I$29</f>
        <v/>
      </c>
      <c r="C110" s="85" t="n"/>
      <c r="D110" s="85" t="n"/>
      <c r="E110" s="85" t="n"/>
      <c r="F110" s="85" t="n"/>
      <c r="G110" s="85" t="n"/>
      <c r="H110" s="85" t="n"/>
      <c r="S110">
        <f>IF(19&lt;='設定'!$B$6,"表示","隠す")</f>
        <v/>
      </c>
    </row>
    <row r="111" hidden="1" ht="21" customHeight="1">
      <c r="A111" s="84" t="n"/>
      <c r="B111" s="46">
        <f>'設定'!$I$30</f>
        <v/>
      </c>
      <c r="C111" s="85" t="n"/>
      <c r="D111" s="85" t="n"/>
      <c r="E111" s="85" t="n"/>
      <c r="F111" s="85" t="n"/>
      <c r="G111" s="85" t="n"/>
      <c r="H111" s="85" t="n"/>
      <c r="S111">
        <f>IF(20&lt;='設定'!$B$6,"表示","隠す")</f>
        <v/>
      </c>
    </row>
    <row r="112" hidden="1" ht="21" customHeight="1">
      <c r="A112" s="84" t="n"/>
      <c r="B112" s="46">
        <f>'設定'!$I$31</f>
        <v/>
      </c>
      <c r="C112" s="85" t="n"/>
      <c r="D112" s="85" t="n"/>
      <c r="E112" s="85" t="n"/>
      <c r="F112" s="85" t="n"/>
      <c r="G112" s="85" t="n"/>
      <c r="H112" s="85" t="n"/>
      <c r="S112">
        <f>IF(21&lt;='設定'!$B$6,"表示","隠す")</f>
        <v/>
      </c>
    </row>
    <row r="113" hidden="1" ht="21" customHeight="1">
      <c r="A113" s="84" t="n"/>
      <c r="B113" s="46">
        <f>'設定'!$I$32</f>
        <v/>
      </c>
      <c r="C113" s="85" t="n"/>
      <c r="D113" s="85" t="n"/>
      <c r="E113" s="85" t="n"/>
      <c r="F113" s="85" t="n"/>
      <c r="G113" s="85" t="n"/>
      <c r="H113" s="85" t="n"/>
      <c r="S113">
        <f>IF(22&lt;='設定'!$B$6,"表示","隠す")</f>
        <v/>
      </c>
    </row>
    <row r="114" hidden="1" ht="21" customHeight="1">
      <c r="A114" s="84" t="n"/>
      <c r="B114" s="46">
        <f>'設定'!$I$33</f>
        <v/>
      </c>
      <c r="C114" s="85" t="n"/>
      <c r="D114" s="85" t="n"/>
      <c r="E114" s="85" t="n"/>
      <c r="F114" s="85" t="n"/>
      <c r="G114" s="85" t="n"/>
      <c r="H114" s="85" t="n"/>
      <c r="S114">
        <f>IF(23&lt;='設定'!$B$6,"表示","隠す")</f>
        <v/>
      </c>
    </row>
    <row r="115" hidden="1" ht="21" customHeight="1">
      <c r="A115" s="84" t="n"/>
      <c r="B115" s="46">
        <f>'設定'!$I$34</f>
        <v/>
      </c>
      <c r="C115" s="85" t="n"/>
      <c r="D115" s="85" t="n"/>
      <c r="E115" s="85" t="n"/>
      <c r="F115" s="85" t="n"/>
      <c r="G115" s="85" t="n"/>
      <c r="H115" s="85" t="n"/>
      <c r="S115">
        <f>IF(24&lt;='設定'!$B$6,"表示","隠す")</f>
        <v/>
      </c>
    </row>
    <row r="116">
      <c r="S116" t="inlineStr">
        <is>
          <t>表示</t>
        </is>
      </c>
    </row>
    <row r="117" ht="26" customHeight="1">
      <c r="B117" s="78">
        <f>IF('名簿'!B9="","（名簿 5行目：なし）",'名簿'!P9)</f>
        <v/>
      </c>
      <c r="C117" s="5" t="n"/>
      <c r="D117" s="5" t="n"/>
      <c r="E117" s="79" t="inlineStr">
        <is>
          <t>提出状況 ▶</t>
        </is>
      </c>
      <c r="F117" s="42" t="n"/>
      <c r="G117" s="33" t="n"/>
      <c r="H117" s="80" t="inlineStr">
        <is>
          <t>状況：</t>
        </is>
      </c>
      <c r="I117" s="81">
        <f>'名簿'!Q9</f>
        <v/>
      </c>
      <c r="J117" s="80" t="inlineStr">
        <is>
          <t>×の数：</t>
        </is>
      </c>
      <c r="K117" s="82">
        <f>'名簿'!R9</f>
        <v/>
      </c>
      <c r="L117" s="83">
        <f>HYPERLINK("#'×入力'!B145","次の人へ ▼")</f>
        <v/>
      </c>
      <c r="S117" t="inlineStr">
        <is>
          <t>表示</t>
        </is>
      </c>
    </row>
    <row r="118" ht="22" customHeight="1">
      <c r="A118" s="34" t="inlineStr">
        <is>
          <t>この日全部 ▶</t>
        </is>
      </c>
      <c r="C118" s="84" t="n"/>
      <c r="D118" s="84" t="n"/>
      <c r="E118" s="84" t="n"/>
      <c r="F118" s="84" t="n"/>
      <c r="G118" s="84" t="n"/>
      <c r="H118" s="84" t="n"/>
      <c r="S118" t="inlineStr">
        <is>
          <t>表示</t>
        </is>
      </c>
    </row>
    <row r="119" ht="28" customHeight="1">
      <c r="A119" s="37" t="inlineStr">
        <is>
          <t>この時間
全部 ▼</t>
        </is>
      </c>
      <c r="B119" s="38" t="inlineStr"/>
      <c r="C119" s="39">
        <f>'設定'!$E$11</f>
        <v/>
      </c>
      <c r="D119" s="39">
        <f>'設定'!$E$12</f>
        <v/>
      </c>
      <c r="E119" s="39">
        <f>'設定'!$E$13</f>
        <v/>
      </c>
      <c r="F119" s="39">
        <f>'設定'!$E$14</f>
        <v/>
      </c>
      <c r="G119" s="39">
        <f>'設定'!$E$15</f>
        <v/>
      </c>
      <c r="H119" s="39">
        <f>'設定'!$E$16</f>
        <v/>
      </c>
      <c r="S119" t="inlineStr">
        <is>
          <t>表示</t>
        </is>
      </c>
    </row>
    <row r="120" ht="21" customHeight="1">
      <c r="A120" s="84" t="n"/>
      <c r="B120" s="46">
        <f>'設定'!$I$11</f>
        <v/>
      </c>
      <c r="C120" s="85" t="inlineStr">
        <is>
          <t>×</t>
        </is>
      </c>
      <c r="D120" s="85" t="inlineStr">
        <is>
          <t>×</t>
        </is>
      </c>
      <c r="E120" s="85" t="inlineStr">
        <is>
          <t>×</t>
        </is>
      </c>
      <c r="F120" s="85" t="inlineStr">
        <is>
          <t>×</t>
        </is>
      </c>
      <c r="G120" s="85" t="inlineStr">
        <is>
          <t>×</t>
        </is>
      </c>
      <c r="H120" s="85" t="n"/>
      <c r="S120">
        <f>IF(1&lt;='設定'!$B$6,"表示","隠す")</f>
        <v/>
      </c>
    </row>
    <row r="121" ht="21" customHeight="1">
      <c r="A121" s="84" t="n"/>
      <c r="B121" s="46">
        <f>'設定'!$I$12</f>
        <v/>
      </c>
      <c r="C121" s="85" t="inlineStr">
        <is>
          <t>×</t>
        </is>
      </c>
      <c r="D121" s="85" t="inlineStr">
        <is>
          <t>×</t>
        </is>
      </c>
      <c r="E121" s="85" t="inlineStr">
        <is>
          <t>×</t>
        </is>
      </c>
      <c r="F121" s="85" t="inlineStr">
        <is>
          <t>×</t>
        </is>
      </c>
      <c r="G121" s="85" t="inlineStr">
        <is>
          <t>×</t>
        </is>
      </c>
      <c r="H121" s="85" t="n"/>
      <c r="S121">
        <f>IF(2&lt;='設定'!$B$6,"表示","隠す")</f>
        <v/>
      </c>
    </row>
    <row r="122" ht="21" customHeight="1">
      <c r="A122" s="84" t="n"/>
      <c r="B122" s="46">
        <f>'設定'!$I$13</f>
        <v/>
      </c>
      <c r="C122" s="85" t="inlineStr">
        <is>
          <t>×</t>
        </is>
      </c>
      <c r="D122" s="85" t="inlineStr">
        <is>
          <t>×</t>
        </is>
      </c>
      <c r="E122" s="85" t="inlineStr">
        <is>
          <t>×</t>
        </is>
      </c>
      <c r="F122" s="85" t="inlineStr">
        <is>
          <t>×</t>
        </is>
      </c>
      <c r="G122" s="85" t="inlineStr">
        <is>
          <t>×</t>
        </is>
      </c>
      <c r="H122" s="85" t="n"/>
      <c r="S122">
        <f>IF(3&lt;='設定'!$B$6,"表示","隠す")</f>
        <v/>
      </c>
    </row>
    <row r="123" ht="21" customHeight="1">
      <c r="A123" s="84" t="n"/>
      <c r="B123" s="46">
        <f>'設定'!$I$14</f>
        <v/>
      </c>
      <c r="C123" s="85" t="inlineStr">
        <is>
          <t>×</t>
        </is>
      </c>
      <c r="D123" s="85" t="inlineStr">
        <is>
          <t>×</t>
        </is>
      </c>
      <c r="E123" s="85" t="inlineStr">
        <is>
          <t>×</t>
        </is>
      </c>
      <c r="F123" s="85" t="inlineStr">
        <is>
          <t>×</t>
        </is>
      </c>
      <c r="G123" s="85" t="inlineStr">
        <is>
          <t>×</t>
        </is>
      </c>
      <c r="H123" s="85" t="n"/>
      <c r="S123">
        <f>IF(4&lt;='設定'!$B$6,"表示","隠す")</f>
        <v/>
      </c>
    </row>
    <row r="124" ht="21" customHeight="1">
      <c r="A124" s="84" t="n"/>
      <c r="B124" s="46">
        <f>'設定'!$I$15</f>
        <v/>
      </c>
      <c r="C124" s="85" t="n"/>
      <c r="D124" s="85" t="n"/>
      <c r="E124" s="85" t="n"/>
      <c r="F124" s="85" t="n"/>
      <c r="G124" s="85" t="n"/>
      <c r="H124" s="85" t="n"/>
      <c r="S124">
        <f>IF(5&lt;='設定'!$B$6,"表示","隠す")</f>
        <v/>
      </c>
    </row>
    <row r="125" ht="21" customHeight="1">
      <c r="A125" s="84" t="n"/>
      <c r="B125" s="46">
        <f>'設定'!$I$16</f>
        <v/>
      </c>
      <c r="C125" s="85" t="n"/>
      <c r="D125" s="85" t="n"/>
      <c r="E125" s="85" t="n"/>
      <c r="F125" s="85" t="n"/>
      <c r="G125" s="85" t="n"/>
      <c r="H125" s="85" t="n"/>
      <c r="S125">
        <f>IF(6&lt;='設定'!$B$6,"表示","隠す")</f>
        <v/>
      </c>
    </row>
    <row r="126" ht="21" customHeight="1">
      <c r="A126" s="84" t="n"/>
      <c r="B126" s="46">
        <f>'設定'!$I$17</f>
        <v/>
      </c>
      <c r="C126" s="85" t="n"/>
      <c r="D126" s="85" t="n"/>
      <c r="E126" s="85" t="n"/>
      <c r="F126" s="85" t="inlineStr">
        <is>
          <t>×</t>
        </is>
      </c>
      <c r="G126" s="85" t="n"/>
      <c r="H126" s="85" t="n"/>
      <c r="S126">
        <f>IF(7&lt;='設定'!$B$6,"表示","隠す")</f>
        <v/>
      </c>
    </row>
    <row r="127" ht="21" customHeight="1">
      <c r="A127" s="84" t="n"/>
      <c r="B127" s="46">
        <f>'設定'!$I$18</f>
        <v/>
      </c>
      <c r="C127" s="85" t="n"/>
      <c r="D127" s="85" t="inlineStr">
        <is>
          <t>×</t>
        </is>
      </c>
      <c r="E127" s="85" t="inlineStr">
        <is>
          <t>×</t>
        </is>
      </c>
      <c r="F127" s="85" t="n"/>
      <c r="G127" s="85" t="inlineStr">
        <is>
          <t>×</t>
        </is>
      </c>
      <c r="H127" s="85" t="n"/>
      <c r="S127">
        <f>IF(8&lt;='設定'!$B$6,"表示","隠す")</f>
        <v/>
      </c>
    </row>
    <row r="128" ht="21" customHeight="1">
      <c r="A128" s="84" t="n"/>
      <c r="B128" s="46">
        <f>'設定'!$I$19</f>
        <v/>
      </c>
      <c r="C128" s="85" t="n"/>
      <c r="D128" s="85" t="n"/>
      <c r="E128" s="85" t="n"/>
      <c r="F128" s="85" t="inlineStr">
        <is>
          <t>×</t>
        </is>
      </c>
      <c r="G128" s="85" t="n"/>
      <c r="H128" s="85" t="n"/>
      <c r="S128">
        <f>IF(9&lt;='設定'!$B$6,"表示","隠す")</f>
        <v/>
      </c>
    </row>
    <row r="129" hidden="1" ht="21" customHeight="1">
      <c r="A129" s="84" t="n"/>
      <c r="B129" s="46">
        <f>'設定'!$I$20</f>
        <v/>
      </c>
      <c r="C129" s="85" t="n"/>
      <c r="D129" s="85" t="n"/>
      <c r="E129" s="85" t="n"/>
      <c r="F129" s="85" t="n"/>
      <c r="G129" s="85" t="n"/>
      <c r="H129" s="85" t="n"/>
      <c r="S129">
        <f>IF(10&lt;='設定'!$B$6,"表示","隠す")</f>
        <v/>
      </c>
    </row>
    <row r="130" hidden="1" ht="21" customHeight="1">
      <c r="A130" s="84" t="n"/>
      <c r="B130" s="46">
        <f>'設定'!$I$21</f>
        <v/>
      </c>
      <c r="C130" s="85" t="n"/>
      <c r="D130" s="85" t="n"/>
      <c r="E130" s="85" t="n"/>
      <c r="F130" s="85" t="n"/>
      <c r="G130" s="85" t="n"/>
      <c r="H130" s="85" t="n"/>
      <c r="S130">
        <f>IF(11&lt;='設定'!$B$6,"表示","隠す")</f>
        <v/>
      </c>
    </row>
    <row r="131" hidden="1" ht="21" customHeight="1">
      <c r="A131" s="84" t="n"/>
      <c r="B131" s="46">
        <f>'設定'!$I$22</f>
        <v/>
      </c>
      <c r="C131" s="85" t="n"/>
      <c r="D131" s="85" t="n"/>
      <c r="E131" s="85" t="n"/>
      <c r="F131" s="85" t="n"/>
      <c r="G131" s="85" t="n"/>
      <c r="H131" s="85" t="n"/>
      <c r="S131">
        <f>IF(12&lt;='設定'!$B$6,"表示","隠す")</f>
        <v/>
      </c>
    </row>
    <row r="132" hidden="1" ht="21" customHeight="1">
      <c r="A132" s="84" t="n"/>
      <c r="B132" s="46">
        <f>'設定'!$I$23</f>
        <v/>
      </c>
      <c r="C132" s="85" t="n"/>
      <c r="D132" s="85" t="n"/>
      <c r="E132" s="85" t="n"/>
      <c r="F132" s="85" t="n"/>
      <c r="G132" s="85" t="n"/>
      <c r="H132" s="85" t="n"/>
      <c r="S132">
        <f>IF(13&lt;='設定'!$B$6,"表示","隠す")</f>
        <v/>
      </c>
    </row>
    <row r="133" hidden="1" ht="21" customHeight="1">
      <c r="A133" s="84" t="n"/>
      <c r="B133" s="46">
        <f>'設定'!$I$24</f>
        <v/>
      </c>
      <c r="C133" s="85" t="n"/>
      <c r="D133" s="85" t="n"/>
      <c r="E133" s="85" t="n"/>
      <c r="F133" s="85" t="n"/>
      <c r="G133" s="85" t="n"/>
      <c r="H133" s="85" t="n"/>
      <c r="S133">
        <f>IF(14&lt;='設定'!$B$6,"表示","隠す")</f>
        <v/>
      </c>
    </row>
    <row r="134" hidden="1" ht="21" customHeight="1">
      <c r="A134" s="84" t="n"/>
      <c r="B134" s="46">
        <f>'設定'!$I$25</f>
        <v/>
      </c>
      <c r="C134" s="85" t="n"/>
      <c r="D134" s="85" t="n"/>
      <c r="E134" s="85" t="n"/>
      <c r="F134" s="85" t="n"/>
      <c r="G134" s="85" t="n"/>
      <c r="H134" s="85" t="n"/>
      <c r="S134">
        <f>IF(15&lt;='設定'!$B$6,"表示","隠す")</f>
        <v/>
      </c>
    </row>
    <row r="135" hidden="1" ht="21" customHeight="1">
      <c r="A135" s="84" t="n"/>
      <c r="B135" s="46">
        <f>'設定'!$I$26</f>
        <v/>
      </c>
      <c r="C135" s="85" t="n"/>
      <c r="D135" s="85" t="n"/>
      <c r="E135" s="85" t="n"/>
      <c r="F135" s="85" t="n"/>
      <c r="G135" s="85" t="n"/>
      <c r="H135" s="85" t="n"/>
      <c r="S135">
        <f>IF(16&lt;='設定'!$B$6,"表示","隠す")</f>
        <v/>
      </c>
    </row>
    <row r="136" hidden="1" ht="21" customHeight="1">
      <c r="A136" s="84" t="n"/>
      <c r="B136" s="46">
        <f>'設定'!$I$27</f>
        <v/>
      </c>
      <c r="C136" s="85" t="n"/>
      <c r="D136" s="85" t="n"/>
      <c r="E136" s="85" t="n"/>
      <c r="F136" s="85" t="n"/>
      <c r="G136" s="85" t="n"/>
      <c r="H136" s="85" t="n"/>
      <c r="S136">
        <f>IF(17&lt;='設定'!$B$6,"表示","隠す")</f>
        <v/>
      </c>
    </row>
    <row r="137" hidden="1" ht="21" customHeight="1">
      <c r="A137" s="84" t="n"/>
      <c r="B137" s="46">
        <f>'設定'!$I$28</f>
        <v/>
      </c>
      <c r="C137" s="85" t="n"/>
      <c r="D137" s="85" t="n"/>
      <c r="E137" s="85" t="n"/>
      <c r="F137" s="85" t="n"/>
      <c r="G137" s="85" t="n"/>
      <c r="H137" s="85" t="n"/>
      <c r="S137">
        <f>IF(18&lt;='設定'!$B$6,"表示","隠す")</f>
        <v/>
      </c>
    </row>
    <row r="138" hidden="1" ht="21" customHeight="1">
      <c r="A138" s="84" t="n"/>
      <c r="B138" s="46">
        <f>'設定'!$I$29</f>
        <v/>
      </c>
      <c r="C138" s="85" t="n"/>
      <c r="D138" s="85" t="n"/>
      <c r="E138" s="85" t="n"/>
      <c r="F138" s="85" t="n"/>
      <c r="G138" s="85" t="n"/>
      <c r="H138" s="85" t="n"/>
      <c r="S138">
        <f>IF(19&lt;='設定'!$B$6,"表示","隠す")</f>
        <v/>
      </c>
    </row>
    <row r="139" hidden="1" ht="21" customHeight="1">
      <c r="A139" s="84" t="n"/>
      <c r="B139" s="46">
        <f>'設定'!$I$30</f>
        <v/>
      </c>
      <c r="C139" s="85" t="n"/>
      <c r="D139" s="85" t="n"/>
      <c r="E139" s="85" t="n"/>
      <c r="F139" s="85" t="n"/>
      <c r="G139" s="85" t="n"/>
      <c r="H139" s="85" t="n"/>
      <c r="S139">
        <f>IF(20&lt;='設定'!$B$6,"表示","隠す")</f>
        <v/>
      </c>
    </row>
    <row r="140" hidden="1" ht="21" customHeight="1">
      <c r="A140" s="84" t="n"/>
      <c r="B140" s="46">
        <f>'設定'!$I$31</f>
        <v/>
      </c>
      <c r="C140" s="85" t="n"/>
      <c r="D140" s="85" t="n"/>
      <c r="E140" s="85" t="n"/>
      <c r="F140" s="85" t="n"/>
      <c r="G140" s="85" t="n"/>
      <c r="H140" s="85" t="n"/>
      <c r="S140">
        <f>IF(21&lt;='設定'!$B$6,"表示","隠す")</f>
        <v/>
      </c>
    </row>
    <row r="141" hidden="1" ht="21" customHeight="1">
      <c r="A141" s="84" t="n"/>
      <c r="B141" s="46">
        <f>'設定'!$I$32</f>
        <v/>
      </c>
      <c r="C141" s="85" t="n"/>
      <c r="D141" s="85" t="n"/>
      <c r="E141" s="85" t="n"/>
      <c r="F141" s="85" t="n"/>
      <c r="G141" s="85" t="n"/>
      <c r="H141" s="85" t="n"/>
      <c r="S141">
        <f>IF(22&lt;='設定'!$B$6,"表示","隠す")</f>
        <v/>
      </c>
    </row>
    <row r="142" hidden="1" ht="21" customHeight="1">
      <c r="A142" s="84" t="n"/>
      <c r="B142" s="46">
        <f>'設定'!$I$33</f>
        <v/>
      </c>
      <c r="C142" s="85" t="n"/>
      <c r="D142" s="85" t="n"/>
      <c r="E142" s="85" t="n"/>
      <c r="F142" s="85" t="n"/>
      <c r="G142" s="85" t="n"/>
      <c r="H142" s="85" t="n"/>
      <c r="S142">
        <f>IF(23&lt;='設定'!$B$6,"表示","隠す")</f>
        <v/>
      </c>
    </row>
    <row r="143" hidden="1" ht="21" customHeight="1">
      <c r="A143" s="84" t="n"/>
      <c r="B143" s="46">
        <f>'設定'!$I$34</f>
        <v/>
      </c>
      <c r="C143" s="85" t="n"/>
      <c r="D143" s="85" t="n"/>
      <c r="E143" s="85" t="n"/>
      <c r="F143" s="85" t="n"/>
      <c r="G143" s="85" t="n"/>
      <c r="H143" s="85" t="n"/>
      <c r="S143">
        <f>IF(24&lt;='設定'!$B$6,"表示","隠す")</f>
        <v/>
      </c>
    </row>
    <row r="144">
      <c r="S144" t="inlineStr">
        <is>
          <t>表示</t>
        </is>
      </c>
    </row>
    <row r="145" ht="26" customHeight="1">
      <c r="B145" s="78">
        <f>IF('名簿'!B10="","（名簿 6行目：なし）",'名簿'!P10)</f>
        <v/>
      </c>
      <c r="C145" s="5" t="n"/>
      <c r="D145" s="5" t="n"/>
      <c r="E145" s="79" t="inlineStr">
        <is>
          <t>提出状況 ▶</t>
        </is>
      </c>
      <c r="F145" s="42" t="n"/>
      <c r="G145" s="33" t="n"/>
      <c r="H145" s="80" t="inlineStr">
        <is>
          <t>状況：</t>
        </is>
      </c>
      <c r="I145" s="81">
        <f>'名簿'!Q10</f>
        <v/>
      </c>
      <c r="J145" s="80" t="inlineStr">
        <is>
          <t>×の数：</t>
        </is>
      </c>
      <c r="K145" s="82">
        <f>'名簿'!R10</f>
        <v/>
      </c>
      <c r="L145" s="83">
        <f>HYPERLINK("#'×入力'!B173","次の人へ ▼")</f>
        <v/>
      </c>
      <c r="S145" t="inlineStr">
        <is>
          <t>表示</t>
        </is>
      </c>
    </row>
    <row r="146" ht="22" customHeight="1">
      <c r="A146" s="34" t="inlineStr">
        <is>
          <t>この日全部 ▶</t>
        </is>
      </c>
      <c r="C146" s="84" t="n"/>
      <c r="D146" s="84" t="n"/>
      <c r="E146" s="84" t="n"/>
      <c r="F146" s="84" t="n"/>
      <c r="G146" s="84" t="n"/>
      <c r="H146" s="84" t="n"/>
      <c r="S146" t="inlineStr">
        <is>
          <t>表示</t>
        </is>
      </c>
    </row>
    <row r="147" ht="28" customHeight="1">
      <c r="A147" s="37" t="inlineStr">
        <is>
          <t>この時間
全部 ▼</t>
        </is>
      </c>
      <c r="B147" s="38" t="inlineStr"/>
      <c r="C147" s="39">
        <f>'設定'!$E$11</f>
        <v/>
      </c>
      <c r="D147" s="39">
        <f>'設定'!$E$12</f>
        <v/>
      </c>
      <c r="E147" s="39">
        <f>'設定'!$E$13</f>
        <v/>
      </c>
      <c r="F147" s="39">
        <f>'設定'!$E$14</f>
        <v/>
      </c>
      <c r="G147" s="39">
        <f>'設定'!$E$15</f>
        <v/>
      </c>
      <c r="H147" s="39">
        <f>'設定'!$E$16</f>
        <v/>
      </c>
      <c r="S147" t="inlineStr">
        <is>
          <t>表示</t>
        </is>
      </c>
    </row>
    <row r="148" ht="21" customHeight="1">
      <c r="A148" s="84" t="n"/>
      <c r="B148" s="46">
        <f>'設定'!$I$11</f>
        <v/>
      </c>
      <c r="C148" s="85" t="n"/>
      <c r="D148" s="85" t="n"/>
      <c r="E148" s="85" t="n"/>
      <c r="F148" s="85" t="n"/>
      <c r="G148" s="85" t="n"/>
      <c r="H148" s="85" t="n"/>
      <c r="S148">
        <f>IF(1&lt;='設定'!$B$6,"表示","隠す")</f>
        <v/>
      </c>
    </row>
    <row r="149" ht="21" customHeight="1">
      <c r="A149" s="84" t="n"/>
      <c r="B149" s="46">
        <f>'設定'!$I$12</f>
        <v/>
      </c>
      <c r="C149" s="85" t="n"/>
      <c r="D149" s="85" t="n"/>
      <c r="E149" s="85" t="n"/>
      <c r="F149" s="85" t="n"/>
      <c r="G149" s="85" t="n"/>
      <c r="H149" s="85" t="n"/>
      <c r="S149">
        <f>IF(2&lt;='設定'!$B$6,"表示","隠す")</f>
        <v/>
      </c>
    </row>
    <row r="150" ht="21" customHeight="1">
      <c r="A150" s="84" t="n"/>
      <c r="B150" s="46">
        <f>'設定'!$I$13</f>
        <v/>
      </c>
      <c r="C150" s="85" t="n"/>
      <c r="D150" s="85" t="n"/>
      <c r="E150" s="85" t="n"/>
      <c r="F150" s="85" t="inlineStr">
        <is>
          <t>×</t>
        </is>
      </c>
      <c r="G150" s="85" t="n"/>
      <c r="H150" s="85" t="n"/>
      <c r="S150">
        <f>IF(3&lt;='設定'!$B$6,"表示","隠す")</f>
        <v/>
      </c>
    </row>
    <row r="151" ht="21" customHeight="1">
      <c r="A151" s="84" t="n"/>
      <c r="B151" s="46">
        <f>'設定'!$I$14</f>
        <v/>
      </c>
      <c r="C151" s="85" t="n"/>
      <c r="D151" s="85" t="n"/>
      <c r="E151" s="85" t="n"/>
      <c r="F151" s="85" t="n"/>
      <c r="G151" s="85" t="n"/>
      <c r="H151" s="85" t="n"/>
      <c r="S151">
        <f>IF(4&lt;='設定'!$B$6,"表示","隠す")</f>
        <v/>
      </c>
    </row>
    <row r="152" ht="21" customHeight="1">
      <c r="A152" s="84" t="n"/>
      <c r="B152" s="46">
        <f>'設定'!$I$15</f>
        <v/>
      </c>
      <c r="C152" s="85" t="inlineStr">
        <is>
          <t>×</t>
        </is>
      </c>
      <c r="D152" s="85" t="inlineStr">
        <is>
          <t>×</t>
        </is>
      </c>
      <c r="E152" s="85" t="inlineStr">
        <is>
          <t>×</t>
        </is>
      </c>
      <c r="F152" s="85" t="inlineStr">
        <is>
          <t>×</t>
        </is>
      </c>
      <c r="G152" s="85" t="inlineStr">
        <is>
          <t>×</t>
        </is>
      </c>
      <c r="H152" s="85" t="n"/>
      <c r="S152">
        <f>IF(5&lt;='設定'!$B$6,"表示","隠す")</f>
        <v/>
      </c>
    </row>
    <row r="153" ht="21" customHeight="1">
      <c r="A153" s="84" t="n"/>
      <c r="B153" s="46">
        <f>'設定'!$I$16</f>
        <v/>
      </c>
      <c r="C153" s="85" t="inlineStr">
        <is>
          <t>×</t>
        </is>
      </c>
      <c r="D153" s="85" t="inlineStr">
        <is>
          <t>×</t>
        </is>
      </c>
      <c r="E153" s="85" t="inlineStr">
        <is>
          <t>×</t>
        </is>
      </c>
      <c r="F153" s="85" t="inlineStr">
        <is>
          <t>×</t>
        </is>
      </c>
      <c r="G153" s="85" t="inlineStr">
        <is>
          <t>×</t>
        </is>
      </c>
      <c r="H153" s="85" t="n"/>
      <c r="S153">
        <f>IF(6&lt;='設定'!$B$6,"表示","隠す")</f>
        <v/>
      </c>
    </row>
    <row r="154" ht="21" customHeight="1">
      <c r="A154" s="84" t="n"/>
      <c r="B154" s="46">
        <f>'設定'!$I$17</f>
        <v/>
      </c>
      <c r="C154" s="85" t="inlineStr">
        <is>
          <t>×</t>
        </is>
      </c>
      <c r="D154" s="85" t="inlineStr">
        <is>
          <t>×</t>
        </is>
      </c>
      <c r="E154" s="85" t="inlineStr">
        <is>
          <t>×</t>
        </is>
      </c>
      <c r="F154" s="85" t="inlineStr">
        <is>
          <t>×</t>
        </is>
      </c>
      <c r="G154" s="85" t="inlineStr">
        <is>
          <t>×</t>
        </is>
      </c>
      <c r="H154" s="85" t="n"/>
      <c r="S154">
        <f>IF(7&lt;='設定'!$B$6,"表示","隠す")</f>
        <v/>
      </c>
    </row>
    <row r="155" ht="21" customHeight="1">
      <c r="A155" s="84" t="n"/>
      <c r="B155" s="46">
        <f>'設定'!$I$18</f>
        <v/>
      </c>
      <c r="C155" s="85" t="inlineStr">
        <is>
          <t>×</t>
        </is>
      </c>
      <c r="D155" s="85" t="inlineStr">
        <is>
          <t>×</t>
        </is>
      </c>
      <c r="E155" s="85" t="inlineStr">
        <is>
          <t>×</t>
        </is>
      </c>
      <c r="F155" s="85" t="inlineStr">
        <is>
          <t>×</t>
        </is>
      </c>
      <c r="G155" s="85" t="inlineStr">
        <is>
          <t>×</t>
        </is>
      </c>
      <c r="H155" s="85" t="n"/>
      <c r="S155">
        <f>IF(8&lt;='設定'!$B$6,"表示","隠す")</f>
        <v/>
      </c>
    </row>
    <row r="156" ht="21" customHeight="1">
      <c r="A156" s="84" t="n"/>
      <c r="B156" s="46">
        <f>'設定'!$I$19</f>
        <v/>
      </c>
      <c r="C156" s="85" t="inlineStr">
        <is>
          <t>×</t>
        </is>
      </c>
      <c r="D156" s="85" t="inlineStr">
        <is>
          <t>×</t>
        </is>
      </c>
      <c r="E156" s="85" t="inlineStr">
        <is>
          <t>×</t>
        </is>
      </c>
      <c r="F156" s="85" t="inlineStr">
        <is>
          <t>×</t>
        </is>
      </c>
      <c r="G156" s="85" t="inlineStr">
        <is>
          <t>×</t>
        </is>
      </c>
      <c r="H156" s="85" t="n"/>
      <c r="S156">
        <f>IF(9&lt;='設定'!$B$6,"表示","隠す")</f>
        <v/>
      </c>
    </row>
    <row r="157" hidden="1" ht="21" customHeight="1">
      <c r="A157" s="84" t="n"/>
      <c r="B157" s="46">
        <f>'設定'!$I$20</f>
        <v/>
      </c>
      <c r="C157" s="85" t="n"/>
      <c r="D157" s="85" t="n"/>
      <c r="E157" s="85" t="n"/>
      <c r="F157" s="85" t="n"/>
      <c r="G157" s="85" t="n"/>
      <c r="H157" s="85" t="n"/>
      <c r="S157">
        <f>IF(10&lt;='設定'!$B$6,"表示","隠す")</f>
        <v/>
      </c>
    </row>
    <row r="158" hidden="1" ht="21" customHeight="1">
      <c r="A158" s="84" t="n"/>
      <c r="B158" s="46">
        <f>'設定'!$I$21</f>
        <v/>
      </c>
      <c r="C158" s="85" t="n"/>
      <c r="D158" s="85" t="n"/>
      <c r="E158" s="85" t="n"/>
      <c r="F158" s="85" t="n"/>
      <c r="G158" s="85" t="n"/>
      <c r="H158" s="85" t="n"/>
      <c r="S158">
        <f>IF(11&lt;='設定'!$B$6,"表示","隠す")</f>
        <v/>
      </c>
    </row>
    <row r="159" hidden="1" ht="21" customHeight="1">
      <c r="A159" s="84" t="n"/>
      <c r="B159" s="46">
        <f>'設定'!$I$22</f>
        <v/>
      </c>
      <c r="C159" s="85" t="n"/>
      <c r="D159" s="85" t="n"/>
      <c r="E159" s="85" t="n"/>
      <c r="F159" s="85" t="n"/>
      <c r="G159" s="85" t="n"/>
      <c r="H159" s="85" t="n"/>
      <c r="S159">
        <f>IF(12&lt;='設定'!$B$6,"表示","隠す")</f>
        <v/>
      </c>
    </row>
    <row r="160" hidden="1" ht="21" customHeight="1">
      <c r="A160" s="84" t="n"/>
      <c r="B160" s="46">
        <f>'設定'!$I$23</f>
        <v/>
      </c>
      <c r="C160" s="85" t="n"/>
      <c r="D160" s="85" t="n"/>
      <c r="E160" s="85" t="n"/>
      <c r="F160" s="85" t="n"/>
      <c r="G160" s="85" t="n"/>
      <c r="H160" s="85" t="n"/>
      <c r="S160">
        <f>IF(13&lt;='設定'!$B$6,"表示","隠す")</f>
        <v/>
      </c>
    </row>
    <row r="161" hidden="1" ht="21" customHeight="1">
      <c r="A161" s="84" t="n"/>
      <c r="B161" s="46">
        <f>'設定'!$I$24</f>
        <v/>
      </c>
      <c r="C161" s="85" t="n"/>
      <c r="D161" s="85" t="n"/>
      <c r="E161" s="85" t="n"/>
      <c r="F161" s="85" t="n"/>
      <c r="G161" s="85" t="n"/>
      <c r="H161" s="85" t="n"/>
      <c r="S161">
        <f>IF(14&lt;='設定'!$B$6,"表示","隠す")</f>
        <v/>
      </c>
    </row>
    <row r="162" hidden="1" ht="21" customHeight="1">
      <c r="A162" s="84" t="n"/>
      <c r="B162" s="46">
        <f>'設定'!$I$25</f>
        <v/>
      </c>
      <c r="C162" s="85" t="n"/>
      <c r="D162" s="85" t="n"/>
      <c r="E162" s="85" t="n"/>
      <c r="F162" s="85" t="n"/>
      <c r="G162" s="85" t="n"/>
      <c r="H162" s="85" t="n"/>
      <c r="S162">
        <f>IF(15&lt;='設定'!$B$6,"表示","隠す")</f>
        <v/>
      </c>
    </row>
    <row r="163" hidden="1" ht="21" customHeight="1">
      <c r="A163" s="84" t="n"/>
      <c r="B163" s="46">
        <f>'設定'!$I$26</f>
        <v/>
      </c>
      <c r="C163" s="85" t="n"/>
      <c r="D163" s="85" t="n"/>
      <c r="E163" s="85" t="n"/>
      <c r="F163" s="85" t="n"/>
      <c r="G163" s="85" t="n"/>
      <c r="H163" s="85" t="n"/>
      <c r="S163">
        <f>IF(16&lt;='設定'!$B$6,"表示","隠す")</f>
        <v/>
      </c>
    </row>
    <row r="164" hidden="1" ht="21" customHeight="1">
      <c r="A164" s="84" t="n"/>
      <c r="B164" s="46">
        <f>'設定'!$I$27</f>
        <v/>
      </c>
      <c r="C164" s="85" t="n"/>
      <c r="D164" s="85" t="n"/>
      <c r="E164" s="85" t="n"/>
      <c r="F164" s="85" t="n"/>
      <c r="G164" s="85" t="n"/>
      <c r="H164" s="85" t="n"/>
      <c r="S164">
        <f>IF(17&lt;='設定'!$B$6,"表示","隠す")</f>
        <v/>
      </c>
    </row>
    <row r="165" hidden="1" ht="21" customHeight="1">
      <c r="A165" s="84" t="n"/>
      <c r="B165" s="46">
        <f>'設定'!$I$28</f>
        <v/>
      </c>
      <c r="C165" s="85" t="n"/>
      <c r="D165" s="85" t="n"/>
      <c r="E165" s="85" t="n"/>
      <c r="F165" s="85" t="n"/>
      <c r="G165" s="85" t="n"/>
      <c r="H165" s="85" t="n"/>
      <c r="S165">
        <f>IF(18&lt;='設定'!$B$6,"表示","隠す")</f>
        <v/>
      </c>
    </row>
    <row r="166" hidden="1" ht="21" customHeight="1">
      <c r="A166" s="84" t="n"/>
      <c r="B166" s="46">
        <f>'設定'!$I$29</f>
        <v/>
      </c>
      <c r="C166" s="85" t="n"/>
      <c r="D166" s="85" t="n"/>
      <c r="E166" s="85" t="n"/>
      <c r="F166" s="85" t="n"/>
      <c r="G166" s="85" t="n"/>
      <c r="H166" s="85" t="n"/>
      <c r="S166">
        <f>IF(19&lt;='設定'!$B$6,"表示","隠す")</f>
        <v/>
      </c>
    </row>
    <row r="167" hidden="1" ht="21" customHeight="1">
      <c r="A167" s="84" t="n"/>
      <c r="B167" s="46">
        <f>'設定'!$I$30</f>
        <v/>
      </c>
      <c r="C167" s="85" t="n"/>
      <c r="D167" s="85" t="n"/>
      <c r="E167" s="85" t="n"/>
      <c r="F167" s="85" t="n"/>
      <c r="G167" s="85" t="n"/>
      <c r="H167" s="85" t="n"/>
      <c r="S167">
        <f>IF(20&lt;='設定'!$B$6,"表示","隠す")</f>
        <v/>
      </c>
    </row>
    <row r="168" hidden="1" ht="21" customHeight="1">
      <c r="A168" s="84" t="n"/>
      <c r="B168" s="46">
        <f>'設定'!$I$31</f>
        <v/>
      </c>
      <c r="C168" s="85" t="n"/>
      <c r="D168" s="85" t="n"/>
      <c r="E168" s="85" t="n"/>
      <c r="F168" s="85" t="n"/>
      <c r="G168" s="85" t="n"/>
      <c r="H168" s="85" t="n"/>
      <c r="S168">
        <f>IF(21&lt;='設定'!$B$6,"表示","隠す")</f>
        <v/>
      </c>
    </row>
    <row r="169" hidden="1" ht="21" customHeight="1">
      <c r="A169" s="84" t="n"/>
      <c r="B169" s="46">
        <f>'設定'!$I$32</f>
        <v/>
      </c>
      <c r="C169" s="85" t="n"/>
      <c r="D169" s="85" t="n"/>
      <c r="E169" s="85" t="n"/>
      <c r="F169" s="85" t="n"/>
      <c r="G169" s="85" t="n"/>
      <c r="H169" s="85" t="n"/>
      <c r="S169">
        <f>IF(22&lt;='設定'!$B$6,"表示","隠す")</f>
        <v/>
      </c>
    </row>
    <row r="170" hidden="1" ht="21" customHeight="1">
      <c r="A170" s="84" t="n"/>
      <c r="B170" s="46">
        <f>'設定'!$I$33</f>
        <v/>
      </c>
      <c r="C170" s="85" t="n"/>
      <c r="D170" s="85" t="n"/>
      <c r="E170" s="85" t="n"/>
      <c r="F170" s="85" t="n"/>
      <c r="G170" s="85" t="n"/>
      <c r="H170" s="85" t="n"/>
      <c r="S170">
        <f>IF(23&lt;='設定'!$B$6,"表示","隠す")</f>
        <v/>
      </c>
    </row>
    <row r="171" hidden="1" ht="21" customHeight="1">
      <c r="A171" s="84" t="n"/>
      <c r="B171" s="46">
        <f>'設定'!$I$34</f>
        <v/>
      </c>
      <c r="C171" s="85" t="n"/>
      <c r="D171" s="85" t="n"/>
      <c r="E171" s="85" t="n"/>
      <c r="F171" s="85" t="n"/>
      <c r="G171" s="85" t="n"/>
      <c r="H171" s="85" t="n"/>
      <c r="S171">
        <f>IF(24&lt;='設定'!$B$6,"表示","隠す")</f>
        <v/>
      </c>
    </row>
    <row r="172">
      <c r="S172" t="inlineStr">
        <is>
          <t>表示</t>
        </is>
      </c>
    </row>
    <row r="173" ht="26" customHeight="1">
      <c r="B173" s="78">
        <f>IF('名簿'!B11="","（名簿 7行目：なし）",'名簿'!P11)</f>
        <v/>
      </c>
      <c r="C173" s="5" t="n"/>
      <c r="D173" s="5" t="n"/>
      <c r="E173" s="79" t="inlineStr">
        <is>
          <t>提出状況 ▶</t>
        </is>
      </c>
      <c r="F173" s="42" t="n"/>
      <c r="G173" s="33" t="n"/>
      <c r="H173" s="80" t="inlineStr">
        <is>
          <t>状況：</t>
        </is>
      </c>
      <c r="I173" s="81">
        <f>'名簿'!Q11</f>
        <v/>
      </c>
      <c r="J173" s="80" t="inlineStr">
        <is>
          <t>×の数：</t>
        </is>
      </c>
      <c r="K173" s="82">
        <f>'名簿'!R11</f>
        <v/>
      </c>
      <c r="L173" s="83">
        <f>HYPERLINK("#'×入力'!B201","次の人へ ▼")</f>
        <v/>
      </c>
      <c r="S173" t="inlineStr">
        <is>
          <t>表示</t>
        </is>
      </c>
    </row>
    <row r="174" ht="22" customHeight="1">
      <c r="A174" s="34" t="inlineStr">
        <is>
          <t>この日全部 ▶</t>
        </is>
      </c>
      <c r="C174" s="84" t="n"/>
      <c r="D174" s="84" t="n"/>
      <c r="E174" s="84" t="n"/>
      <c r="F174" s="84" t="n"/>
      <c r="G174" s="84" t="n"/>
      <c r="H174" s="84" t="n"/>
      <c r="S174" t="inlineStr">
        <is>
          <t>表示</t>
        </is>
      </c>
    </row>
    <row r="175" ht="28" customHeight="1">
      <c r="A175" s="37" t="inlineStr">
        <is>
          <t>この時間
全部 ▼</t>
        </is>
      </c>
      <c r="B175" s="38" t="inlineStr"/>
      <c r="C175" s="39">
        <f>'設定'!$E$11</f>
        <v/>
      </c>
      <c r="D175" s="39">
        <f>'設定'!$E$12</f>
        <v/>
      </c>
      <c r="E175" s="39">
        <f>'設定'!$E$13</f>
        <v/>
      </c>
      <c r="F175" s="39">
        <f>'設定'!$E$14</f>
        <v/>
      </c>
      <c r="G175" s="39">
        <f>'設定'!$E$15</f>
        <v/>
      </c>
      <c r="H175" s="39">
        <f>'設定'!$E$16</f>
        <v/>
      </c>
      <c r="S175" t="inlineStr">
        <is>
          <t>表示</t>
        </is>
      </c>
    </row>
    <row r="176" ht="21" customHeight="1">
      <c r="A176" s="84" t="inlineStr">
        <is>
          <t>×</t>
        </is>
      </c>
      <c r="B176" s="46">
        <f>'設定'!$I$11</f>
        <v/>
      </c>
      <c r="C176" s="85" t="inlineStr">
        <is>
          <t>×</t>
        </is>
      </c>
      <c r="D176" s="85" t="inlineStr">
        <is>
          <t>×</t>
        </is>
      </c>
      <c r="E176" s="85" t="n"/>
      <c r="F176" s="85" t="inlineStr">
        <is>
          <t>×</t>
        </is>
      </c>
      <c r="G176" s="85" t="inlineStr">
        <is>
          <t>×</t>
        </is>
      </c>
      <c r="H176" s="85" t="n"/>
      <c r="S176">
        <f>IF(1&lt;='設定'!$B$6,"表示","隠す")</f>
        <v/>
      </c>
    </row>
    <row r="177" ht="21" customHeight="1">
      <c r="A177" s="84" t="inlineStr">
        <is>
          <t>×</t>
        </is>
      </c>
      <c r="B177" s="46">
        <f>'設定'!$I$12</f>
        <v/>
      </c>
      <c r="C177" s="85" t="n"/>
      <c r="D177" s="85" t="inlineStr">
        <is>
          <t>×</t>
        </is>
      </c>
      <c r="E177" s="85" t="n"/>
      <c r="F177" s="85" t="inlineStr">
        <is>
          <t>×</t>
        </is>
      </c>
      <c r="G177" s="85" t="inlineStr">
        <is>
          <t>×</t>
        </is>
      </c>
      <c r="H177" s="85" t="n"/>
      <c r="S177">
        <f>IF(2&lt;='設定'!$B$6,"表示","隠す")</f>
        <v/>
      </c>
    </row>
    <row r="178" ht="21" customHeight="1">
      <c r="A178" s="84" t="n"/>
      <c r="B178" s="46">
        <f>'設定'!$I$13</f>
        <v/>
      </c>
      <c r="C178" s="85" t="n"/>
      <c r="D178" s="85" t="inlineStr">
        <is>
          <t>×</t>
        </is>
      </c>
      <c r="E178" s="85" t="n"/>
      <c r="F178" s="85" t="inlineStr">
        <is>
          <t>×</t>
        </is>
      </c>
      <c r="G178" s="85" t="inlineStr">
        <is>
          <t>×</t>
        </is>
      </c>
      <c r="H178" s="85" t="n"/>
      <c r="S178">
        <f>IF(3&lt;='設定'!$B$6,"表示","隠す")</f>
        <v/>
      </c>
    </row>
    <row r="179" ht="21" customHeight="1">
      <c r="A179" s="84" t="n"/>
      <c r="B179" s="46">
        <f>'設定'!$I$14</f>
        <v/>
      </c>
      <c r="C179" s="85" t="inlineStr">
        <is>
          <t>×</t>
        </is>
      </c>
      <c r="D179" s="85" t="inlineStr">
        <is>
          <t>×</t>
        </is>
      </c>
      <c r="E179" s="85" t="n"/>
      <c r="F179" s="85" t="inlineStr">
        <is>
          <t>×</t>
        </is>
      </c>
      <c r="G179" s="85" t="inlineStr">
        <is>
          <t>×</t>
        </is>
      </c>
      <c r="H179" s="85" t="n"/>
      <c r="S179">
        <f>IF(4&lt;='設定'!$B$6,"表示","隠す")</f>
        <v/>
      </c>
    </row>
    <row r="180" ht="21" customHeight="1">
      <c r="A180" s="84" t="n"/>
      <c r="B180" s="46">
        <f>'設定'!$I$15</f>
        <v/>
      </c>
      <c r="C180" s="85" t="n"/>
      <c r="D180" s="85" t="inlineStr">
        <is>
          <t>×</t>
        </is>
      </c>
      <c r="E180" s="85" t="n"/>
      <c r="F180" s="85" t="inlineStr">
        <is>
          <t>×</t>
        </is>
      </c>
      <c r="G180" s="85" t="inlineStr">
        <is>
          <t>×</t>
        </is>
      </c>
      <c r="H180" s="85" t="n"/>
      <c r="S180">
        <f>IF(5&lt;='設定'!$B$6,"表示","隠す")</f>
        <v/>
      </c>
    </row>
    <row r="181" ht="21" customHeight="1">
      <c r="A181" s="84" t="n"/>
      <c r="B181" s="46">
        <f>'設定'!$I$16</f>
        <v/>
      </c>
      <c r="C181" s="85" t="n"/>
      <c r="D181" s="85" t="inlineStr">
        <is>
          <t>×</t>
        </is>
      </c>
      <c r="E181" s="85" t="n"/>
      <c r="F181" s="85" t="inlineStr">
        <is>
          <t>×</t>
        </is>
      </c>
      <c r="G181" s="85" t="inlineStr">
        <is>
          <t>×</t>
        </is>
      </c>
      <c r="H181" s="85" t="n"/>
      <c r="S181">
        <f>IF(6&lt;='設定'!$B$6,"表示","隠す")</f>
        <v/>
      </c>
    </row>
    <row r="182" ht="21" customHeight="1">
      <c r="A182" s="84" t="n"/>
      <c r="B182" s="46">
        <f>'設定'!$I$17</f>
        <v/>
      </c>
      <c r="C182" s="85" t="n"/>
      <c r="D182" s="85" t="inlineStr">
        <is>
          <t>×</t>
        </is>
      </c>
      <c r="E182" s="85" t="n"/>
      <c r="F182" s="85" t="inlineStr">
        <is>
          <t>×</t>
        </is>
      </c>
      <c r="G182" s="85" t="inlineStr">
        <is>
          <t>×</t>
        </is>
      </c>
      <c r="H182" s="85" t="n"/>
      <c r="S182">
        <f>IF(7&lt;='設定'!$B$6,"表示","隠す")</f>
        <v/>
      </c>
    </row>
    <row r="183" ht="21" customHeight="1">
      <c r="A183" s="84" t="n"/>
      <c r="B183" s="46">
        <f>'設定'!$I$18</f>
        <v/>
      </c>
      <c r="C183" s="85" t="n"/>
      <c r="D183" s="85" t="inlineStr">
        <is>
          <t>×</t>
        </is>
      </c>
      <c r="E183" s="85" t="n"/>
      <c r="F183" s="85" t="inlineStr">
        <is>
          <t>×</t>
        </is>
      </c>
      <c r="G183" s="85" t="inlineStr">
        <is>
          <t>×</t>
        </is>
      </c>
      <c r="H183" s="85" t="n"/>
      <c r="S183">
        <f>IF(8&lt;='設定'!$B$6,"表示","隠す")</f>
        <v/>
      </c>
    </row>
    <row r="184" ht="21" customHeight="1">
      <c r="A184" s="84" t="n"/>
      <c r="B184" s="46">
        <f>'設定'!$I$19</f>
        <v/>
      </c>
      <c r="C184" s="85" t="n"/>
      <c r="D184" s="85" t="inlineStr">
        <is>
          <t>×</t>
        </is>
      </c>
      <c r="E184" s="85" t="n"/>
      <c r="F184" s="85" t="inlineStr">
        <is>
          <t>×</t>
        </is>
      </c>
      <c r="G184" s="85" t="inlineStr">
        <is>
          <t>×</t>
        </is>
      </c>
      <c r="H184" s="85" t="n"/>
      <c r="S184">
        <f>IF(9&lt;='設定'!$B$6,"表示","隠す")</f>
        <v/>
      </c>
    </row>
    <row r="185" hidden="1" ht="21" customHeight="1">
      <c r="A185" s="84" t="n"/>
      <c r="B185" s="46">
        <f>'設定'!$I$20</f>
        <v/>
      </c>
      <c r="C185" s="85" t="n"/>
      <c r="D185" s="85" t="n"/>
      <c r="E185" s="85" t="n"/>
      <c r="F185" s="85" t="n"/>
      <c r="G185" s="85" t="n"/>
      <c r="H185" s="85" t="n"/>
      <c r="S185">
        <f>IF(10&lt;='設定'!$B$6,"表示","隠す")</f>
        <v/>
      </c>
    </row>
    <row r="186" hidden="1" ht="21" customHeight="1">
      <c r="A186" s="84" t="n"/>
      <c r="B186" s="46">
        <f>'設定'!$I$21</f>
        <v/>
      </c>
      <c r="C186" s="85" t="n"/>
      <c r="D186" s="85" t="n"/>
      <c r="E186" s="85" t="n"/>
      <c r="F186" s="85" t="n"/>
      <c r="G186" s="85" t="n"/>
      <c r="H186" s="85" t="n"/>
      <c r="S186">
        <f>IF(11&lt;='設定'!$B$6,"表示","隠す")</f>
        <v/>
      </c>
    </row>
    <row r="187" hidden="1" ht="21" customHeight="1">
      <c r="A187" s="84" t="n"/>
      <c r="B187" s="46">
        <f>'設定'!$I$22</f>
        <v/>
      </c>
      <c r="C187" s="85" t="n"/>
      <c r="D187" s="85" t="n"/>
      <c r="E187" s="85" t="n"/>
      <c r="F187" s="85" t="n"/>
      <c r="G187" s="85" t="n"/>
      <c r="H187" s="85" t="n"/>
      <c r="S187">
        <f>IF(12&lt;='設定'!$B$6,"表示","隠す")</f>
        <v/>
      </c>
    </row>
    <row r="188" hidden="1" ht="21" customHeight="1">
      <c r="A188" s="84" t="n"/>
      <c r="B188" s="46">
        <f>'設定'!$I$23</f>
        <v/>
      </c>
      <c r="C188" s="85" t="n"/>
      <c r="D188" s="85" t="n"/>
      <c r="E188" s="85" t="n"/>
      <c r="F188" s="85" t="n"/>
      <c r="G188" s="85" t="n"/>
      <c r="H188" s="85" t="n"/>
      <c r="S188">
        <f>IF(13&lt;='設定'!$B$6,"表示","隠す")</f>
        <v/>
      </c>
    </row>
    <row r="189" hidden="1" ht="21" customHeight="1">
      <c r="A189" s="84" t="n"/>
      <c r="B189" s="46">
        <f>'設定'!$I$24</f>
        <v/>
      </c>
      <c r="C189" s="85" t="n"/>
      <c r="D189" s="85" t="n"/>
      <c r="E189" s="85" t="n"/>
      <c r="F189" s="85" t="n"/>
      <c r="G189" s="85" t="n"/>
      <c r="H189" s="85" t="n"/>
      <c r="S189">
        <f>IF(14&lt;='設定'!$B$6,"表示","隠す")</f>
        <v/>
      </c>
    </row>
    <row r="190" hidden="1" ht="21" customHeight="1">
      <c r="A190" s="84" t="n"/>
      <c r="B190" s="46">
        <f>'設定'!$I$25</f>
        <v/>
      </c>
      <c r="C190" s="85" t="n"/>
      <c r="D190" s="85" t="n"/>
      <c r="E190" s="85" t="n"/>
      <c r="F190" s="85" t="n"/>
      <c r="G190" s="85" t="n"/>
      <c r="H190" s="85" t="n"/>
      <c r="S190">
        <f>IF(15&lt;='設定'!$B$6,"表示","隠す")</f>
        <v/>
      </c>
    </row>
    <row r="191" hidden="1" ht="21" customHeight="1">
      <c r="A191" s="84" t="n"/>
      <c r="B191" s="46">
        <f>'設定'!$I$26</f>
        <v/>
      </c>
      <c r="C191" s="85" t="n"/>
      <c r="D191" s="85" t="n"/>
      <c r="E191" s="85" t="n"/>
      <c r="F191" s="85" t="n"/>
      <c r="G191" s="85" t="n"/>
      <c r="H191" s="85" t="n"/>
      <c r="S191">
        <f>IF(16&lt;='設定'!$B$6,"表示","隠す")</f>
        <v/>
      </c>
    </row>
    <row r="192" hidden="1" ht="21" customHeight="1">
      <c r="A192" s="84" t="n"/>
      <c r="B192" s="46">
        <f>'設定'!$I$27</f>
        <v/>
      </c>
      <c r="C192" s="85" t="n"/>
      <c r="D192" s="85" t="n"/>
      <c r="E192" s="85" t="n"/>
      <c r="F192" s="85" t="n"/>
      <c r="G192" s="85" t="n"/>
      <c r="H192" s="85" t="n"/>
      <c r="S192">
        <f>IF(17&lt;='設定'!$B$6,"表示","隠す")</f>
        <v/>
      </c>
    </row>
    <row r="193" hidden="1" ht="21" customHeight="1">
      <c r="A193" s="84" t="n"/>
      <c r="B193" s="46">
        <f>'設定'!$I$28</f>
        <v/>
      </c>
      <c r="C193" s="85" t="n"/>
      <c r="D193" s="85" t="n"/>
      <c r="E193" s="85" t="n"/>
      <c r="F193" s="85" t="n"/>
      <c r="G193" s="85" t="n"/>
      <c r="H193" s="85" t="n"/>
      <c r="S193">
        <f>IF(18&lt;='設定'!$B$6,"表示","隠す")</f>
        <v/>
      </c>
    </row>
    <row r="194" hidden="1" ht="21" customHeight="1">
      <c r="A194" s="84" t="n"/>
      <c r="B194" s="46">
        <f>'設定'!$I$29</f>
        <v/>
      </c>
      <c r="C194" s="85" t="n"/>
      <c r="D194" s="85" t="n"/>
      <c r="E194" s="85" t="n"/>
      <c r="F194" s="85" t="n"/>
      <c r="G194" s="85" t="n"/>
      <c r="H194" s="85" t="n"/>
      <c r="S194">
        <f>IF(19&lt;='設定'!$B$6,"表示","隠す")</f>
        <v/>
      </c>
    </row>
    <row r="195" hidden="1" ht="21" customHeight="1">
      <c r="A195" s="84" t="n"/>
      <c r="B195" s="46">
        <f>'設定'!$I$30</f>
        <v/>
      </c>
      <c r="C195" s="85" t="n"/>
      <c r="D195" s="85" t="n"/>
      <c r="E195" s="85" t="n"/>
      <c r="F195" s="85" t="n"/>
      <c r="G195" s="85" t="n"/>
      <c r="H195" s="85" t="n"/>
      <c r="S195">
        <f>IF(20&lt;='設定'!$B$6,"表示","隠す")</f>
        <v/>
      </c>
    </row>
    <row r="196" hidden="1" ht="21" customHeight="1">
      <c r="A196" s="84" t="n"/>
      <c r="B196" s="46">
        <f>'設定'!$I$31</f>
        <v/>
      </c>
      <c r="C196" s="85" t="n"/>
      <c r="D196" s="85" t="n"/>
      <c r="E196" s="85" t="n"/>
      <c r="F196" s="85" t="n"/>
      <c r="G196" s="85" t="n"/>
      <c r="H196" s="85" t="n"/>
      <c r="S196">
        <f>IF(21&lt;='設定'!$B$6,"表示","隠す")</f>
        <v/>
      </c>
    </row>
    <row r="197" hidden="1" ht="21" customHeight="1">
      <c r="A197" s="84" t="n"/>
      <c r="B197" s="46">
        <f>'設定'!$I$32</f>
        <v/>
      </c>
      <c r="C197" s="85" t="n"/>
      <c r="D197" s="85" t="n"/>
      <c r="E197" s="85" t="n"/>
      <c r="F197" s="85" t="n"/>
      <c r="G197" s="85" t="n"/>
      <c r="H197" s="85" t="n"/>
      <c r="S197">
        <f>IF(22&lt;='設定'!$B$6,"表示","隠す")</f>
        <v/>
      </c>
    </row>
    <row r="198" hidden="1" ht="21" customHeight="1">
      <c r="A198" s="84" t="n"/>
      <c r="B198" s="46">
        <f>'設定'!$I$33</f>
        <v/>
      </c>
      <c r="C198" s="85" t="n"/>
      <c r="D198" s="85" t="n"/>
      <c r="E198" s="85" t="n"/>
      <c r="F198" s="85" t="n"/>
      <c r="G198" s="85" t="n"/>
      <c r="H198" s="85" t="n"/>
      <c r="S198">
        <f>IF(23&lt;='設定'!$B$6,"表示","隠す")</f>
        <v/>
      </c>
    </row>
    <row r="199" hidden="1" ht="21" customHeight="1">
      <c r="A199" s="84" t="n"/>
      <c r="B199" s="46">
        <f>'設定'!$I$34</f>
        <v/>
      </c>
      <c r="C199" s="85" t="n"/>
      <c r="D199" s="85" t="n"/>
      <c r="E199" s="85" t="n"/>
      <c r="F199" s="85" t="n"/>
      <c r="G199" s="85" t="n"/>
      <c r="H199" s="85" t="n"/>
      <c r="S199">
        <f>IF(24&lt;='設定'!$B$6,"表示","隠す")</f>
        <v/>
      </c>
    </row>
    <row r="200">
      <c r="S200" t="inlineStr">
        <is>
          <t>表示</t>
        </is>
      </c>
    </row>
    <row r="201" ht="26" customHeight="1">
      <c r="B201" s="78">
        <f>IF('名簿'!B12="","（名簿 8行目：なし）",'名簿'!P12)</f>
        <v/>
      </c>
      <c r="C201" s="5" t="n"/>
      <c r="D201" s="5" t="n"/>
      <c r="E201" s="79" t="inlineStr">
        <is>
          <t>提出状況 ▶</t>
        </is>
      </c>
      <c r="F201" s="42" t="n"/>
      <c r="G201" s="33" t="n"/>
      <c r="H201" s="80" t="inlineStr">
        <is>
          <t>状況：</t>
        </is>
      </c>
      <c r="I201" s="81">
        <f>'名簿'!Q12</f>
        <v/>
      </c>
      <c r="J201" s="80" t="inlineStr">
        <is>
          <t>×の数：</t>
        </is>
      </c>
      <c r="K201" s="82">
        <f>'名簿'!R12</f>
        <v/>
      </c>
      <c r="L201" s="83">
        <f>HYPERLINK("#'×入力'!B229","次の人へ ▼")</f>
        <v/>
      </c>
      <c r="S201" t="inlineStr">
        <is>
          <t>表示</t>
        </is>
      </c>
    </row>
    <row r="202" ht="22" customHeight="1">
      <c r="A202" s="34" t="inlineStr">
        <is>
          <t>この日全部 ▶</t>
        </is>
      </c>
      <c r="C202" s="84" t="n"/>
      <c r="D202" s="84" t="n"/>
      <c r="E202" s="84" t="n"/>
      <c r="F202" s="84" t="n"/>
      <c r="G202" s="84" t="n"/>
      <c r="H202" s="84" t="n"/>
      <c r="S202" t="inlineStr">
        <is>
          <t>表示</t>
        </is>
      </c>
    </row>
    <row r="203" ht="28" customHeight="1">
      <c r="A203" s="37" t="inlineStr">
        <is>
          <t>この時間
全部 ▼</t>
        </is>
      </c>
      <c r="B203" s="38" t="inlineStr"/>
      <c r="C203" s="39">
        <f>'設定'!$E$11</f>
        <v/>
      </c>
      <c r="D203" s="39">
        <f>'設定'!$E$12</f>
        <v/>
      </c>
      <c r="E203" s="39">
        <f>'設定'!$E$13</f>
        <v/>
      </c>
      <c r="F203" s="39">
        <f>'設定'!$E$14</f>
        <v/>
      </c>
      <c r="G203" s="39">
        <f>'設定'!$E$15</f>
        <v/>
      </c>
      <c r="H203" s="39">
        <f>'設定'!$E$16</f>
        <v/>
      </c>
      <c r="S203" t="inlineStr">
        <is>
          <t>表示</t>
        </is>
      </c>
    </row>
    <row r="204" ht="21" customHeight="1">
      <c r="A204" s="84" t="n"/>
      <c r="B204" s="46">
        <f>'設定'!$I$11</f>
        <v/>
      </c>
      <c r="C204" s="85" t="inlineStr">
        <is>
          <t>×</t>
        </is>
      </c>
      <c r="D204" s="85" t="inlineStr">
        <is>
          <t>×</t>
        </is>
      </c>
      <c r="E204" s="85" t="inlineStr">
        <is>
          <t>×</t>
        </is>
      </c>
      <c r="F204" s="85" t="inlineStr">
        <is>
          <t>×</t>
        </is>
      </c>
      <c r="G204" s="85" t="n"/>
      <c r="H204" s="85" t="n"/>
      <c r="S204">
        <f>IF(1&lt;='設定'!$B$6,"表示","隠す")</f>
        <v/>
      </c>
    </row>
    <row r="205" ht="21" customHeight="1">
      <c r="A205" s="84" t="n"/>
      <c r="B205" s="46">
        <f>'設定'!$I$12</f>
        <v/>
      </c>
      <c r="C205" s="85" t="inlineStr">
        <is>
          <t>×</t>
        </is>
      </c>
      <c r="D205" s="85" t="n"/>
      <c r="E205" s="85" t="inlineStr">
        <is>
          <t>×</t>
        </is>
      </c>
      <c r="F205" s="85" t="inlineStr">
        <is>
          <t>×</t>
        </is>
      </c>
      <c r="G205" s="85" t="n"/>
      <c r="H205" s="85" t="n"/>
      <c r="S205">
        <f>IF(2&lt;='設定'!$B$6,"表示","隠す")</f>
        <v/>
      </c>
    </row>
    <row r="206" ht="21" customHeight="1">
      <c r="A206" s="84" t="n"/>
      <c r="B206" s="46">
        <f>'設定'!$I$13</f>
        <v/>
      </c>
      <c r="C206" s="85" t="inlineStr">
        <is>
          <t>×</t>
        </is>
      </c>
      <c r="D206" s="85" t="n"/>
      <c r="E206" s="85" t="inlineStr">
        <is>
          <t>×</t>
        </is>
      </c>
      <c r="F206" s="85" t="inlineStr">
        <is>
          <t>×</t>
        </is>
      </c>
      <c r="G206" s="85" t="inlineStr">
        <is>
          <t>×</t>
        </is>
      </c>
      <c r="H206" s="85" t="n"/>
      <c r="S206">
        <f>IF(3&lt;='設定'!$B$6,"表示","隠す")</f>
        <v/>
      </c>
    </row>
    <row r="207" ht="21" customHeight="1">
      <c r="A207" s="84" t="n"/>
      <c r="B207" s="46">
        <f>'設定'!$I$14</f>
        <v/>
      </c>
      <c r="C207" s="85" t="inlineStr">
        <is>
          <t>×</t>
        </is>
      </c>
      <c r="D207" s="85" t="n"/>
      <c r="E207" s="85" t="inlineStr">
        <is>
          <t>×</t>
        </is>
      </c>
      <c r="F207" s="85" t="inlineStr">
        <is>
          <t>×</t>
        </is>
      </c>
      <c r="G207" s="85" t="n"/>
      <c r="H207" s="85" t="n"/>
      <c r="S207">
        <f>IF(4&lt;='設定'!$B$6,"表示","隠す")</f>
        <v/>
      </c>
    </row>
    <row r="208" ht="21" customHeight="1">
      <c r="A208" s="84" t="n"/>
      <c r="B208" s="46">
        <f>'設定'!$I$15</f>
        <v/>
      </c>
      <c r="C208" s="85" t="inlineStr">
        <is>
          <t>×</t>
        </is>
      </c>
      <c r="D208" s="85" t="n"/>
      <c r="E208" s="85" t="inlineStr">
        <is>
          <t>×</t>
        </is>
      </c>
      <c r="F208" s="85" t="inlineStr">
        <is>
          <t>×</t>
        </is>
      </c>
      <c r="G208" s="85" t="n"/>
      <c r="H208" s="85" t="n"/>
      <c r="S208">
        <f>IF(5&lt;='設定'!$B$6,"表示","隠す")</f>
        <v/>
      </c>
    </row>
    <row r="209" ht="21" customHeight="1">
      <c r="A209" s="84" t="n"/>
      <c r="B209" s="46">
        <f>'設定'!$I$16</f>
        <v/>
      </c>
      <c r="C209" s="85" t="inlineStr">
        <is>
          <t>×</t>
        </is>
      </c>
      <c r="D209" s="85" t="n"/>
      <c r="E209" s="85" t="inlineStr">
        <is>
          <t>×</t>
        </is>
      </c>
      <c r="F209" s="85" t="inlineStr">
        <is>
          <t>×</t>
        </is>
      </c>
      <c r="G209" s="85" t="n"/>
      <c r="H209" s="85" t="n"/>
      <c r="S209">
        <f>IF(6&lt;='設定'!$B$6,"表示","隠す")</f>
        <v/>
      </c>
    </row>
    <row r="210" ht="21" customHeight="1">
      <c r="A210" s="84" t="n"/>
      <c r="B210" s="46">
        <f>'設定'!$I$17</f>
        <v/>
      </c>
      <c r="C210" s="85" t="inlineStr">
        <is>
          <t>×</t>
        </is>
      </c>
      <c r="D210" s="85" t="n"/>
      <c r="E210" s="85" t="inlineStr">
        <is>
          <t>×</t>
        </is>
      </c>
      <c r="F210" s="85" t="inlineStr">
        <is>
          <t>×</t>
        </is>
      </c>
      <c r="G210" s="85" t="n"/>
      <c r="H210" s="85" t="n"/>
      <c r="S210">
        <f>IF(7&lt;='設定'!$B$6,"表示","隠す")</f>
        <v/>
      </c>
    </row>
    <row r="211" ht="21" customHeight="1">
      <c r="A211" s="84" t="n"/>
      <c r="B211" s="46">
        <f>'設定'!$I$18</f>
        <v/>
      </c>
      <c r="C211" s="85" t="inlineStr">
        <is>
          <t>×</t>
        </is>
      </c>
      <c r="D211" s="85" t="inlineStr">
        <is>
          <t>×</t>
        </is>
      </c>
      <c r="E211" s="85" t="inlineStr">
        <is>
          <t>×</t>
        </is>
      </c>
      <c r="F211" s="85" t="inlineStr">
        <is>
          <t>×</t>
        </is>
      </c>
      <c r="G211" s="85" t="n"/>
      <c r="H211" s="85" t="n"/>
      <c r="S211">
        <f>IF(8&lt;='設定'!$B$6,"表示","隠す")</f>
        <v/>
      </c>
    </row>
    <row r="212" ht="21" customHeight="1">
      <c r="A212" s="84" t="n"/>
      <c r="B212" s="46">
        <f>'設定'!$I$19</f>
        <v/>
      </c>
      <c r="C212" s="85" t="inlineStr">
        <is>
          <t>×</t>
        </is>
      </c>
      <c r="D212" s="85" t="inlineStr">
        <is>
          <t>×</t>
        </is>
      </c>
      <c r="E212" s="85" t="inlineStr">
        <is>
          <t>×</t>
        </is>
      </c>
      <c r="F212" s="85" t="inlineStr">
        <is>
          <t>×</t>
        </is>
      </c>
      <c r="G212" s="85" t="inlineStr">
        <is>
          <t>×</t>
        </is>
      </c>
      <c r="H212" s="85" t="n"/>
      <c r="S212">
        <f>IF(9&lt;='設定'!$B$6,"表示","隠す")</f>
        <v/>
      </c>
    </row>
    <row r="213" hidden="1" ht="21" customHeight="1">
      <c r="A213" s="84" t="n"/>
      <c r="B213" s="46">
        <f>'設定'!$I$20</f>
        <v/>
      </c>
      <c r="C213" s="85" t="n"/>
      <c r="D213" s="85" t="n"/>
      <c r="E213" s="85" t="n"/>
      <c r="F213" s="85" t="n"/>
      <c r="G213" s="85" t="n"/>
      <c r="H213" s="85" t="n"/>
      <c r="S213">
        <f>IF(10&lt;='設定'!$B$6,"表示","隠す")</f>
        <v/>
      </c>
    </row>
    <row r="214" hidden="1" ht="21" customHeight="1">
      <c r="A214" s="84" t="n"/>
      <c r="B214" s="46">
        <f>'設定'!$I$21</f>
        <v/>
      </c>
      <c r="C214" s="85" t="n"/>
      <c r="D214" s="85" t="n"/>
      <c r="E214" s="85" t="n"/>
      <c r="F214" s="85" t="n"/>
      <c r="G214" s="85" t="n"/>
      <c r="H214" s="85" t="n"/>
      <c r="S214">
        <f>IF(11&lt;='設定'!$B$6,"表示","隠す")</f>
        <v/>
      </c>
    </row>
    <row r="215" hidden="1" ht="21" customHeight="1">
      <c r="A215" s="84" t="n"/>
      <c r="B215" s="46">
        <f>'設定'!$I$22</f>
        <v/>
      </c>
      <c r="C215" s="85" t="n"/>
      <c r="D215" s="85" t="n"/>
      <c r="E215" s="85" t="n"/>
      <c r="F215" s="85" t="n"/>
      <c r="G215" s="85" t="n"/>
      <c r="H215" s="85" t="n"/>
      <c r="S215">
        <f>IF(12&lt;='設定'!$B$6,"表示","隠す")</f>
        <v/>
      </c>
    </row>
    <row r="216" hidden="1" ht="21" customHeight="1">
      <c r="A216" s="84" t="n"/>
      <c r="B216" s="46">
        <f>'設定'!$I$23</f>
        <v/>
      </c>
      <c r="C216" s="85" t="n"/>
      <c r="D216" s="85" t="n"/>
      <c r="E216" s="85" t="n"/>
      <c r="F216" s="85" t="n"/>
      <c r="G216" s="85" t="n"/>
      <c r="H216" s="85" t="n"/>
      <c r="S216">
        <f>IF(13&lt;='設定'!$B$6,"表示","隠す")</f>
        <v/>
      </c>
    </row>
    <row r="217" hidden="1" ht="21" customHeight="1">
      <c r="A217" s="84" t="n"/>
      <c r="B217" s="46">
        <f>'設定'!$I$24</f>
        <v/>
      </c>
      <c r="C217" s="85" t="n"/>
      <c r="D217" s="85" t="n"/>
      <c r="E217" s="85" t="n"/>
      <c r="F217" s="85" t="n"/>
      <c r="G217" s="85" t="n"/>
      <c r="H217" s="85" t="n"/>
      <c r="S217">
        <f>IF(14&lt;='設定'!$B$6,"表示","隠す")</f>
        <v/>
      </c>
    </row>
    <row r="218" hidden="1" ht="21" customHeight="1">
      <c r="A218" s="84" t="n"/>
      <c r="B218" s="46">
        <f>'設定'!$I$25</f>
        <v/>
      </c>
      <c r="C218" s="85" t="n"/>
      <c r="D218" s="85" t="n"/>
      <c r="E218" s="85" t="n"/>
      <c r="F218" s="85" t="n"/>
      <c r="G218" s="85" t="n"/>
      <c r="H218" s="85" t="n"/>
      <c r="S218">
        <f>IF(15&lt;='設定'!$B$6,"表示","隠す")</f>
        <v/>
      </c>
    </row>
    <row r="219" hidden="1" ht="21" customHeight="1">
      <c r="A219" s="84" t="n"/>
      <c r="B219" s="46">
        <f>'設定'!$I$26</f>
        <v/>
      </c>
      <c r="C219" s="85" t="n"/>
      <c r="D219" s="85" t="n"/>
      <c r="E219" s="85" t="n"/>
      <c r="F219" s="85" t="n"/>
      <c r="G219" s="85" t="n"/>
      <c r="H219" s="85" t="n"/>
      <c r="S219">
        <f>IF(16&lt;='設定'!$B$6,"表示","隠す")</f>
        <v/>
      </c>
    </row>
    <row r="220" hidden="1" ht="21" customHeight="1">
      <c r="A220" s="84" t="n"/>
      <c r="B220" s="46">
        <f>'設定'!$I$27</f>
        <v/>
      </c>
      <c r="C220" s="85" t="n"/>
      <c r="D220" s="85" t="n"/>
      <c r="E220" s="85" t="n"/>
      <c r="F220" s="85" t="n"/>
      <c r="G220" s="85" t="n"/>
      <c r="H220" s="85" t="n"/>
      <c r="S220">
        <f>IF(17&lt;='設定'!$B$6,"表示","隠す")</f>
        <v/>
      </c>
    </row>
    <row r="221" hidden="1" ht="21" customHeight="1">
      <c r="A221" s="84" t="n"/>
      <c r="B221" s="46">
        <f>'設定'!$I$28</f>
        <v/>
      </c>
      <c r="C221" s="85" t="n"/>
      <c r="D221" s="85" t="n"/>
      <c r="E221" s="85" t="n"/>
      <c r="F221" s="85" t="n"/>
      <c r="G221" s="85" t="n"/>
      <c r="H221" s="85" t="n"/>
      <c r="S221">
        <f>IF(18&lt;='設定'!$B$6,"表示","隠す")</f>
        <v/>
      </c>
    </row>
    <row r="222" hidden="1" ht="21" customHeight="1">
      <c r="A222" s="84" t="n"/>
      <c r="B222" s="46">
        <f>'設定'!$I$29</f>
        <v/>
      </c>
      <c r="C222" s="85" t="n"/>
      <c r="D222" s="85" t="n"/>
      <c r="E222" s="85" t="n"/>
      <c r="F222" s="85" t="n"/>
      <c r="G222" s="85" t="n"/>
      <c r="H222" s="85" t="n"/>
      <c r="S222">
        <f>IF(19&lt;='設定'!$B$6,"表示","隠す")</f>
        <v/>
      </c>
    </row>
    <row r="223" hidden="1" ht="21" customHeight="1">
      <c r="A223" s="84" t="n"/>
      <c r="B223" s="46">
        <f>'設定'!$I$30</f>
        <v/>
      </c>
      <c r="C223" s="85" t="n"/>
      <c r="D223" s="85" t="n"/>
      <c r="E223" s="85" t="n"/>
      <c r="F223" s="85" t="n"/>
      <c r="G223" s="85" t="n"/>
      <c r="H223" s="85" t="n"/>
      <c r="S223">
        <f>IF(20&lt;='設定'!$B$6,"表示","隠す")</f>
        <v/>
      </c>
    </row>
    <row r="224" hidden="1" ht="21" customHeight="1">
      <c r="A224" s="84" t="n"/>
      <c r="B224" s="46">
        <f>'設定'!$I$31</f>
        <v/>
      </c>
      <c r="C224" s="85" t="n"/>
      <c r="D224" s="85" t="n"/>
      <c r="E224" s="85" t="n"/>
      <c r="F224" s="85" t="n"/>
      <c r="G224" s="85" t="n"/>
      <c r="H224" s="85" t="n"/>
      <c r="S224">
        <f>IF(21&lt;='設定'!$B$6,"表示","隠す")</f>
        <v/>
      </c>
    </row>
    <row r="225" hidden="1" ht="21" customHeight="1">
      <c r="A225" s="84" t="n"/>
      <c r="B225" s="46">
        <f>'設定'!$I$32</f>
        <v/>
      </c>
      <c r="C225" s="85" t="n"/>
      <c r="D225" s="85" t="n"/>
      <c r="E225" s="85" t="n"/>
      <c r="F225" s="85" t="n"/>
      <c r="G225" s="85" t="n"/>
      <c r="H225" s="85" t="n"/>
      <c r="S225">
        <f>IF(22&lt;='設定'!$B$6,"表示","隠す")</f>
        <v/>
      </c>
    </row>
    <row r="226" hidden="1" ht="21" customHeight="1">
      <c r="A226" s="84" t="n"/>
      <c r="B226" s="46">
        <f>'設定'!$I$33</f>
        <v/>
      </c>
      <c r="C226" s="85" t="n"/>
      <c r="D226" s="85" t="n"/>
      <c r="E226" s="85" t="n"/>
      <c r="F226" s="85" t="n"/>
      <c r="G226" s="85" t="n"/>
      <c r="H226" s="85" t="n"/>
      <c r="S226">
        <f>IF(23&lt;='設定'!$B$6,"表示","隠す")</f>
        <v/>
      </c>
    </row>
    <row r="227" hidden="1" ht="21" customHeight="1">
      <c r="A227" s="84" t="n"/>
      <c r="B227" s="46">
        <f>'設定'!$I$34</f>
        <v/>
      </c>
      <c r="C227" s="85" t="n"/>
      <c r="D227" s="85" t="n"/>
      <c r="E227" s="85" t="n"/>
      <c r="F227" s="85" t="n"/>
      <c r="G227" s="85" t="n"/>
      <c r="H227" s="85" t="n"/>
      <c r="S227">
        <f>IF(24&lt;='設定'!$B$6,"表示","隠す")</f>
        <v/>
      </c>
    </row>
    <row r="228">
      <c r="S228" t="inlineStr">
        <is>
          <t>表示</t>
        </is>
      </c>
    </row>
    <row r="229" ht="26" customHeight="1">
      <c r="B229" s="78">
        <f>IF('名簿'!B13="","（名簿 9行目：なし）",'名簿'!P13)</f>
        <v/>
      </c>
      <c r="C229" s="5" t="n"/>
      <c r="D229" s="5" t="n"/>
      <c r="E229" s="79" t="inlineStr">
        <is>
          <t>提出状況 ▶</t>
        </is>
      </c>
      <c r="F229" s="42" t="inlineStr">
        <is>
          <t>×なし（どこでもOK）</t>
        </is>
      </c>
      <c r="G229" s="33" t="n"/>
      <c r="H229" s="80" t="inlineStr">
        <is>
          <t>状況：</t>
        </is>
      </c>
      <c r="I229" s="81">
        <f>'名簿'!Q13</f>
        <v/>
      </c>
      <c r="J229" s="80" t="inlineStr">
        <is>
          <t>×の数：</t>
        </is>
      </c>
      <c r="K229" s="82">
        <f>'名簿'!R13</f>
        <v/>
      </c>
      <c r="L229" s="83">
        <f>HYPERLINK("#'×入力'!B257","次の人へ ▼")</f>
        <v/>
      </c>
      <c r="S229" t="inlineStr">
        <is>
          <t>表示</t>
        </is>
      </c>
    </row>
    <row r="230" ht="22" customHeight="1">
      <c r="A230" s="34" t="inlineStr">
        <is>
          <t>この日全部 ▶</t>
        </is>
      </c>
      <c r="C230" s="84" t="n"/>
      <c r="D230" s="84" t="n"/>
      <c r="E230" s="84" t="n"/>
      <c r="F230" s="84" t="n"/>
      <c r="G230" s="84" t="n"/>
      <c r="H230" s="84" t="n"/>
      <c r="S230" t="inlineStr">
        <is>
          <t>表示</t>
        </is>
      </c>
    </row>
    <row r="231" ht="28" customHeight="1">
      <c r="A231" s="37" t="inlineStr">
        <is>
          <t>この時間
全部 ▼</t>
        </is>
      </c>
      <c r="B231" s="38" t="inlineStr"/>
      <c r="C231" s="39">
        <f>'設定'!$E$11</f>
        <v/>
      </c>
      <c r="D231" s="39">
        <f>'設定'!$E$12</f>
        <v/>
      </c>
      <c r="E231" s="39">
        <f>'設定'!$E$13</f>
        <v/>
      </c>
      <c r="F231" s="39">
        <f>'設定'!$E$14</f>
        <v/>
      </c>
      <c r="G231" s="39">
        <f>'設定'!$E$15</f>
        <v/>
      </c>
      <c r="H231" s="39">
        <f>'設定'!$E$16</f>
        <v/>
      </c>
      <c r="S231" t="inlineStr">
        <is>
          <t>表示</t>
        </is>
      </c>
    </row>
    <row r="232" ht="21" customHeight="1">
      <c r="A232" s="84" t="n"/>
      <c r="B232" s="46">
        <f>'設定'!$I$11</f>
        <v/>
      </c>
      <c r="C232" s="85" t="n"/>
      <c r="D232" s="85" t="n"/>
      <c r="E232" s="85" t="n"/>
      <c r="F232" s="85" t="n"/>
      <c r="G232" s="85" t="n"/>
      <c r="H232" s="85" t="n"/>
      <c r="S232">
        <f>IF(1&lt;='設定'!$B$6,"表示","隠す")</f>
        <v/>
      </c>
    </row>
    <row r="233" ht="21" customHeight="1">
      <c r="A233" s="84" t="n"/>
      <c r="B233" s="46">
        <f>'設定'!$I$12</f>
        <v/>
      </c>
      <c r="C233" s="85" t="n"/>
      <c r="D233" s="85" t="n"/>
      <c r="E233" s="85" t="n"/>
      <c r="F233" s="85" t="n"/>
      <c r="G233" s="85" t="n"/>
      <c r="H233" s="85" t="n"/>
      <c r="S233">
        <f>IF(2&lt;='設定'!$B$6,"表示","隠す")</f>
        <v/>
      </c>
    </row>
    <row r="234" ht="21" customHeight="1">
      <c r="A234" s="84" t="n"/>
      <c r="B234" s="46">
        <f>'設定'!$I$13</f>
        <v/>
      </c>
      <c r="C234" s="85" t="n"/>
      <c r="D234" s="85" t="n"/>
      <c r="E234" s="85" t="n"/>
      <c r="F234" s="85" t="n"/>
      <c r="G234" s="85" t="n"/>
      <c r="H234" s="85" t="n"/>
      <c r="S234">
        <f>IF(3&lt;='設定'!$B$6,"表示","隠す")</f>
        <v/>
      </c>
    </row>
    <row r="235" ht="21" customHeight="1">
      <c r="A235" s="84" t="n"/>
      <c r="B235" s="46">
        <f>'設定'!$I$14</f>
        <v/>
      </c>
      <c r="C235" s="85" t="n"/>
      <c r="D235" s="85" t="n"/>
      <c r="E235" s="85" t="n"/>
      <c r="F235" s="85" t="n"/>
      <c r="G235" s="85" t="n"/>
      <c r="H235" s="85" t="n"/>
      <c r="S235">
        <f>IF(4&lt;='設定'!$B$6,"表示","隠す")</f>
        <v/>
      </c>
    </row>
    <row r="236" ht="21" customHeight="1">
      <c r="A236" s="84" t="n"/>
      <c r="B236" s="46">
        <f>'設定'!$I$15</f>
        <v/>
      </c>
      <c r="C236" s="85" t="n"/>
      <c r="D236" s="85" t="n"/>
      <c r="E236" s="85" t="n"/>
      <c r="F236" s="85" t="n"/>
      <c r="G236" s="85" t="n"/>
      <c r="H236" s="85" t="n"/>
      <c r="S236">
        <f>IF(5&lt;='設定'!$B$6,"表示","隠す")</f>
        <v/>
      </c>
    </row>
    <row r="237" ht="21" customHeight="1">
      <c r="A237" s="84" t="n"/>
      <c r="B237" s="46">
        <f>'設定'!$I$16</f>
        <v/>
      </c>
      <c r="C237" s="85" t="n"/>
      <c r="D237" s="85" t="n"/>
      <c r="E237" s="85" t="n"/>
      <c r="F237" s="85" t="n"/>
      <c r="G237" s="85" t="n"/>
      <c r="H237" s="85" t="n"/>
      <c r="S237">
        <f>IF(6&lt;='設定'!$B$6,"表示","隠す")</f>
        <v/>
      </c>
    </row>
    <row r="238" ht="21" customHeight="1">
      <c r="A238" s="84" t="n"/>
      <c r="B238" s="46">
        <f>'設定'!$I$17</f>
        <v/>
      </c>
      <c r="C238" s="85" t="n"/>
      <c r="D238" s="85" t="n"/>
      <c r="E238" s="85" t="n"/>
      <c r="F238" s="85" t="n"/>
      <c r="G238" s="85" t="n"/>
      <c r="H238" s="85" t="n"/>
      <c r="S238">
        <f>IF(7&lt;='設定'!$B$6,"表示","隠す")</f>
        <v/>
      </c>
    </row>
    <row r="239" ht="21" customHeight="1">
      <c r="A239" s="84" t="n"/>
      <c r="B239" s="46">
        <f>'設定'!$I$18</f>
        <v/>
      </c>
      <c r="C239" s="85" t="n"/>
      <c r="D239" s="85" t="n"/>
      <c r="E239" s="85" t="n"/>
      <c r="F239" s="85" t="n"/>
      <c r="G239" s="85" t="n"/>
      <c r="H239" s="85" t="n"/>
      <c r="S239">
        <f>IF(8&lt;='設定'!$B$6,"表示","隠す")</f>
        <v/>
      </c>
    </row>
    <row r="240" ht="21" customHeight="1">
      <c r="A240" s="84" t="n"/>
      <c r="B240" s="46">
        <f>'設定'!$I$19</f>
        <v/>
      </c>
      <c r="C240" s="85" t="n"/>
      <c r="D240" s="85" t="n"/>
      <c r="E240" s="85" t="n"/>
      <c r="F240" s="85" t="n"/>
      <c r="G240" s="85" t="n"/>
      <c r="H240" s="85" t="n"/>
      <c r="S240">
        <f>IF(9&lt;='設定'!$B$6,"表示","隠す")</f>
        <v/>
      </c>
    </row>
    <row r="241" hidden="1" ht="21" customHeight="1">
      <c r="A241" s="84" t="n"/>
      <c r="B241" s="46">
        <f>'設定'!$I$20</f>
        <v/>
      </c>
      <c r="C241" s="85" t="n"/>
      <c r="D241" s="85" t="n"/>
      <c r="E241" s="85" t="n"/>
      <c r="F241" s="85" t="n"/>
      <c r="G241" s="85" t="n"/>
      <c r="H241" s="85" t="n"/>
      <c r="S241">
        <f>IF(10&lt;='設定'!$B$6,"表示","隠す")</f>
        <v/>
      </c>
    </row>
    <row r="242" hidden="1" ht="21" customHeight="1">
      <c r="A242" s="84" t="n"/>
      <c r="B242" s="46">
        <f>'設定'!$I$21</f>
        <v/>
      </c>
      <c r="C242" s="85" t="n"/>
      <c r="D242" s="85" t="n"/>
      <c r="E242" s="85" t="n"/>
      <c r="F242" s="85" t="n"/>
      <c r="G242" s="85" t="n"/>
      <c r="H242" s="85" t="n"/>
      <c r="S242">
        <f>IF(11&lt;='設定'!$B$6,"表示","隠す")</f>
        <v/>
      </c>
    </row>
    <row r="243" hidden="1" ht="21" customHeight="1">
      <c r="A243" s="84" t="n"/>
      <c r="B243" s="46">
        <f>'設定'!$I$22</f>
        <v/>
      </c>
      <c r="C243" s="85" t="n"/>
      <c r="D243" s="85" t="n"/>
      <c r="E243" s="85" t="n"/>
      <c r="F243" s="85" t="n"/>
      <c r="G243" s="85" t="n"/>
      <c r="H243" s="85" t="n"/>
      <c r="S243">
        <f>IF(12&lt;='設定'!$B$6,"表示","隠す")</f>
        <v/>
      </c>
    </row>
    <row r="244" hidden="1" ht="21" customHeight="1">
      <c r="A244" s="84" t="n"/>
      <c r="B244" s="46">
        <f>'設定'!$I$23</f>
        <v/>
      </c>
      <c r="C244" s="85" t="n"/>
      <c r="D244" s="85" t="n"/>
      <c r="E244" s="85" t="n"/>
      <c r="F244" s="85" t="n"/>
      <c r="G244" s="85" t="n"/>
      <c r="H244" s="85" t="n"/>
      <c r="S244">
        <f>IF(13&lt;='設定'!$B$6,"表示","隠す")</f>
        <v/>
      </c>
    </row>
    <row r="245" hidden="1" ht="21" customHeight="1">
      <c r="A245" s="84" t="n"/>
      <c r="B245" s="46">
        <f>'設定'!$I$24</f>
        <v/>
      </c>
      <c r="C245" s="85" t="n"/>
      <c r="D245" s="85" t="n"/>
      <c r="E245" s="85" t="n"/>
      <c r="F245" s="85" t="n"/>
      <c r="G245" s="85" t="n"/>
      <c r="H245" s="85" t="n"/>
      <c r="S245">
        <f>IF(14&lt;='設定'!$B$6,"表示","隠す")</f>
        <v/>
      </c>
    </row>
    <row r="246" hidden="1" ht="21" customHeight="1">
      <c r="A246" s="84" t="n"/>
      <c r="B246" s="46">
        <f>'設定'!$I$25</f>
        <v/>
      </c>
      <c r="C246" s="85" t="n"/>
      <c r="D246" s="85" t="n"/>
      <c r="E246" s="85" t="n"/>
      <c r="F246" s="85" t="n"/>
      <c r="G246" s="85" t="n"/>
      <c r="H246" s="85" t="n"/>
      <c r="S246">
        <f>IF(15&lt;='設定'!$B$6,"表示","隠す")</f>
        <v/>
      </c>
    </row>
    <row r="247" hidden="1" ht="21" customHeight="1">
      <c r="A247" s="84" t="n"/>
      <c r="B247" s="46">
        <f>'設定'!$I$26</f>
        <v/>
      </c>
      <c r="C247" s="85" t="n"/>
      <c r="D247" s="85" t="n"/>
      <c r="E247" s="85" t="n"/>
      <c r="F247" s="85" t="n"/>
      <c r="G247" s="85" t="n"/>
      <c r="H247" s="85" t="n"/>
      <c r="S247">
        <f>IF(16&lt;='設定'!$B$6,"表示","隠す")</f>
        <v/>
      </c>
    </row>
    <row r="248" hidden="1" ht="21" customHeight="1">
      <c r="A248" s="84" t="n"/>
      <c r="B248" s="46">
        <f>'設定'!$I$27</f>
        <v/>
      </c>
      <c r="C248" s="85" t="n"/>
      <c r="D248" s="85" t="n"/>
      <c r="E248" s="85" t="n"/>
      <c r="F248" s="85" t="n"/>
      <c r="G248" s="85" t="n"/>
      <c r="H248" s="85" t="n"/>
      <c r="S248">
        <f>IF(17&lt;='設定'!$B$6,"表示","隠す")</f>
        <v/>
      </c>
    </row>
    <row r="249" hidden="1" ht="21" customHeight="1">
      <c r="A249" s="84" t="n"/>
      <c r="B249" s="46">
        <f>'設定'!$I$28</f>
        <v/>
      </c>
      <c r="C249" s="85" t="n"/>
      <c r="D249" s="85" t="n"/>
      <c r="E249" s="85" t="n"/>
      <c r="F249" s="85" t="n"/>
      <c r="G249" s="85" t="n"/>
      <c r="H249" s="85" t="n"/>
      <c r="S249">
        <f>IF(18&lt;='設定'!$B$6,"表示","隠す")</f>
        <v/>
      </c>
    </row>
    <row r="250" hidden="1" ht="21" customHeight="1">
      <c r="A250" s="84" t="n"/>
      <c r="B250" s="46">
        <f>'設定'!$I$29</f>
        <v/>
      </c>
      <c r="C250" s="85" t="n"/>
      <c r="D250" s="85" t="n"/>
      <c r="E250" s="85" t="n"/>
      <c r="F250" s="85" t="n"/>
      <c r="G250" s="85" t="n"/>
      <c r="H250" s="85" t="n"/>
      <c r="S250">
        <f>IF(19&lt;='設定'!$B$6,"表示","隠す")</f>
        <v/>
      </c>
    </row>
    <row r="251" hidden="1" ht="21" customHeight="1">
      <c r="A251" s="84" t="n"/>
      <c r="B251" s="46">
        <f>'設定'!$I$30</f>
        <v/>
      </c>
      <c r="C251" s="85" t="n"/>
      <c r="D251" s="85" t="n"/>
      <c r="E251" s="85" t="n"/>
      <c r="F251" s="85" t="n"/>
      <c r="G251" s="85" t="n"/>
      <c r="H251" s="85" t="n"/>
      <c r="S251">
        <f>IF(20&lt;='設定'!$B$6,"表示","隠す")</f>
        <v/>
      </c>
    </row>
    <row r="252" hidden="1" ht="21" customHeight="1">
      <c r="A252" s="84" t="n"/>
      <c r="B252" s="46">
        <f>'設定'!$I$31</f>
        <v/>
      </c>
      <c r="C252" s="85" t="n"/>
      <c r="D252" s="85" t="n"/>
      <c r="E252" s="85" t="n"/>
      <c r="F252" s="85" t="n"/>
      <c r="G252" s="85" t="n"/>
      <c r="H252" s="85" t="n"/>
      <c r="S252">
        <f>IF(21&lt;='設定'!$B$6,"表示","隠す")</f>
        <v/>
      </c>
    </row>
    <row r="253" hidden="1" ht="21" customHeight="1">
      <c r="A253" s="84" t="n"/>
      <c r="B253" s="46">
        <f>'設定'!$I$32</f>
        <v/>
      </c>
      <c r="C253" s="85" t="n"/>
      <c r="D253" s="85" t="n"/>
      <c r="E253" s="85" t="n"/>
      <c r="F253" s="85" t="n"/>
      <c r="G253" s="85" t="n"/>
      <c r="H253" s="85" t="n"/>
      <c r="S253">
        <f>IF(22&lt;='設定'!$B$6,"表示","隠す")</f>
        <v/>
      </c>
    </row>
    <row r="254" hidden="1" ht="21" customHeight="1">
      <c r="A254" s="84" t="n"/>
      <c r="B254" s="46">
        <f>'設定'!$I$33</f>
        <v/>
      </c>
      <c r="C254" s="85" t="n"/>
      <c r="D254" s="85" t="n"/>
      <c r="E254" s="85" t="n"/>
      <c r="F254" s="85" t="n"/>
      <c r="G254" s="85" t="n"/>
      <c r="H254" s="85" t="n"/>
      <c r="S254">
        <f>IF(23&lt;='設定'!$B$6,"表示","隠す")</f>
        <v/>
      </c>
    </row>
    <row r="255" hidden="1" ht="21" customHeight="1">
      <c r="A255" s="84" t="n"/>
      <c r="B255" s="46">
        <f>'設定'!$I$34</f>
        <v/>
      </c>
      <c r="C255" s="85" t="n"/>
      <c r="D255" s="85" t="n"/>
      <c r="E255" s="85" t="n"/>
      <c r="F255" s="85" t="n"/>
      <c r="G255" s="85" t="n"/>
      <c r="H255" s="85" t="n"/>
      <c r="S255">
        <f>IF(24&lt;='設定'!$B$6,"表示","隠す")</f>
        <v/>
      </c>
    </row>
    <row r="256">
      <c r="S256" t="inlineStr">
        <is>
          <t>表示</t>
        </is>
      </c>
    </row>
    <row r="257" ht="26" customHeight="1">
      <c r="B257" s="78">
        <f>IF('名簿'!B14="","（名簿 10行目：なし）",'名簿'!P14)</f>
        <v/>
      </c>
      <c r="C257" s="5" t="n"/>
      <c r="D257" s="5" t="n"/>
      <c r="E257" s="79" t="inlineStr">
        <is>
          <t>提出状況 ▶</t>
        </is>
      </c>
      <c r="F257" s="42" t="n"/>
      <c r="G257" s="33" t="n"/>
      <c r="H257" s="80" t="inlineStr">
        <is>
          <t>状況：</t>
        </is>
      </c>
      <c r="I257" s="81">
        <f>'名簿'!Q14</f>
        <v/>
      </c>
      <c r="J257" s="80" t="inlineStr">
        <is>
          <t>×の数：</t>
        </is>
      </c>
      <c r="K257" s="82">
        <f>'名簿'!R14</f>
        <v/>
      </c>
      <c r="L257" s="83">
        <f>HYPERLINK("#'×入力'!B285","次の人へ ▼")</f>
        <v/>
      </c>
      <c r="S257" t="inlineStr">
        <is>
          <t>表示</t>
        </is>
      </c>
    </row>
    <row r="258" ht="22" customHeight="1">
      <c r="A258" s="34" t="inlineStr">
        <is>
          <t>この日全部 ▶</t>
        </is>
      </c>
      <c r="C258" s="84" t="n"/>
      <c r="D258" s="84" t="n"/>
      <c r="E258" s="84" t="n"/>
      <c r="F258" s="84" t="n"/>
      <c r="G258" s="84" t="n"/>
      <c r="H258" s="84" t="n"/>
      <c r="S258" t="inlineStr">
        <is>
          <t>表示</t>
        </is>
      </c>
    </row>
    <row r="259" ht="28" customHeight="1">
      <c r="A259" s="37" t="inlineStr">
        <is>
          <t>この時間
全部 ▼</t>
        </is>
      </c>
      <c r="B259" s="38" t="inlineStr"/>
      <c r="C259" s="39">
        <f>'設定'!$E$11</f>
        <v/>
      </c>
      <c r="D259" s="39">
        <f>'設定'!$E$12</f>
        <v/>
      </c>
      <c r="E259" s="39">
        <f>'設定'!$E$13</f>
        <v/>
      </c>
      <c r="F259" s="39">
        <f>'設定'!$E$14</f>
        <v/>
      </c>
      <c r="G259" s="39">
        <f>'設定'!$E$15</f>
        <v/>
      </c>
      <c r="H259" s="39">
        <f>'設定'!$E$16</f>
        <v/>
      </c>
      <c r="S259" t="inlineStr">
        <is>
          <t>表示</t>
        </is>
      </c>
    </row>
    <row r="260" ht="21" customHeight="1">
      <c r="A260" s="84" t="n"/>
      <c r="B260" s="46">
        <f>'設定'!$I$11</f>
        <v/>
      </c>
      <c r="C260" s="85" t="n"/>
      <c r="D260" s="85" t="n"/>
      <c r="E260" s="85" t="inlineStr">
        <is>
          <t>×</t>
        </is>
      </c>
      <c r="F260" s="85" t="n"/>
      <c r="G260" s="85" t="n"/>
      <c r="H260" s="85" t="n"/>
      <c r="S260">
        <f>IF(1&lt;='設定'!$B$6,"表示","隠す")</f>
        <v/>
      </c>
    </row>
    <row r="261" ht="21" customHeight="1">
      <c r="A261" s="84" t="n"/>
      <c r="B261" s="46">
        <f>'設定'!$I$12</f>
        <v/>
      </c>
      <c r="C261" s="85" t="inlineStr">
        <is>
          <t>×</t>
        </is>
      </c>
      <c r="D261" s="85" t="n"/>
      <c r="E261" s="85" t="inlineStr">
        <is>
          <t>×</t>
        </is>
      </c>
      <c r="F261" s="85" t="inlineStr">
        <is>
          <t>×</t>
        </is>
      </c>
      <c r="G261" s="85" t="n"/>
      <c r="H261" s="85" t="n"/>
      <c r="S261">
        <f>IF(2&lt;='設定'!$B$6,"表示","隠す")</f>
        <v/>
      </c>
    </row>
    <row r="262" ht="21" customHeight="1">
      <c r="A262" s="84" t="n"/>
      <c r="B262" s="46">
        <f>'設定'!$I$13</f>
        <v/>
      </c>
      <c r="C262" s="85" t="n"/>
      <c r="D262" s="85" t="n"/>
      <c r="E262" s="85" t="n"/>
      <c r="F262" s="85" t="n"/>
      <c r="G262" s="85" t="n"/>
      <c r="H262" s="85" t="n"/>
      <c r="S262">
        <f>IF(3&lt;='設定'!$B$6,"表示","隠す")</f>
        <v/>
      </c>
    </row>
    <row r="263" ht="21" customHeight="1">
      <c r="A263" s="84" t="n"/>
      <c r="B263" s="46">
        <f>'設定'!$I$14</f>
        <v/>
      </c>
      <c r="C263" s="85" t="n"/>
      <c r="D263" s="85" t="n"/>
      <c r="E263" s="85" t="n"/>
      <c r="F263" s="85" t="n"/>
      <c r="G263" s="85" t="n"/>
      <c r="H263" s="85" t="n"/>
      <c r="S263">
        <f>IF(4&lt;='設定'!$B$6,"表示","隠す")</f>
        <v/>
      </c>
    </row>
    <row r="264" ht="21" customHeight="1">
      <c r="A264" s="84" t="n"/>
      <c r="B264" s="46">
        <f>'設定'!$I$15</f>
        <v/>
      </c>
      <c r="C264" s="85" t="n"/>
      <c r="D264" s="85" t="n"/>
      <c r="E264" s="85" t="n"/>
      <c r="F264" s="85" t="n"/>
      <c r="G264" s="85" t="n"/>
      <c r="H264" s="85" t="n"/>
      <c r="S264">
        <f>IF(5&lt;='設定'!$B$6,"表示","隠す")</f>
        <v/>
      </c>
    </row>
    <row r="265" ht="21" customHeight="1">
      <c r="A265" s="84" t="n"/>
      <c r="B265" s="46">
        <f>'設定'!$I$16</f>
        <v/>
      </c>
      <c r="C265" s="85" t="inlineStr">
        <is>
          <t>×</t>
        </is>
      </c>
      <c r="D265" s="85" t="n"/>
      <c r="E265" s="85" t="n"/>
      <c r="F265" s="85" t="inlineStr">
        <is>
          <t>×</t>
        </is>
      </c>
      <c r="G265" s="85" t="n"/>
      <c r="H265" s="85" t="n"/>
      <c r="S265">
        <f>IF(6&lt;='設定'!$B$6,"表示","隠す")</f>
        <v/>
      </c>
    </row>
    <row r="266" ht="21" customHeight="1">
      <c r="A266" s="84" t="n"/>
      <c r="B266" s="46">
        <f>'設定'!$I$17</f>
        <v/>
      </c>
      <c r="C266" s="85" t="n"/>
      <c r="D266" s="85" t="inlineStr">
        <is>
          <t>×</t>
        </is>
      </c>
      <c r="E266" s="85" t="n"/>
      <c r="F266" s="85" t="inlineStr">
        <is>
          <t>×</t>
        </is>
      </c>
      <c r="G266" s="85" t="n"/>
      <c r="H266" s="85" t="n"/>
      <c r="S266">
        <f>IF(7&lt;='設定'!$B$6,"表示","隠す")</f>
        <v/>
      </c>
    </row>
    <row r="267" ht="21" customHeight="1">
      <c r="A267" s="84" t="n"/>
      <c r="B267" s="46">
        <f>'設定'!$I$18</f>
        <v/>
      </c>
      <c r="C267" s="85" t="n"/>
      <c r="D267" s="85" t="n"/>
      <c r="E267" s="85" t="inlineStr">
        <is>
          <t>×</t>
        </is>
      </c>
      <c r="F267" s="85" t="n"/>
      <c r="G267" s="85" t="n"/>
      <c r="H267" s="85" t="n"/>
      <c r="S267">
        <f>IF(8&lt;='設定'!$B$6,"表示","隠す")</f>
        <v/>
      </c>
    </row>
    <row r="268" ht="21" customHeight="1">
      <c r="A268" s="84" t="n"/>
      <c r="B268" s="46">
        <f>'設定'!$I$19</f>
        <v/>
      </c>
      <c r="C268" s="85" t="inlineStr">
        <is>
          <t>×</t>
        </is>
      </c>
      <c r="D268" s="85" t="inlineStr">
        <is>
          <t>×</t>
        </is>
      </c>
      <c r="E268" s="85" t="inlineStr">
        <is>
          <t>×</t>
        </is>
      </c>
      <c r="F268" s="85" t="n"/>
      <c r="G268" s="85" t="n"/>
      <c r="H268" s="85" t="n"/>
      <c r="S268">
        <f>IF(9&lt;='設定'!$B$6,"表示","隠す")</f>
        <v/>
      </c>
    </row>
    <row r="269" hidden="1" ht="21" customHeight="1">
      <c r="A269" s="84" t="n"/>
      <c r="B269" s="46">
        <f>'設定'!$I$20</f>
        <v/>
      </c>
      <c r="C269" s="85" t="n"/>
      <c r="D269" s="85" t="n"/>
      <c r="E269" s="85" t="n"/>
      <c r="F269" s="85" t="n"/>
      <c r="G269" s="85" t="n"/>
      <c r="H269" s="85" t="n"/>
      <c r="S269">
        <f>IF(10&lt;='設定'!$B$6,"表示","隠す")</f>
        <v/>
      </c>
    </row>
    <row r="270" hidden="1" ht="21" customHeight="1">
      <c r="A270" s="84" t="n"/>
      <c r="B270" s="46">
        <f>'設定'!$I$21</f>
        <v/>
      </c>
      <c r="C270" s="85" t="n"/>
      <c r="D270" s="85" t="n"/>
      <c r="E270" s="85" t="n"/>
      <c r="F270" s="85" t="n"/>
      <c r="G270" s="85" t="n"/>
      <c r="H270" s="85" t="n"/>
      <c r="S270">
        <f>IF(11&lt;='設定'!$B$6,"表示","隠す")</f>
        <v/>
      </c>
    </row>
    <row r="271" hidden="1" ht="21" customHeight="1">
      <c r="A271" s="84" t="n"/>
      <c r="B271" s="46">
        <f>'設定'!$I$22</f>
        <v/>
      </c>
      <c r="C271" s="85" t="n"/>
      <c r="D271" s="85" t="n"/>
      <c r="E271" s="85" t="n"/>
      <c r="F271" s="85" t="n"/>
      <c r="G271" s="85" t="n"/>
      <c r="H271" s="85" t="n"/>
      <c r="S271">
        <f>IF(12&lt;='設定'!$B$6,"表示","隠す")</f>
        <v/>
      </c>
    </row>
    <row r="272" hidden="1" ht="21" customHeight="1">
      <c r="A272" s="84" t="n"/>
      <c r="B272" s="46">
        <f>'設定'!$I$23</f>
        <v/>
      </c>
      <c r="C272" s="85" t="n"/>
      <c r="D272" s="85" t="n"/>
      <c r="E272" s="85" t="n"/>
      <c r="F272" s="85" t="n"/>
      <c r="G272" s="85" t="n"/>
      <c r="H272" s="85" t="n"/>
      <c r="S272">
        <f>IF(13&lt;='設定'!$B$6,"表示","隠す")</f>
        <v/>
      </c>
    </row>
    <row r="273" hidden="1" ht="21" customHeight="1">
      <c r="A273" s="84" t="n"/>
      <c r="B273" s="46">
        <f>'設定'!$I$24</f>
        <v/>
      </c>
      <c r="C273" s="85" t="n"/>
      <c r="D273" s="85" t="n"/>
      <c r="E273" s="85" t="n"/>
      <c r="F273" s="85" t="n"/>
      <c r="G273" s="85" t="n"/>
      <c r="H273" s="85" t="n"/>
      <c r="S273">
        <f>IF(14&lt;='設定'!$B$6,"表示","隠す")</f>
        <v/>
      </c>
    </row>
    <row r="274" hidden="1" ht="21" customHeight="1">
      <c r="A274" s="84" t="n"/>
      <c r="B274" s="46">
        <f>'設定'!$I$25</f>
        <v/>
      </c>
      <c r="C274" s="85" t="n"/>
      <c r="D274" s="85" t="n"/>
      <c r="E274" s="85" t="n"/>
      <c r="F274" s="85" t="n"/>
      <c r="G274" s="85" t="n"/>
      <c r="H274" s="85" t="n"/>
      <c r="S274">
        <f>IF(15&lt;='設定'!$B$6,"表示","隠す")</f>
        <v/>
      </c>
    </row>
    <row r="275" hidden="1" ht="21" customHeight="1">
      <c r="A275" s="84" t="n"/>
      <c r="B275" s="46">
        <f>'設定'!$I$26</f>
        <v/>
      </c>
      <c r="C275" s="85" t="n"/>
      <c r="D275" s="85" t="n"/>
      <c r="E275" s="85" t="n"/>
      <c r="F275" s="85" t="n"/>
      <c r="G275" s="85" t="n"/>
      <c r="H275" s="85" t="n"/>
      <c r="S275">
        <f>IF(16&lt;='設定'!$B$6,"表示","隠す")</f>
        <v/>
      </c>
    </row>
    <row r="276" hidden="1" ht="21" customHeight="1">
      <c r="A276" s="84" t="n"/>
      <c r="B276" s="46">
        <f>'設定'!$I$27</f>
        <v/>
      </c>
      <c r="C276" s="85" t="n"/>
      <c r="D276" s="85" t="n"/>
      <c r="E276" s="85" t="n"/>
      <c r="F276" s="85" t="n"/>
      <c r="G276" s="85" t="n"/>
      <c r="H276" s="85" t="n"/>
      <c r="S276">
        <f>IF(17&lt;='設定'!$B$6,"表示","隠す")</f>
        <v/>
      </c>
    </row>
    <row r="277" hidden="1" ht="21" customHeight="1">
      <c r="A277" s="84" t="n"/>
      <c r="B277" s="46">
        <f>'設定'!$I$28</f>
        <v/>
      </c>
      <c r="C277" s="85" t="n"/>
      <c r="D277" s="85" t="n"/>
      <c r="E277" s="85" t="n"/>
      <c r="F277" s="85" t="n"/>
      <c r="G277" s="85" t="n"/>
      <c r="H277" s="85" t="n"/>
      <c r="S277">
        <f>IF(18&lt;='設定'!$B$6,"表示","隠す")</f>
        <v/>
      </c>
    </row>
    <row r="278" hidden="1" ht="21" customHeight="1">
      <c r="A278" s="84" t="n"/>
      <c r="B278" s="46">
        <f>'設定'!$I$29</f>
        <v/>
      </c>
      <c r="C278" s="85" t="n"/>
      <c r="D278" s="85" t="n"/>
      <c r="E278" s="85" t="n"/>
      <c r="F278" s="85" t="n"/>
      <c r="G278" s="85" t="n"/>
      <c r="H278" s="85" t="n"/>
      <c r="S278">
        <f>IF(19&lt;='設定'!$B$6,"表示","隠す")</f>
        <v/>
      </c>
    </row>
    <row r="279" hidden="1" ht="21" customHeight="1">
      <c r="A279" s="84" t="n"/>
      <c r="B279" s="46">
        <f>'設定'!$I$30</f>
        <v/>
      </c>
      <c r="C279" s="85" t="n"/>
      <c r="D279" s="85" t="n"/>
      <c r="E279" s="85" t="n"/>
      <c r="F279" s="85" t="n"/>
      <c r="G279" s="85" t="n"/>
      <c r="H279" s="85" t="n"/>
      <c r="S279">
        <f>IF(20&lt;='設定'!$B$6,"表示","隠す")</f>
        <v/>
      </c>
    </row>
    <row r="280" hidden="1" ht="21" customHeight="1">
      <c r="A280" s="84" t="n"/>
      <c r="B280" s="46">
        <f>'設定'!$I$31</f>
        <v/>
      </c>
      <c r="C280" s="85" t="n"/>
      <c r="D280" s="85" t="n"/>
      <c r="E280" s="85" t="n"/>
      <c r="F280" s="85" t="n"/>
      <c r="G280" s="85" t="n"/>
      <c r="H280" s="85" t="n"/>
      <c r="S280">
        <f>IF(21&lt;='設定'!$B$6,"表示","隠す")</f>
        <v/>
      </c>
    </row>
    <row r="281" hidden="1" ht="21" customHeight="1">
      <c r="A281" s="84" t="n"/>
      <c r="B281" s="46">
        <f>'設定'!$I$32</f>
        <v/>
      </c>
      <c r="C281" s="85" t="n"/>
      <c r="D281" s="85" t="n"/>
      <c r="E281" s="85" t="n"/>
      <c r="F281" s="85" t="n"/>
      <c r="G281" s="85" t="n"/>
      <c r="H281" s="85" t="n"/>
      <c r="S281">
        <f>IF(22&lt;='設定'!$B$6,"表示","隠す")</f>
        <v/>
      </c>
    </row>
    <row r="282" hidden="1" ht="21" customHeight="1">
      <c r="A282" s="84" t="n"/>
      <c r="B282" s="46">
        <f>'設定'!$I$33</f>
        <v/>
      </c>
      <c r="C282" s="85" t="n"/>
      <c r="D282" s="85" t="n"/>
      <c r="E282" s="85" t="n"/>
      <c r="F282" s="85" t="n"/>
      <c r="G282" s="85" t="n"/>
      <c r="H282" s="85" t="n"/>
      <c r="S282">
        <f>IF(23&lt;='設定'!$B$6,"表示","隠す")</f>
        <v/>
      </c>
    </row>
    <row r="283" hidden="1" ht="21" customHeight="1">
      <c r="A283" s="84" t="n"/>
      <c r="B283" s="46">
        <f>'設定'!$I$34</f>
        <v/>
      </c>
      <c r="C283" s="85" t="n"/>
      <c r="D283" s="85" t="n"/>
      <c r="E283" s="85" t="n"/>
      <c r="F283" s="85" t="n"/>
      <c r="G283" s="85" t="n"/>
      <c r="H283" s="85" t="n"/>
      <c r="S283">
        <f>IF(24&lt;='設定'!$B$6,"表示","隠す")</f>
        <v/>
      </c>
    </row>
    <row r="284">
      <c r="S284" t="inlineStr">
        <is>
          <t>表示</t>
        </is>
      </c>
    </row>
    <row r="285" ht="26" customHeight="1">
      <c r="B285" s="78">
        <f>IF('名簿'!B15="","（名簿 11行目：なし）",'名簿'!P15)</f>
        <v/>
      </c>
      <c r="C285" s="5" t="n"/>
      <c r="D285" s="5" t="n"/>
      <c r="E285" s="79" t="inlineStr">
        <is>
          <t>提出状況 ▶</t>
        </is>
      </c>
      <c r="F285" s="42" t="n"/>
      <c r="G285" s="33" t="n"/>
      <c r="H285" s="80" t="inlineStr">
        <is>
          <t>状況：</t>
        </is>
      </c>
      <c r="I285" s="81">
        <f>'名簿'!Q15</f>
        <v/>
      </c>
      <c r="J285" s="80" t="inlineStr">
        <is>
          <t>×の数：</t>
        </is>
      </c>
      <c r="K285" s="82">
        <f>'名簿'!R15</f>
        <v/>
      </c>
      <c r="L285" s="83">
        <f>HYPERLINK("#'×入力'!B313","次の人へ ▼")</f>
        <v/>
      </c>
      <c r="S285" t="inlineStr">
        <is>
          <t>表示</t>
        </is>
      </c>
    </row>
    <row r="286" ht="22" customHeight="1">
      <c r="A286" s="34" t="inlineStr">
        <is>
          <t>この日全部 ▶</t>
        </is>
      </c>
      <c r="C286" s="84" t="n"/>
      <c r="D286" s="84" t="n"/>
      <c r="E286" s="84" t="n"/>
      <c r="F286" s="84" t="n"/>
      <c r="G286" s="84" t="n"/>
      <c r="H286" s="84" t="n"/>
      <c r="S286" t="inlineStr">
        <is>
          <t>表示</t>
        </is>
      </c>
    </row>
    <row r="287" ht="28" customHeight="1">
      <c r="A287" s="37" t="inlineStr">
        <is>
          <t>この時間
全部 ▼</t>
        </is>
      </c>
      <c r="B287" s="38" t="inlineStr"/>
      <c r="C287" s="39">
        <f>'設定'!$E$11</f>
        <v/>
      </c>
      <c r="D287" s="39">
        <f>'設定'!$E$12</f>
        <v/>
      </c>
      <c r="E287" s="39">
        <f>'設定'!$E$13</f>
        <v/>
      </c>
      <c r="F287" s="39">
        <f>'設定'!$E$14</f>
        <v/>
      </c>
      <c r="G287" s="39">
        <f>'設定'!$E$15</f>
        <v/>
      </c>
      <c r="H287" s="39">
        <f>'設定'!$E$16</f>
        <v/>
      </c>
      <c r="S287" t="inlineStr">
        <is>
          <t>表示</t>
        </is>
      </c>
    </row>
    <row r="288" ht="21" customHeight="1">
      <c r="A288" s="84" t="n"/>
      <c r="B288" s="46">
        <f>'設定'!$I$11</f>
        <v/>
      </c>
      <c r="C288" s="85" t="inlineStr">
        <is>
          <t>×</t>
        </is>
      </c>
      <c r="D288" s="85" t="inlineStr">
        <is>
          <t>×</t>
        </is>
      </c>
      <c r="E288" s="85" t="inlineStr">
        <is>
          <t>×</t>
        </is>
      </c>
      <c r="F288" s="85" t="inlineStr">
        <is>
          <t>×</t>
        </is>
      </c>
      <c r="G288" s="85" t="inlineStr">
        <is>
          <t>×</t>
        </is>
      </c>
      <c r="H288" s="85" t="n"/>
      <c r="S288">
        <f>IF(1&lt;='設定'!$B$6,"表示","隠す")</f>
        <v/>
      </c>
    </row>
    <row r="289" ht="21" customHeight="1">
      <c r="A289" s="84" t="n"/>
      <c r="B289" s="46">
        <f>'設定'!$I$12</f>
        <v/>
      </c>
      <c r="C289" s="85" t="inlineStr">
        <is>
          <t>×</t>
        </is>
      </c>
      <c r="D289" s="85" t="inlineStr">
        <is>
          <t>×</t>
        </is>
      </c>
      <c r="E289" s="85" t="inlineStr">
        <is>
          <t>×</t>
        </is>
      </c>
      <c r="F289" s="85" t="inlineStr">
        <is>
          <t>×</t>
        </is>
      </c>
      <c r="G289" s="85" t="inlineStr">
        <is>
          <t>×</t>
        </is>
      </c>
      <c r="H289" s="85" t="n"/>
      <c r="S289">
        <f>IF(2&lt;='設定'!$B$6,"表示","隠す")</f>
        <v/>
      </c>
    </row>
    <row r="290" ht="21" customHeight="1">
      <c r="A290" s="84" t="n"/>
      <c r="B290" s="46">
        <f>'設定'!$I$13</f>
        <v/>
      </c>
      <c r="C290" s="85" t="inlineStr">
        <is>
          <t>×</t>
        </is>
      </c>
      <c r="D290" s="85" t="inlineStr">
        <is>
          <t>×</t>
        </is>
      </c>
      <c r="E290" s="85" t="inlineStr">
        <is>
          <t>×</t>
        </is>
      </c>
      <c r="F290" s="85" t="inlineStr">
        <is>
          <t>×</t>
        </is>
      </c>
      <c r="G290" s="85" t="inlineStr">
        <is>
          <t>×</t>
        </is>
      </c>
      <c r="H290" s="85" t="n"/>
      <c r="S290">
        <f>IF(3&lt;='設定'!$B$6,"表示","隠す")</f>
        <v/>
      </c>
    </row>
    <row r="291" ht="21" customHeight="1">
      <c r="A291" s="84" t="n"/>
      <c r="B291" s="46">
        <f>'設定'!$I$14</f>
        <v/>
      </c>
      <c r="C291" s="85" t="inlineStr">
        <is>
          <t>×</t>
        </is>
      </c>
      <c r="D291" s="85" t="inlineStr">
        <is>
          <t>×</t>
        </is>
      </c>
      <c r="E291" s="85" t="inlineStr">
        <is>
          <t>×</t>
        </is>
      </c>
      <c r="F291" s="85" t="inlineStr">
        <is>
          <t>×</t>
        </is>
      </c>
      <c r="G291" s="85" t="inlineStr">
        <is>
          <t>×</t>
        </is>
      </c>
      <c r="H291" s="85" t="n"/>
      <c r="S291">
        <f>IF(4&lt;='設定'!$B$6,"表示","隠す")</f>
        <v/>
      </c>
    </row>
    <row r="292" ht="21" customHeight="1">
      <c r="A292" s="84" t="n"/>
      <c r="B292" s="46">
        <f>'設定'!$I$15</f>
        <v/>
      </c>
      <c r="C292" s="85" t="inlineStr">
        <is>
          <t>×</t>
        </is>
      </c>
      <c r="D292" s="85" t="inlineStr">
        <is>
          <t>×</t>
        </is>
      </c>
      <c r="E292" s="85" t="inlineStr">
        <is>
          <t>×</t>
        </is>
      </c>
      <c r="F292" s="85" t="inlineStr">
        <is>
          <t>×</t>
        </is>
      </c>
      <c r="G292" s="85" t="inlineStr">
        <is>
          <t>×</t>
        </is>
      </c>
      <c r="H292" s="85" t="n"/>
      <c r="S292">
        <f>IF(5&lt;='設定'!$B$6,"表示","隠す")</f>
        <v/>
      </c>
    </row>
    <row r="293" ht="21" customHeight="1">
      <c r="A293" s="84" t="n"/>
      <c r="B293" s="46">
        <f>'設定'!$I$16</f>
        <v/>
      </c>
      <c r="C293" s="85" t="n"/>
      <c r="D293" s="85" t="n"/>
      <c r="E293" s="85" t="n"/>
      <c r="F293" s="85" t="n"/>
      <c r="G293" s="85" t="inlineStr">
        <is>
          <t>×</t>
        </is>
      </c>
      <c r="H293" s="85" t="n"/>
      <c r="S293">
        <f>IF(6&lt;='設定'!$B$6,"表示","隠す")</f>
        <v/>
      </c>
    </row>
    <row r="294" ht="21" customHeight="1">
      <c r="A294" s="84" t="n"/>
      <c r="B294" s="46">
        <f>'設定'!$I$17</f>
        <v/>
      </c>
      <c r="C294" s="85" t="n"/>
      <c r="D294" s="85" t="inlineStr">
        <is>
          <t>×</t>
        </is>
      </c>
      <c r="E294" s="85" t="n"/>
      <c r="F294" s="85" t="n"/>
      <c r="G294" s="85" t="n"/>
      <c r="H294" s="85" t="n"/>
      <c r="S294">
        <f>IF(7&lt;='設定'!$B$6,"表示","隠す")</f>
        <v/>
      </c>
    </row>
    <row r="295" ht="21" customHeight="1">
      <c r="A295" s="84" t="n"/>
      <c r="B295" s="46">
        <f>'設定'!$I$18</f>
        <v/>
      </c>
      <c r="C295" s="85" t="inlineStr">
        <is>
          <t>×</t>
        </is>
      </c>
      <c r="D295" s="85" t="inlineStr">
        <is>
          <t>×</t>
        </is>
      </c>
      <c r="E295" s="85" t="n"/>
      <c r="F295" s="85" t="n"/>
      <c r="G295" s="85" t="n"/>
      <c r="H295" s="85" t="n"/>
      <c r="S295">
        <f>IF(8&lt;='設定'!$B$6,"表示","隠す")</f>
        <v/>
      </c>
    </row>
    <row r="296" ht="21" customHeight="1">
      <c r="A296" s="84" t="n"/>
      <c r="B296" s="46">
        <f>'設定'!$I$19</f>
        <v/>
      </c>
      <c r="C296" s="85" t="inlineStr">
        <is>
          <t>×</t>
        </is>
      </c>
      <c r="D296" s="85" t="inlineStr">
        <is>
          <t>×</t>
        </is>
      </c>
      <c r="E296" s="85" t="n"/>
      <c r="F296" s="85" t="n"/>
      <c r="G296" s="85" t="n"/>
      <c r="H296" s="85" t="n"/>
      <c r="S296">
        <f>IF(9&lt;='設定'!$B$6,"表示","隠す")</f>
        <v/>
      </c>
    </row>
    <row r="297" hidden="1" ht="21" customHeight="1">
      <c r="A297" s="84" t="n"/>
      <c r="B297" s="46">
        <f>'設定'!$I$20</f>
        <v/>
      </c>
      <c r="C297" s="85" t="n"/>
      <c r="D297" s="85" t="n"/>
      <c r="E297" s="85" t="n"/>
      <c r="F297" s="85" t="n"/>
      <c r="G297" s="85" t="n"/>
      <c r="H297" s="85" t="n"/>
      <c r="S297">
        <f>IF(10&lt;='設定'!$B$6,"表示","隠す")</f>
        <v/>
      </c>
    </row>
    <row r="298" hidden="1" ht="21" customHeight="1">
      <c r="A298" s="84" t="n"/>
      <c r="B298" s="46">
        <f>'設定'!$I$21</f>
        <v/>
      </c>
      <c r="C298" s="85" t="n"/>
      <c r="D298" s="85" t="n"/>
      <c r="E298" s="85" t="n"/>
      <c r="F298" s="85" t="n"/>
      <c r="G298" s="85" t="n"/>
      <c r="H298" s="85" t="n"/>
      <c r="S298">
        <f>IF(11&lt;='設定'!$B$6,"表示","隠す")</f>
        <v/>
      </c>
    </row>
    <row r="299" hidden="1" ht="21" customHeight="1">
      <c r="A299" s="84" t="n"/>
      <c r="B299" s="46">
        <f>'設定'!$I$22</f>
        <v/>
      </c>
      <c r="C299" s="85" t="n"/>
      <c r="D299" s="85" t="n"/>
      <c r="E299" s="85" t="n"/>
      <c r="F299" s="85" t="n"/>
      <c r="G299" s="85" t="n"/>
      <c r="H299" s="85" t="n"/>
      <c r="S299">
        <f>IF(12&lt;='設定'!$B$6,"表示","隠す")</f>
        <v/>
      </c>
    </row>
    <row r="300" hidden="1" ht="21" customHeight="1">
      <c r="A300" s="84" t="n"/>
      <c r="B300" s="46">
        <f>'設定'!$I$23</f>
        <v/>
      </c>
      <c r="C300" s="85" t="n"/>
      <c r="D300" s="85" t="n"/>
      <c r="E300" s="85" t="n"/>
      <c r="F300" s="85" t="n"/>
      <c r="G300" s="85" t="n"/>
      <c r="H300" s="85" t="n"/>
      <c r="S300">
        <f>IF(13&lt;='設定'!$B$6,"表示","隠す")</f>
        <v/>
      </c>
    </row>
    <row r="301" hidden="1" ht="21" customHeight="1">
      <c r="A301" s="84" t="n"/>
      <c r="B301" s="46">
        <f>'設定'!$I$24</f>
        <v/>
      </c>
      <c r="C301" s="85" t="n"/>
      <c r="D301" s="85" t="n"/>
      <c r="E301" s="85" t="n"/>
      <c r="F301" s="85" t="n"/>
      <c r="G301" s="85" t="n"/>
      <c r="H301" s="85" t="n"/>
      <c r="S301">
        <f>IF(14&lt;='設定'!$B$6,"表示","隠す")</f>
        <v/>
      </c>
    </row>
    <row r="302" hidden="1" ht="21" customHeight="1">
      <c r="A302" s="84" t="n"/>
      <c r="B302" s="46">
        <f>'設定'!$I$25</f>
        <v/>
      </c>
      <c r="C302" s="85" t="n"/>
      <c r="D302" s="85" t="n"/>
      <c r="E302" s="85" t="n"/>
      <c r="F302" s="85" t="n"/>
      <c r="G302" s="85" t="n"/>
      <c r="H302" s="85" t="n"/>
      <c r="S302">
        <f>IF(15&lt;='設定'!$B$6,"表示","隠す")</f>
        <v/>
      </c>
    </row>
    <row r="303" hidden="1" ht="21" customHeight="1">
      <c r="A303" s="84" t="n"/>
      <c r="B303" s="46">
        <f>'設定'!$I$26</f>
        <v/>
      </c>
      <c r="C303" s="85" t="n"/>
      <c r="D303" s="85" t="n"/>
      <c r="E303" s="85" t="n"/>
      <c r="F303" s="85" t="n"/>
      <c r="G303" s="85" t="n"/>
      <c r="H303" s="85" t="n"/>
      <c r="S303">
        <f>IF(16&lt;='設定'!$B$6,"表示","隠す")</f>
        <v/>
      </c>
    </row>
    <row r="304" hidden="1" ht="21" customHeight="1">
      <c r="A304" s="84" t="n"/>
      <c r="B304" s="46">
        <f>'設定'!$I$27</f>
        <v/>
      </c>
      <c r="C304" s="85" t="n"/>
      <c r="D304" s="85" t="n"/>
      <c r="E304" s="85" t="n"/>
      <c r="F304" s="85" t="n"/>
      <c r="G304" s="85" t="n"/>
      <c r="H304" s="85" t="n"/>
      <c r="S304">
        <f>IF(17&lt;='設定'!$B$6,"表示","隠す")</f>
        <v/>
      </c>
    </row>
    <row r="305" hidden="1" ht="21" customHeight="1">
      <c r="A305" s="84" t="n"/>
      <c r="B305" s="46">
        <f>'設定'!$I$28</f>
        <v/>
      </c>
      <c r="C305" s="85" t="n"/>
      <c r="D305" s="85" t="n"/>
      <c r="E305" s="85" t="n"/>
      <c r="F305" s="85" t="n"/>
      <c r="G305" s="85" t="n"/>
      <c r="H305" s="85" t="n"/>
      <c r="S305">
        <f>IF(18&lt;='設定'!$B$6,"表示","隠す")</f>
        <v/>
      </c>
    </row>
    <row r="306" hidden="1" ht="21" customHeight="1">
      <c r="A306" s="84" t="n"/>
      <c r="B306" s="46">
        <f>'設定'!$I$29</f>
        <v/>
      </c>
      <c r="C306" s="85" t="n"/>
      <c r="D306" s="85" t="n"/>
      <c r="E306" s="85" t="n"/>
      <c r="F306" s="85" t="n"/>
      <c r="G306" s="85" t="n"/>
      <c r="H306" s="85" t="n"/>
      <c r="S306">
        <f>IF(19&lt;='設定'!$B$6,"表示","隠す")</f>
        <v/>
      </c>
    </row>
    <row r="307" hidden="1" ht="21" customHeight="1">
      <c r="A307" s="84" t="n"/>
      <c r="B307" s="46">
        <f>'設定'!$I$30</f>
        <v/>
      </c>
      <c r="C307" s="85" t="n"/>
      <c r="D307" s="85" t="n"/>
      <c r="E307" s="85" t="n"/>
      <c r="F307" s="85" t="n"/>
      <c r="G307" s="85" t="n"/>
      <c r="H307" s="85" t="n"/>
      <c r="S307">
        <f>IF(20&lt;='設定'!$B$6,"表示","隠す")</f>
        <v/>
      </c>
    </row>
    <row r="308" hidden="1" ht="21" customHeight="1">
      <c r="A308" s="84" t="n"/>
      <c r="B308" s="46">
        <f>'設定'!$I$31</f>
        <v/>
      </c>
      <c r="C308" s="85" t="n"/>
      <c r="D308" s="85" t="n"/>
      <c r="E308" s="85" t="n"/>
      <c r="F308" s="85" t="n"/>
      <c r="G308" s="85" t="n"/>
      <c r="H308" s="85" t="n"/>
      <c r="S308">
        <f>IF(21&lt;='設定'!$B$6,"表示","隠す")</f>
        <v/>
      </c>
    </row>
    <row r="309" hidden="1" ht="21" customHeight="1">
      <c r="A309" s="84" t="n"/>
      <c r="B309" s="46">
        <f>'設定'!$I$32</f>
        <v/>
      </c>
      <c r="C309" s="85" t="n"/>
      <c r="D309" s="85" t="n"/>
      <c r="E309" s="85" t="n"/>
      <c r="F309" s="85" t="n"/>
      <c r="G309" s="85" t="n"/>
      <c r="H309" s="85" t="n"/>
      <c r="S309">
        <f>IF(22&lt;='設定'!$B$6,"表示","隠す")</f>
        <v/>
      </c>
    </row>
    <row r="310" hidden="1" ht="21" customHeight="1">
      <c r="A310" s="84" t="n"/>
      <c r="B310" s="46">
        <f>'設定'!$I$33</f>
        <v/>
      </c>
      <c r="C310" s="85" t="n"/>
      <c r="D310" s="85" t="n"/>
      <c r="E310" s="85" t="n"/>
      <c r="F310" s="85" t="n"/>
      <c r="G310" s="85" t="n"/>
      <c r="H310" s="85" t="n"/>
      <c r="S310">
        <f>IF(23&lt;='設定'!$B$6,"表示","隠す")</f>
        <v/>
      </c>
    </row>
    <row r="311" hidden="1" ht="21" customHeight="1">
      <c r="A311" s="84" t="n"/>
      <c r="B311" s="46">
        <f>'設定'!$I$34</f>
        <v/>
      </c>
      <c r="C311" s="85" t="n"/>
      <c r="D311" s="85" t="n"/>
      <c r="E311" s="85" t="n"/>
      <c r="F311" s="85" t="n"/>
      <c r="G311" s="85" t="n"/>
      <c r="H311" s="85" t="n"/>
      <c r="S311">
        <f>IF(24&lt;='設定'!$B$6,"表示","隠す")</f>
        <v/>
      </c>
    </row>
    <row r="312">
      <c r="S312" t="inlineStr">
        <is>
          <t>表示</t>
        </is>
      </c>
    </row>
    <row r="313" ht="26" customHeight="1">
      <c r="B313" s="78">
        <f>IF('名簿'!B16="","（名簿 12行目：なし）",'名簿'!P16)</f>
        <v/>
      </c>
      <c r="C313" s="5" t="n"/>
      <c r="D313" s="5" t="n"/>
      <c r="E313" s="79" t="inlineStr">
        <is>
          <t>提出状況 ▶</t>
        </is>
      </c>
      <c r="F313" s="42" t="inlineStr">
        <is>
          <t>未提出</t>
        </is>
      </c>
      <c r="G313" s="33" t="n"/>
      <c r="H313" s="80" t="inlineStr">
        <is>
          <t>状況：</t>
        </is>
      </c>
      <c r="I313" s="81">
        <f>'名簿'!Q16</f>
        <v/>
      </c>
      <c r="J313" s="80" t="inlineStr">
        <is>
          <t>×の数：</t>
        </is>
      </c>
      <c r="K313" s="82">
        <f>'名簿'!R16</f>
        <v/>
      </c>
      <c r="L313" s="83">
        <f>HYPERLINK("#'×入力'!B341","次の人へ ▼")</f>
        <v/>
      </c>
      <c r="S313" t="inlineStr">
        <is>
          <t>表示</t>
        </is>
      </c>
    </row>
    <row r="314" ht="22" customHeight="1">
      <c r="A314" s="34" t="inlineStr">
        <is>
          <t>この日全部 ▶</t>
        </is>
      </c>
      <c r="C314" s="84" t="n"/>
      <c r="D314" s="84" t="n"/>
      <c r="E314" s="84" t="n"/>
      <c r="F314" s="84" t="n"/>
      <c r="G314" s="84" t="n"/>
      <c r="H314" s="84" t="n"/>
      <c r="S314" t="inlineStr">
        <is>
          <t>表示</t>
        </is>
      </c>
    </row>
    <row r="315" ht="28" customHeight="1">
      <c r="A315" s="37" t="inlineStr">
        <is>
          <t>この時間
全部 ▼</t>
        </is>
      </c>
      <c r="B315" s="38" t="inlineStr"/>
      <c r="C315" s="39">
        <f>'設定'!$E$11</f>
        <v/>
      </c>
      <c r="D315" s="39">
        <f>'設定'!$E$12</f>
        <v/>
      </c>
      <c r="E315" s="39">
        <f>'設定'!$E$13</f>
        <v/>
      </c>
      <c r="F315" s="39">
        <f>'設定'!$E$14</f>
        <v/>
      </c>
      <c r="G315" s="39">
        <f>'設定'!$E$15</f>
        <v/>
      </c>
      <c r="H315" s="39">
        <f>'設定'!$E$16</f>
        <v/>
      </c>
      <c r="S315" t="inlineStr">
        <is>
          <t>表示</t>
        </is>
      </c>
    </row>
    <row r="316" ht="21" customHeight="1">
      <c r="A316" s="84" t="n"/>
      <c r="B316" s="46">
        <f>'設定'!$I$11</f>
        <v/>
      </c>
      <c r="C316" s="85" t="n"/>
      <c r="D316" s="85" t="n"/>
      <c r="E316" s="85" t="n"/>
      <c r="F316" s="85" t="n"/>
      <c r="G316" s="85" t="n"/>
      <c r="H316" s="85" t="n"/>
      <c r="S316">
        <f>IF(1&lt;='設定'!$B$6,"表示","隠す")</f>
        <v/>
      </c>
    </row>
    <row r="317" ht="21" customHeight="1">
      <c r="A317" s="84" t="n"/>
      <c r="B317" s="46">
        <f>'設定'!$I$12</f>
        <v/>
      </c>
      <c r="C317" s="85" t="n"/>
      <c r="D317" s="85" t="n"/>
      <c r="E317" s="85" t="n"/>
      <c r="F317" s="85" t="n"/>
      <c r="G317" s="85" t="n"/>
      <c r="H317" s="85" t="n"/>
      <c r="S317">
        <f>IF(2&lt;='設定'!$B$6,"表示","隠す")</f>
        <v/>
      </c>
    </row>
    <row r="318" ht="21" customHeight="1">
      <c r="A318" s="84" t="n"/>
      <c r="B318" s="46">
        <f>'設定'!$I$13</f>
        <v/>
      </c>
      <c r="C318" s="85" t="n"/>
      <c r="D318" s="85" t="n"/>
      <c r="E318" s="85" t="n"/>
      <c r="F318" s="85" t="n"/>
      <c r="G318" s="85" t="n"/>
      <c r="H318" s="85" t="n"/>
      <c r="S318">
        <f>IF(3&lt;='設定'!$B$6,"表示","隠す")</f>
        <v/>
      </c>
    </row>
    <row r="319" ht="21" customHeight="1">
      <c r="A319" s="84" t="n"/>
      <c r="B319" s="46">
        <f>'設定'!$I$14</f>
        <v/>
      </c>
      <c r="C319" s="85" t="n"/>
      <c r="D319" s="85" t="n"/>
      <c r="E319" s="85" t="n"/>
      <c r="F319" s="85" t="n"/>
      <c r="G319" s="85" t="n"/>
      <c r="H319" s="85" t="n"/>
      <c r="S319">
        <f>IF(4&lt;='設定'!$B$6,"表示","隠す")</f>
        <v/>
      </c>
    </row>
    <row r="320" ht="21" customHeight="1">
      <c r="A320" s="84" t="n"/>
      <c r="B320" s="46">
        <f>'設定'!$I$15</f>
        <v/>
      </c>
      <c r="C320" s="85" t="n"/>
      <c r="D320" s="85" t="n"/>
      <c r="E320" s="85" t="n"/>
      <c r="F320" s="85" t="n"/>
      <c r="G320" s="85" t="n"/>
      <c r="H320" s="85" t="n"/>
      <c r="S320">
        <f>IF(5&lt;='設定'!$B$6,"表示","隠す")</f>
        <v/>
      </c>
    </row>
    <row r="321" ht="21" customHeight="1">
      <c r="A321" s="84" t="n"/>
      <c r="B321" s="46">
        <f>'設定'!$I$16</f>
        <v/>
      </c>
      <c r="C321" s="85" t="n"/>
      <c r="D321" s="85" t="n"/>
      <c r="E321" s="85" t="n"/>
      <c r="F321" s="85" t="n"/>
      <c r="G321" s="85" t="n"/>
      <c r="H321" s="85" t="n"/>
      <c r="S321">
        <f>IF(6&lt;='設定'!$B$6,"表示","隠す")</f>
        <v/>
      </c>
    </row>
    <row r="322" ht="21" customHeight="1">
      <c r="A322" s="84" t="n"/>
      <c r="B322" s="46">
        <f>'設定'!$I$17</f>
        <v/>
      </c>
      <c r="C322" s="85" t="n"/>
      <c r="D322" s="85" t="n"/>
      <c r="E322" s="85" t="n"/>
      <c r="F322" s="85" t="n"/>
      <c r="G322" s="85" t="n"/>
      <c r="H322" s="85" t="n"/>
      <c r="S322">
        <f>IF(7&lt;='設定'!$B$6,"表示","隠す")</f>
        <v/>
      </c>
    </row>
    <row r="323" ht="21" customHeight="1">
      <c r="A323" s="84" t="n"/>
      <c r="B323" s="46">
        <f>'設定'!$I$18</f>
        <v/>
      </c>
      <c r="C323" s="85" t="n"/>
      <c r="D323" s="85" t="n"/>
      <c r="E323" s="85" t="n"/>
      <c r="F323" s="85" t="n"/>
      <c r="G323" s="85" t="n"/>
      <c r="H323" s="85" t="n"/>
      <c r="S323">
        <f>IF(8&lt;='設定'!$B$6,"表示","隠す")</f>
        <v/>
      </c>
    </row>
    <row r="324" ht="21" customHeight="1">
      <c r="A324" s="84" t="n"/>
      <c r="B324" s="46">
        <f>'設定'!$I$19</f>
        <v/>
      </c>
      <c r="C324" s="85" t="n"/>
      <c r="D324" s="85" t="n"/>
      <c r="E324" s="85" t="n"/>
      <c r="F324" s="85" t="n"/>
      <c r="G324" s="85" t="n"/>
      <c r="H324" s="85" t="n"/>
      <c r="S324">
        <f>IF(9&lt;='設定'!$B$6,"表示","隠す")</f>
        <v/>
      </c>
    </row>
    <row r="325" hidden="1" ht="21" customHeight="1">
      <c r="A325" s="84" t="n"/>
      <c r="B325" s="46">
        <f>'設定'!$I$20</f>
        <v/>
      </c>
      <c r="C325" s="85" t="n"/>
      <c r="D325" s="85" t="n"/>
      <c r="E325" s="85" t="n"/>
      <c r="F325" s="85" t="n"/>
      <c r="G325" s="85" t="n"/>
      <c r="H325" s="85" t="n"/>
      <c r="S325">
        <f>IF(10&lt;='設定'!$B$6,"表示","隠す")</f>
        <v/>
      </c>
    </row>
    <row r="326" hidden="1" ht="21" customHeight="1">
      <c r="A326" s="84" t="n"/>
      <c r="B326" s="46">
        <f>'設定'!$I$21</f>
        <v/>
      </c>
      <c r="C326" s="85" t="n"/>
      <c r="D326" s="85" t="n"/>
      <c r="E326" s="85" t="n"/>
      <c r="F326" s="85" t="n"/>
      <c r="G326" s="85" t="n"/>
      <c r="H326" s="85" t="n"/>
      <c r="S326">
        <f>IF(11&lt;='設定'!$B$6,"表示","隠す")</f>
        <v/>
      </c>
    </row>
    <row r="327" hidden="1" ht="21" customHeight="1">
      <c r="A327" s="84" t="n"/>
      <c r="B327" s="46">
        <f>'設定'!$I$22</f>
        <v/>
      </c>
      <c r="C327" s="85" t="n"/>
      <c r="D327" s="85" t="n"/>
      <c r="E327" s="85" t="n"/>
      <c r="F327" s="85" t="n"/>
      <c r="G327" s="85" t="n"/>
      <c r="H327" s="85" t="n"/>
      <c r="S327">
        <f>IF(12&lt;='設定'!$B$6,"表示","隠す")</f>
        <v/>
      </c>
    </row>
    <row r="328" hidden="1" ht="21" customHeight="1">
      <c r="A328" s="84" t="n"/>
      <c r="B328" s="46">
        <f>'設定'!$I$23</f>
        <v/>
      </c>
      <c r="C328" s="85" t="n"/>
      <c r="D328" s="85" t="n"/>
      <c r="E328" s="85" t="n"/>
      <c r="F328" s="85" t="n"/>
      <c r="G328" s="85" t="n"/>
      <c r="H328" s="85" t="n"/>
      <c r="S328">
        <f>IF(13&lt;='設定'!$B$6,"表示","隠す")</f>
        <v/>
      </c>
    </row>
    <row r="329" hidden="1" ht="21" customHeight="1">
      <c r="A329" s="84" t="n"/>
      <c r="B329" s="46">
        <f>'設定'!$I$24</f>
        <v/>
      </c>
      <c r="C329" s="85" t="n"/>
      <c r="D329" s="85" t="n"/>
      <c r="E329" s="85" t="n"/>
      <c r="F329" s="85" t="n"/>
      <c r="G329" s="85" t="n"/>
      <c r="H329" s="85" t="n"/>
      <c r="S329">
        <f>IF(14&lt;='設定'!$B$6,"表示","隠す")</f>
        <v/>
      </c>
    </row>
    <row r="330" hidden="1" ht="21" customHeight="1">
      <c r="A330" s="84" t="n"/>
      <c r="B330" s="46">
        <f>'設定'!$I$25</f>
        <v/>
      </c>
      <c r="C330" s="85" t="n"/>
      <c r="D330" s="85" t="n"/>
      <c r="E330" s="85" t="n"/>
      <c r="F330" s="85" t="n"/>
      <c r="G330" s="85" t="n"/>
      <c r="H330" s="85" t="n"/>
      <c r="S330">
        <f>IF(15&lt;='設定'!$B$6,"表示","隠す")</f>
        <v/>
      </c>
    </row>
    <row r="331" hidden="1" ht="21" customHeight="1">
      <c r="A331" s="84" t="n"/>
      <c r="B331" s="46">
        <f>'設定'!$I$26</f>
        <v/>
      </c>
      <c r="C331" s="85" t="n"/>
      <c r="D331" s="85" t="n"/>
      <c r="E331" s="85" t="n"/>
      <c r="F331" s="85" t="n"/>
      <c r="G331" s="85" t="n"/>
      <c r="H331" s="85" t="n"/>
      <c r="S331">
        <f>IF(16&lt;='設定'!$B$6,"表示","隠す")</f>
        <v/>
      </c>
    </row>
    <row r="332" hidden="1" ht="21" customHeight="1">
      <c r="A332" s="84" t="n"/>
      <c r="B332" s="46">
        <f>'設定'!$I$27</f>
        <v/>
      </c>
      <c r="C332" s="85" t="n"/>
      <c r="D332" s="85" t="n"/>
      <c r="E332" s="85" t="n"/>
      <c r="F332" s="85" t="n"/>
      <c r="G332" s="85" t="n"/>
      <c r="H332" s="85" t="n"/>
      <c r="S332">
        <f>IF(17&lt;='設定'!$B$6,"表示","隠す")</f>
        <v/>
      </c>
    </row>
    <row r="333" hidden="1" ht="21" customHeight="1">
      <c r="A333" s="84" t="n"/>
      <c r="B333" s="46">
        <f>'設定'!$I$28</f>
        <v/>
      </c>
      <c r="C333" s="85" t="n"/>
      <c r="D333" s="85" t="n"/>
      <c r="E333" s="85" t="n"/>
      <c r="F333" s="85" t="n"/>
      <c r="G333" s="85" t="n"/>
      <c r="H333" s="85" t="n"/>
      <c r="S333">
        <f>IF(18&lt;='設定'!$B$6,"表示","隠す")</f>
        <v/>
      </c>
    </row>
    <row r="334" hidden="1" ht="21" customHeight="1">
      <c r="A334" s="84" t="n"/>
      <c r="B334" s="46">
        <f>'設定'!$I$29</f>
        <v/>
      </c>
      <c r="C334" s="85" t="n"/>
      <c r="D334" s="85" t="n"/>
      <c r="E334" s="85" t="n"/>
      <c r="F334" s="85" t="n"/>
      <c r="G334" s="85" t="n"/>
      <c r="H334" s="85" t="n"/>
      <c r="S334">
        <f>IF(19&lt;='設定'!$B$6,"表示","隠す")</f>
        <v/>
      </c>
    </row>
    <row r="335" hidden="1" ht="21" customHeight="1">
      <c r="A335" s="84" t="n"/>
      <c r="B335" s="46">
        <f>'設定'!$I$30</f>
        <v/>
      </c>
      <c r="C335" s="85" t="n"/>
      <c r="D335" s="85" t="n"/>
      <c r="E335" s="85" t="n"/>
      <c r="F335" s="85" t="n"/>
      <c r="G335" s="85" t="n"/>
      <c r="H335" s="85" t="n"/>
      <c r="S335">
        <f>IF(20&lt;='設定'!$B$6,"表示","隠す")</f>
        <v/>
      </c>
    </row>
    <row r="336" hidden="1" ht="21" customHeight="1">
      <c r="A336" s="84" t="n"/>
      <c r="B336" s="46">
        <f>'設定'!$I$31</f>
        <v/>
      </c>
      <c r="C336" s="85" t="n"/>
      <c r="D336" s="85" t="n"/>
      <c r="E336" s="85" t="n"/>
      <c r="F336" s="85" t="n"/>
      <c r="G336" s="85" t="n"/>
      <c r="H336" s="85" t="n"/>
      <c r="S336">
        <f>IF(21&lt;='設定'!$B$6,"表示","隠す")</f>
        <v/>
      </c>
    </row>
    <row r="337" hidden="1" ht="21" customHeight="1">
      <c r="A337" s="84" t="n"/>
      <c r="B337" s="46">
        <f>'設定'!$I$32</f>
        <v/>
      </c>
      <c r="C337" s="85" t="n"/>
      <c r="D337" s="85" t="n"/>
      <c r="E337" s="85" t="n"/>
      <c r="F337" s="85" t="n"/>
      <c r="G337" s="85" t="n"/>
      <c r="H337" s="85" t="n"/>
      <c r="S337">
        <f>IF(22&lt;='設定'!$B$6,"表示","隠す")</f>
        <v/>
      </c>
    </row>
    <row r="338" hidden="1" ht="21" customHeight="1">
      <c r="A338" s="84" t="n"/>
      <c r="B338" s="46">
        <f>'設定'!$I$33</f>
        <v/>
      </c>
      <c r="C338" s="85" t="n"/>
      <c r="D338" s="85" t="n"/>
      <c r="E338" s="85" t="n"/>
      <c r="F338" s="85" t="n"/>
      <c r="G338" s="85" t="n"/>
      <c r="H338" s="85" t="n"/>
      <c r="S338">
        <f>IF(23&lt;='設定'!$B$6,"表示","隠す")</f>
        <v/>
      </c>
    </row>
    <row r="339" hidden="1" ht="21" customHeight="1">
      <c r="A339" s="84" t="n"/>
      <c r="B339" s="46">
        <f>'設定'!$I$34</f>
        <v/>
      </c>
      <c r="C339" s="85" t="n"/>
      <c r="D339" s="85" t="n"/>
      <c r="E339" s="85" t="n"/>
      <c r="F339" s="85" t="n"/>
      <c r="G339" s="85" t="n"/>
      <c r="H339" s="85" t="n"/>
      <c r="S339">
        <f>IF(24&lt;='設定'!$B$6,"表示","隠す")</f>
        <v/>
      </c>
    </row>
    <row r="340">
      <c r="S340" t="inlineStr">
        <is>
          <t>表示</t>
        </is>
      </c>
    </row>
    <row r="341" ht="26" customHeight="1">
      <c r="B341" s="78">
        <f>IF('名簿'!B17="","（名簿 13行目：なし）",'名簿'!P17)</f>
        <v/>
      </c>
      <c r="C341" s="5" t="n"/>
      <c r="D341" s="5" t="n"/>
      <c r="E341" s="79" t="inlineStr">
        <is>
          <t>提出状況 ▶</t>
        </is>
      </c>
      <c r="F341" s="42" t="n"/>
      <c r="G341" s="33" t="n"/>
      <c r="H341" s="80" t="inlineStr">
        <is>
          <t>状況：</t>
        </is>
      </c>
      <c r="I341" s="81">
        <f>'名簿'!Q17</f>
        <v/>
      </c>
      <c r="J341" s="80" t="inlineStr">
        <is>
          <t>×の数：</t>
        </is>
      </c>
      <c r="K341" s="82">
        <f>'名簿'!R17</f>
        <v/>
      </c>
      <c r="L341" s="83">
        <f>HYPERLINK("#'×入力'!B369","次の人へ ▼")</f>
        <v/>
      </c>
      <c r="S341" t="inlineStr">
        <is>
          <t>表示</t>
        </is>
      </c>
    </row>
    <row r="342" ht="22" customHeight="1">
      <c r="A342" s="34" t="inlineStr">
        <is>
          <t>この日全部 ▶</t>
        </is>
      </c>
      <c r="C342" s="84" t="n"/>
      <c r="D342" s="84" t="n"/>
      <c r="E342" s="84" t="n"/>
      <c r="F342" s="84" t="n"/>
      <c r="G342" s="84" t="n"/>
      <c r="H342" s="84" t="n"/>
      <c r="S342" t="inlineStr">
        <is>
          <t>表示</t>
        </is>
      </c>
    </row>
    <row r="343" ht="28" customHeight="1">
      <c r="A343" s="37" t="inlineStr">
        <is>
          <t>この時間
全部 ▼</t>
        </is>
      </c>
      <c r="B343" s="38" t="inlineStr"/>
      <c r="C343" s="39">
        <f>'設定'!$E$11</f>
        <v/>
      </c>
      <c r="D343" s="39">
        <f>'設定'!$E$12</f>
        <v/>
      </c>
      <c r="E343" s="39">
        <f>'設定'!$E$13</f>
        <v/>
      </c>
      <c r="F343" s="39">
        <f>'設定'!$E$14</f>
        <v/>
      </c>
      <c r="G343" s="39">
        <f>'設定'!$E$15</f>
        <v/>
      </c>
      <c r="H343" s="39">
        <f>'設定'!$E$16</f>
        <v/>
      </c>
      <c r="S343" t="inlineStr">
        <is>
          <t>表示</t>
        </is>
      </c>
    </row>
    <row r="344" ht="21" customHeight="1">
      <c r="A344" s="84" t="n"/>
      <c r="B344" s="46">
        <f>'設定'!$I$11</f>
        <v/>
      </c>
      <c r="C344" s="85" t="n"/>
      <c r="D344" s="85" t="n"/>
      <c r="E344" s="85" t="n"/>
      <c r="F344" s="85" t="n"/>
      <c r="G344" s="85" t="n"/>
      <c r="H344" s="85" t="n"/>
      <c r="S344">
        <f>IF(1&lt;='設定'!$B$6,"表示","隠す")</f>
        <v/>
      </c>
    </row>
    <row r="345" ht="21" customHeight="1">
      <c r="A345" s="84" t="n"/>
      <c r="B345" s="46">
        <f>'設定'!$I$12</f>
        <v/>
      </c>
      <c r="C345" s="85" t="n"/>
      <c r="D345" s="85" t="n"/>
      <c r="E345" s="85" t="n"/>
      <c r="F345" s="85" t="inlineStr">
        <is>
          <t>×</t>
        </is>
      </c>
      <c r="G345" s="85" t="n"/>
      <c r="H345" s="85" t="n"/>
      <c r="S345">
        <f>IF(2&lt;='設定'!$B$6,"表示","隠す")</f>
        <v/>
      </c>
    </row>
    <row r="346" ht="21" customHeight="1">
      <c r="A346" s="84" t="n"/>
      <c r="B346" s="46">
        <f>'設定'!$I$13</f>
        <v/>
      </c>
      <c r="C346" s="85" t="n"/>
      <c r="D346" s="85" t="inlineStr">
        <is>
          <t>×</t>
        </is>
      </c>
      <c r="E346" s="85" t="n"/>
      <c r="F346" s="85" t="n"/>
      <c r="G346" s="85" t="inlineStr">
        <is>
          <t>×</t>
        </is>
      </c>
      <c r="H346" s="85" t="n"/>
      <c r="S346">
        <f>IF(3&lt;='設定'!$B$6,"表示","隠す")</f>
        <v/>
      </c>
    </row>
    <row r="347" ht="21" customHeight="1">
      <c r="A347" s="84" t="n"/>
      <c r="B347" s="46">
        <f>'設定'!$I$14</f>
        <v/>
      </c>
      <c r="C347" s="85" t="n"/>
      <c r="D347" s="85" t="n"/>
      <c r="E347" s="85" t="n"/>
      <c r="F347" s="85" t="n"/>
      <c r="G347" s="85" t="n"/>
      <c r="H347" s="85" t="n"/>
      <c r="S347">
        <f>IF(4&lt;='設定'!$B$6,"表示","隠す")</f>
        <v/>
      </c>
    </row>
    <row r="348" ht="21" customHeight="1">
      <c r="A348" s="84" t="n"/>
      <c r="B348" s="46">
        <f>'設定'!$I$15</f>
        <v/>
      </c>
      <c r="C348" s="85" t="n"/>
      <c r="D348" s="85" t="n"/>
      <c r="E348" s="85" t="n"/>
      <c r="F348" s="85" t="inlineStr">
        <is>
          <t>×</t>
        </is>
      </c>
      <c r="G348" s="85" t="n"/>
      <c r="H348" s="85" t="n"/>
      <c r="S348">
        <f>IF(5&lt;='設定'!$B$6,"表示","隠す")</f>
        <v/>
      </c>
    </row>
    <row r="349" ht="21" customHeight="1">
      <c r="A349" s="84" t="n"/>
      <c r="B349" s="46">
        <f>'設定'!$I$16</f>
        <v/>
      </c>
      <c r="C349" s="85" t="n"/>
      <c r="D349" s="85" t="n"/>
      <c r="E349" s="85" t="n"/>
      <c r="F349" s="85" t="n"/>
      <c r="G349" s="85" t="n"/>
      <c r="H349" s="85" t="n"/>
      <c r="S349">
        <f>IF(6&lt;='設定'!$B$6,"表示","隠す")</f>
        <v/>
      </c>
    </row>
    <row r="350" ht="21" customHeight="1">
      <c r="A350" s="84" t="n"/>
      <c r="B350" s="46">
        <f>'設定'!$I$17</f>
        <v/>
      </c>
      <c r="C350" s="85" t="n"/>
      <c r="D350" s="85" t="n"/>
      <c r="E350" s="85" t="n"/>
      <c r="F350" s="85" t="n"/>
      <c r="G350" s="85" t="n"/>
      <c r="H350" s="85" t="n"/>
      <c r="S350">
        <f>IF(7&lt;='設定'!$B$6,"表示","隠す")</f>
        <v/>
      </c>
    </row>
    <row r="351" ht="21" customHeight="1">
      <c r="A351" s="84" t="n"/>
      <c r="B351" s="46">
        <f>'設定'!$I$18</f>
        <v/>
      </c>
      <c r="C351" s="85" t="n"/>
      <c r="D351" s="85" t="n"/>
      <c r="E351" s="85" t="n"/>
      <c r="F351" s="85" t="n"/>
      <c r="G351" s="85" t="n"/>
      <c r="H351" s="85" t="n"/>
      <c r="S351">
        <f>IF(8&lt;='設定'!$B$6,"表示","隠す")</f>
        <v/>
      </c>
    </row>
    <row r="352" ht="21" customHeight="1">
      <c r="A352" s="84" t="n"/>
      <c r="B352" s="46">
        <f>'設定'!$I$19</f>
        <v/>
      </c>
      <c r="C352" s="85" t="n"/>
      <c r="D352" s="85" t="n"/>
      <c r="E352" s="85" t="n"/>
      <c r="F352" s="85" t="inlineStr">
        <is>
          <t>×</t>
        </is>
      </c>
      <c r="G352" s="85" t="n"/>
      <c r="H352" s="85" t="n"/>
      <c r="S352">
        <f>IF(9&lt;='設定'!$B$6,"表示","隠す")</f>
        <v/>
      </c>
    </row>
    <row r="353" hidden="1" ht="21" customHeight="1">
      <c r="A353" s="84" t="n"/>
      <c r="B353" s="46">
        <f>'設定'!$I$20</f>
        <v/>
      </c>
      <c r="C353" s="85" t="n"/>
      <c r="D353" s="85" t="n"/>
      <c r="E353" s="85" t="n"/>
      <c r="F353" s="85" t="n"/>
      <c r="G353" s="85" t="n"/>
      <c r="H353" s="85" t="n"/>
      <c r="S353">
        <f>IF(10&lt;='設定'!$B$6,"表示","隠す")</f>
        <v/>
      </c>
    </row>
    <row r="354" hidden="1" ht="21" customHeight="1">
      <c r="A354" s="84" t="n"/>
      <c r="B354" s="46">
        <f>'設定'!$I$21</f>
        <v/>
      </c>
      <c r="C354" s="85" t="n"/>
      <c r="D354" s="85" t="n"/>
      <c r="E354" s="85" t="n"/>
      <c r="F354" s="85" t="n"/>
      <c r="G354" s="85" t="n"/>
      <c r="H354" s="85" t="n"/>
      <c r="S354">
        <f>IF(11&lt;='設定'!$B$6,"表示","隠す")</f>
        <v/>
      </c>
    </row>
    <row r="355" hidden="1" ht="21" customHeight="1">
      <c r="A355" s="84" t="n"/>
      <c r="B355" s="46">
        <f>'設定'!$I$22</f>
        <v/>
      </c>
      <c r="C355" s="85" t="n"/>
      <c r="D355" s="85" t="n"/>
      <c r="E355" s="85" t="n"/>
      <c r="F355" s="85" t="n"/>
      <c r="G355" s="85" t="n"/>
      <c r="H355" s="85" t="n"/>
      <c r="S355">
        <f>IF(12&lt;='設定'!$B$6,"表示","隠す")</f>
        <v/>
      </c>
    </row>
    <row r="356" hidden="1" ht="21" customHeight="1">
      <c r="A356" s="84" t="n"/>
      <c r="B356" s="46">
        <f>'設定'!$I$23</f>
        <v/>
      </c>
      <c r="C356" s="85" t="n"/>
      <c r="D356" s="85" t="n"/>
      <c r="E356" s="85" t="n"/>
      <c r="F356" s="85" t="n"/>
      <c r="G356" s="85" t="n"/>
      <c r="H356" s="85" t="n"/>
      <c r="S356">
        <f>IF(13&lt;='設定'!$B$6,"表示","隠す")</f>
        <v/>
      </c>
    </row>
    <row r="357" hidden="1" ht="21" customHeight="1">
      <c r="A357" s="84" t="n"/>
      <c r="B357" s="46">
        <f>'設定'!$I$24</f>
        <v/>
      </c>
      <c r="C357" s="85" t="n"/>
      <c r="D357" s="85" t="n"/>
      <c r="E357" s="85" t="n"/>
      <c r="F357" s="85" t="n"/>
      <c r="G357" s="85" t="n"/>
      <c r="H357" s="85" t="n"/>
      <c r="S357">
        <f>IF(14&lt;='設定'!$B$6,"表示","隠す")</f>
        <v/>
      </c>
    </row>
    <row r="358" hidden="1" ht="21" customHeight="1">
      <c r="A358" s="84" t="n"/>
      <c r="B358" s="46">
        <f>'設定'!$I$25</f>
        <v/>
      </c>
      <c r="C358" s="85" t="n"/>
      <c r="D358" s="85" t="n"/>
      <c r="E358" s="85" t="n"/>
      <c r="F358" s="85" t="n"/>
      <c r="G358" s="85" t="n"/>
      <c r="H358" s="85" t="n"/>
      <c r="S358">
        <f>IF(15&lt;='設定'!$B$6,"表示","隠す")</f>
        <v/>
      </c>
    </row>
    <row r="359" hidden="1" ht="21" customHeight="1">
      <c r="A359" s="84" t="n"/>
      <c r="B359" s="46">
        <f>'設定'!$I$26</f>
        <v/>
      </c>
      <c r="C359" s="85" t="n"/>
      <c r="D359" s="85" t="n"/>
      <c r="E359" s="85" t="n"/>
      <c r="F359" s="85" t="n"/>
      <c r="G359" s="85" t="n"/>
      <c r="H359" s="85" t="n"/>
      <c r="S359">
        <f>IF(16&lt;='設定'!$B$6,"表示","隠す")</f>
        <v/>
      </c>
    </row>
    <row r="360" hidden="1" ht="21" customHeight="1">
      <c r="A360" s="84" t="n"/>
      <c r="B360" s="46">
        <f>'設定'!$I$27</f>
        <v/>
      </c>
      <c r="C360" s="85" t="n"/>
      <c r="D360" s="85" t="n"/>
      <c r="E360" s="85" t="n"/>
      <c r="F360" s="85" t="n"/>
      <c r="G360" s="85" t="n"/>
      <c r="H360" s="85" t="n"/>
      <c r="S360">
        <f>IF(17&lt;='設定'!$B$6,"表示","隠す")</f>
        <v/>
      </c>
    </row>
    <row r="361" hidden="1" ht="21" customHeight="1">
      <c r="A361" s="84" t="n"/>
      <c r="B361" s="46">
        <f>'設定'!$I$28</f>
        <v/>
      </c>
      <c r="C361" s="85" t="n"/>
      <c r="D361" s="85" t="n"/>
      <c r="E361" s="85" t="n"/>
      <c r="F361" s="85" t="n"/>
      <c r="G361" s="85" t="n"/>
      <c r="H361" s="85" t="n"/>
      <c r="S361">
        <f>IF(18&lt;='設定'!$B$6,"表示","隠す")</f>
        <v/>
      </c>
    </row>
    <row r="362" hidden="1" ht="21" customHeight="1">
      <c r="A362" s="84" t="n"/>
      <c r="B362" s="46">
        <f>'設定'!$I$29</f>
        <v/>
      </c>
      <c r="C362" s="85" t="n"/>
      <c r="D362" s="85" t="n"/>
      <c r="E362" s="85" t="n"/>
      <c r="F362" s="85" t="n"/>
      <c r="G362" s="85" t="n"/>
      <c r="H362" s="85" t="n"/>
      <c r="S362">
        <f>IF(19&lt;='設定'!$B$6,"表示","隠す")</f>
        <v/>
      </c>
    </row>
    <row r="363" hidden="1" ht="21" customHeight="1">
      <c r="A363" s="84" t="n"/>
      <c r="B363" s="46">
        <f>'設定'!$I$30</f>
        <v/>
      </c>
      <c r="C363" s="85" t="n"/>
      <c r="D363" s="85" t="n"/>
      <c r="E363" s="85" t="n"/>
      <c r="F363" s="85" t="n"/>
      <c r="G363" s="85" t="n"/>
      <c r="H363" s="85" t="n"/>
      <c r="S363">
        <f>IF(20&lt;='設定'!$B$6,"表示","隠す")</f>
        <v/>
      </c>
    </row>
    <row r="364" hidden="1" ht="21" customHeight="1">
      <c r="A364" s="84" t="n"/>
      <c r="B364" s="46">
        <f>'設定'!$I$31</f>
        <v/>
      </c>
      <c r="C364" s="85" t="n"/>
      <c r="D364" s="85" t="n"/>
      <c r="E364" s="85" t="n"/>
      <c r="F364" s="85" t="n"/>
      <c r="G364" s="85" t="n"/>
      <c r="H364" s="85" t="n"/>
      <c r="S364">
        <f>IF(21&lt;='設定'!$B$6,"表示","隠す")</f>
        <v/>
      </c>
    </row>
    <row r="365" hidden="1" ht="21" customHeight="1">
      <c r="A365" s="84" t="n"/>
      <c r="B365" s="46">
        <f>'設定'!$I$32</f>
        <v/>
      </c>
      <c r="C365" s="85" t="n"/>
      <c r="D365" s="85" t="n"/>
      <c r="E365" s="85" t="n"/>
      <c r="F365" s="85" t="n"/>
      <c r="G365" s="85" t="n"/>
      <c r="H365" s="85" t="n"/>
      <c r="S365">
        <f>IF(22&lt;='設定'!$B$6,"表示","隠す")</f>
        <v/>
      </c>
    </row>
    <row r="366" hidden="1" ht="21" customHeight="1">
      <c r="A366" s="84" t="n"/>
      <c r="B366" s="46">
        <f>'設定'!$I$33</f>
        <v/>
      </c>
      <c r="C366" s="85" t="n"/>
      <c r="D366" s="85" t="n"/>
      <c r="E366" s="85" t="n"/>
      <c r="F366" s="85" t="n"/>
      <c r="G366" s="85" t="n"/>
      <c r="H366" s="85" t="n"/>
      <c r="S366">
        <f>IF(23&lt;='設定'!$B$6,"表示","隠す")</f>
        <v/>
      </c>
    </row>
    <row r="367" hidden="1" ht="21" customHeight="1">
      <c r="A367" s="84" t="n"/>
      <c r="B367" s="46">
        <f>'設定'!$I$34</f>
        <v/>
      </c>
      <c r="C367" s="85" t="n"/>
      <c r="D367" s="85" t="n"/>
      <c r="E367" s="85" t="n"/>
      <c r="F367" s="85" t="n"/>
      <c r="G367" s="85" t="n"/>
      <c r="H367" s="85" t="n"/>
      <c r="S367">
        <f>IF(24&lt;='設定'!$B$6,"表示","隠す")</f>
        <v/>
      </c>
    </row>
    <row r="368">
      <c r="S368" t="inlineStr">
        <is>
          <t>表示</t>
        </is>
      </c>
    </row>
    <row r="369" ht="26" customHeight="1">
      <c r="B369" s="78">
        <f>IF('名簿'!B18="","（名簿 14行目：なし）",'名簿'!P18)</f>
        <v/>
      </c>
      <c r="C369" s="5" t="n"/>
      <c r="D369" s="5" t="n"/>
      <c r="E369" s="79" t="inlineStr">
        <is>
          <t>提出状況 ▶</t>
        </is>
      </c>
      <c r="F369" s="42" t="n"/>
      <c r="G369" s="33" t="n"/>
      <c r="H369" s="80" t="inlineStr">
        <is>
          <t>状況：</t>
        </is>
      </c>
      <c r="I369" s="81">
        <f>'名簿'!Q18</f>
        <v/>
      </c>
      <c r="J369" s="80" t="inlineStr">
        <is>
          <t>×の数：</t>
        </is>
      </c>
      <c r="K369" s="82">
        <f>'名簿'!R18</f>
        <v/>
      </c>
      <c r="L369" s="83">
        <f>HYPERLINK("#'×入力'!B397","次の人へ ▼")</f>
        <v/>
      </c>
      <c r="S369" t="inlineStr">
        <is>
          <t>表示</t>
        </is>
      </c>
    </row>
    <row r="370" ht="22" customHeight="1">
      <c r="A370" s="34" t="inlineStr">
        <is>
          <t>この日全部 ▶</t>
        </is>
      </c>
      <c r="C370" s="84" t="n"/>
      <c r="D370" s="84" t="n"/>
      <c r="E370" s="84" t="n"/>
      <c r="F370" s="84" t="n"/>
      <c r="G370" s="84" t="n"/>
      <c r="H370" s="84" t="n"/>
      <c r="S370" t="inlineStr">
        <is>
          <t>表示</t>
        </is>
      </c>
    </row>
    <row r="371" ht="28" customHeight="1">
      <c r="A371" s="37" t="inlineStr">
        <is>
          <t>この時間
全部 ▼</t>
        </is>
      </c>
      <c r="B371" s="38" t="inlineStr"/>
      <c r="C371" s="39">
        <f>'設定'!$E$11</f>
        <v/>
      </c>
      <c r="D371" s="39">
        <f>'設定'!$E$12</f>
        <v/>
      </c>
      <c r="E371" s="39">
        <f>'設定'!$E$13</f>
        <v/>
      </c>
      <c r="F371" s="39">
        <f>'設定'!$E$14</f>
        <v/>
      </c>
      <c r="G371" s="39">
        <f>'設定'!$E$15</f>
        <v/>
      </c>
      <c r="H371" s="39">
        <f>'設定'!$E$16</f>
        <v/>
      </c>
      <c r="S371" t="inlineStr">
        <is>
          <t>表示</t>
        </is>
      </c>
    </row>
    <row r="372" ht="21" customHeight="1">
      <c r="A372" s="84" t="n"/>
      <c r="B372" s="46">
        <f>'設定'!$I$11</f>
        <v/>
      </c>
      <c r="C372" s="85" t="n"/>
      <c r="D372" s="85" t="n"/>
      <c r="E372" s="85" t="inlineStr">
        <is>
          <t>×</t>
        </is>
      </c>
      <c r="F372" s="85" t="n"/>
      <c r="G372" s="85" t="n"/>
      <c r="H372" s="85" t="n"/>
      <c r="S372">
        <f>IF(1&lt;='設定'!$B$6,"表示","隠す")</f>
        <v/>
      </c>
    </row>
    <row r="373" ht="21" customHeight="1">
      <c r="A373" s="84" t="n"/>
      <c r="B373" s="46">
        <f>'設定'!$I$12</f>
        <v/>
      </c>
      <c r="C373" s="85" t="inlineStr">
        <is>
          <t>×</t>
        </is>
      </c>
      <c r="D373" s="85" t="n"/>
      <c r="E373" s="85" t="inlineStr">
        <is>
          <t>×</t>
        </is>
      </c>
      <c r="F373" s="85" t="inlineStr">
        <is>
          <t>×</t>
        </is>
      </c>
      <c r="G373" s="85" t="n"/>
      <c r="H373" s="85" t="n"/>
      <c r="S373">
        <f>IF(2&lt;='設定'!$B$6,"表示","隠す")</f>
        <v/>
      </c>
    </row>
    <row r="374" ht="21" customHeight="1">
      <c r="A374" s="84" t="n"/>
      <c r="B374" s="46">
        <f>'設定'!$I$13</f>
        <v/>
      </c>
      <c r="C374" s="85" t="n"/>
      <c r="D374" s="85" t="n"/>
      <c r="E374" s="85" t="inlineStr">
        <is>
          <t>×</t>
        </is>
      </c>
      <c r="F374" s="85" t="n"/>
      <c r="G374" s="85" t="n"/>
      <c r="H374" s="85" t="n"/>
      <c r="S374">
        <f>IF(3&lt;='設定'!$B$6,"表示","隠す")</f>
        <v/>
      </c>
    </row>
    <row r="375" ht="21" customHeight="1">
      <c r="A375" s="84" t="n"/>
      <c r="B375" s="46">
        <f>'設定'!$I$14</f>
        <v/>
      </c>
      <c r="C375" s="85" t="n"/>
      <c r="D375" s="85" t="inlineStr">
        <is>
          <t>×</t>
        </is>
      </c>
      <c r="E375" s="85" t="inlineStr">
        <is>
          <t>×</t>
        </is>
      </c>
      <c r="F375" s="85" t="n"/>
      <c r="G375" s="85" t="n"/>
      <c r="H375" s="85" t="n"/>
      <c r="S375">
        <f>IF(4&lt;='設定'!$B$6,"表示","隠す")</f>
        <v/>
      </c>
    </row>
    <row r="376" ht="21" customHeight="1">
      <c r="A376" s="84" t="n"/>
      <c r="B376" s="46">
        <f>'設定'!$I$15</f>
        <v/>
      </c>
      <c r="C376" s="85" t="n"/>
      <c r="D376" s="85" t="n"/>
      <c r="E376" s="85" t="inlineStr">
        <is>
          <t>×</t>
        </is>
      </c>
      <c r="F376" s="85" t="n"/>
      <c r="G376" s="85" t="n"/>
      <c r="H376" s="85" t="n"/>
      <c r="S376">
        <f>IF(5&lt;='設定'!$B$6,"表示","隠す")</f>
        <v/>
      </c>
    </row>
    <row r="377" ht="21" customHeight="1">
      <c r="A377" s="84" t="n"/>
      <c r="B377" s="46">
        <f>'設定'!$I$16</f>
        <v/>
      </c>
      <c r="C377" s="85" t="n"/>
      <c r="D377" s="85" t="inlineStr">
        <is>
          <t>×</t>
        </is>
      </c>
      <c r="E377" s="85" t="inlineStr">
        <is>
          <t>×</t>
        </is>
      </c>
      <c r="F377" s="85" t="inlineStr">
        <is>
          <t>×</t>
        </is>
      </c>
      <c r="G377" s="85" t="n"/>
      <c r="H377" s="85" t="n"/>
      <c r="S377">
        <f>IF(6&lt;='設定'!$B$6,"表示","隠す")</f>
        <v/>
      </c>
    </row>
    <row r="378" ht="21" customHeight="1">
      <c r="A378" s="84" t="n"/>
      <c r="B378" s="46">
        <f>'設定'!$I$17</f>
        <v/>
      </c>
      <c r="C378" s="85" t="n"/>
      <c r="D378" s="85" t="n"/>
      <c r="E378" s="85" t="inlineStr">
        <is>
          <t>×</t>
        </is>
      </c>
      <c r="F378" s="85" t="inlineStr">
        <is>
          <t>×</t>
        </is>
      </c>
      <c r="G378" s="85" t="n"/>
      <c r="H378" s="85" t="n"/>
      <c r="S378">
        <f>IF(7&lt;='設定'!$B$6,"表示","隠す")</f>
        <v/>
      </c>
    </row>
    <row r="379" ht="21" customHeight="1">
      <c r="A379" s="84" t="n"/>
      <c r="B379" s="46">
        <f>'設定'!$I$18</f>
        <v/>
      </c>
      <c r="C379" s="85" t="n"/>
      <c r="D379" s="85" t="n"/>
      <c r="E379" s="85" t="inlineStr">
        <is>
          <t>×</t>
        </is>
      </c>
      <c r="F379" s="85" t="n"/>
      <c r="G379" s="85" t="inlineStr">
        <is>
          <t>×</t>
        </is>
      </c>
      <c r="H379" s="85" t="n"/>
      <c r="S379">
        <f>IF(8&lt;='設定'!$B$6,"表示","隠す")</f>
        <v/>
      </c>
    </row>
    <row r="380" ht="21" customHeight="1">
      <c r="A380" s="84" t="n"/>
      <c r="B380" s="46">
        <f>'設定'!$I$19</f>
        <v/>
      </c>
      <c r="C380" s="85" t="n"/>
      <c r="D380" s="85" t="n"/>
      <c r="E380" s="85" t="inlineStr">
        <is>
          <t>×</t>
        </is>
      </c>
      <c r="F380" s="85" t="n"/>
      <c r="G380" s="85" t="inlineStr">
        <is>
          <t>×</t>
        </is>
      </c>
      <c r="H380" s="85" t="n"/>
      <c r="S380">
        <f>IF(9&lt;='設定'!$B$6,"表示","隠す")</f>
        <v/>
      </c>
    </row>
    <row r="381" hidden="1" ht="21" customHeight="1">
      <c r="A381" s="84" t="n"/>
      <c r="B381" s="46">
        <f>'設定'!$I$20</f>
        <v/>
      </c>
      <c r="C381" s="85" t="n"/>
      <c r="D381" s="85" t="n"/>
      <c r="E381" s="85" t="n"/>
      <c r="F381" s="85" t="n"/>
      <c r="G381" s="85" t="n"/>
      <c r="H381" s="85" t="n"/>
      <c r="S381">
        <f>IF(10&lt;='設定'!$B$6,"表示","隠す")</f>
        <v/>
      </c>
    </row>
    <row r="382" hidden="1" ht="21" customHeight="1">
      <c r="A382" s="84" t="n"/>
      <c r="B382" s="46">
        <f>'設定'!$I$21</f>
        <v/>
      </c>
      <c r="C382" s="85" t="n"/>
      <c r="D382" s="85" t="n"/>
      <c r="E382" s="85" t="n"/>
      <c r="F382" s="85" t="n"/>
      <c r="G382" s="85" t="n"/>
      <c r="H382" s="85" t="n"/>
      <c r="S382">
        <f>IF(11&lt;='設定'!$B$6,"表示","隠す")</f>
        <v/>
      </c>
    </row>
    <row r="383" hidden="1" ht="21" customHeight="1">
      <c r="A383" s="84" t="n"/>
      <c r="B383" s="46">
        <f>'設定'!$I$22</f>
        <v/>
      </c>
      <c r="C383" s="85" t="n"/>
      <c r="D383" s="85" t="n"/>
      <c r="E383" s="85" t="n"/>
      <c r="F383" s="85" t="n"/>
      <c r="G383" s="85" t="n"/>
      <c r="H383" s="85" t="n"/>
      <c r="S383">
        <f>IF(12&lt;='設定'!$B$6,"表示","隠す")</f>
        <v/>
      </c>
    </row>
    <row r="384" hidden="1" ht="21" customHeight="1">
      <c r="A384" s="84" t="n"/>
      <c r="B384" s="46">
        <f>'設定'!$I$23</f>
        <v/>
      </c>
      <c r="C384" s="85" t="n"/>
      <c r="D384" s="85" t="n"/>
      <c r="E384" s="85" t="n"/>
      <c r="F384" s="85" t="n"/>
      <c r="G384" s="85" t="n"/>
      <c r="H384" s="85" t="n"/>
      <c r="S384">
        <f>IF(13&lt;='設定'!$B$6,"表示","隠す")</f>
        <v/>
      </c>
    </row>
    <row r="385" hidden="1" ht="21" customHeight="1">
      <c r="A385" s="84" t="n"/>
      <c r="B385" s="46">
        <f>'設定'!$I$24</f>
        <v/>
      </c>
      <c r="C385" s="85" t="n"/>
      <c r="D385" s="85" t="n"/>
      <c r="E385" s="85" t="n"/>
      <c r="F385" s="85" t="n"/>
      <c r="G385" s="85" t="n"/>
      <c r="H385" s="85" t="n"/>
      <c r="S385">
        <f>IF(14&lt;='設定'!$B$6,"表示","隠す")</f>
        <v/>
      </c>
    </row>
    <row r="386" hidden="1" ht="21" customHeight="1">
      <c r="A386" s="84" t="n"/>
      <c r="B386" s="46">
        <f>'設定'!$I$25</f>
        <v/>
      </c>
      <c r="C386" s="85" t="n"/>
      <c r="D386" s="85" t="n"/>
      <c r="E386" s="85" t="n"/>
      <c r="F386" s="85" t="n"/>
      <c r="G386" s="85" t="n"/>
      <c r="H386" s="85" t="n"/>
      <c r="S386">
        <f>IF(15&lt;='設定'!$B$6,"表示","隠す")</f>
        <v/>
      </c>
    </row>
    <row r="387" hidden="1" ht="21" customHeight="1">
      <c r="A387" s="84" t="n"/>
      <c r="B387" s="46">
        <f>'設定'!$I$26</f>
        <v/>
      </c>
      <c r="C387" s="85" t="n"/>
      <c r="D387" s="85" t="n"/>
      <c r="E387" s="85" t="n"/>
      <c r="F387" s="85" t="n"/>
      <c r="G387" s="85" t="n"/>
      <c r="H387" s="85" t="n"/>
      <c r="S387">
        <f>IF(16&lt;='設定'!$B$6,"表示","隠す")</f>
        <v/>
      </c>
    </row>
    <row r="388" hidden="1" ht="21" customHeight="1">
      <c r="A388" s="84" t="n"/>
      <c r="B388" s="46">
        <f>'設定'!$I$27</f>
        <v/>
      </c>
      <c r="C388" s="85" t="n"/>
      <c r="D388" s="85" t="n"/>
      <c r="E388" s="85" t="n"/>
      <c r="F388" s="85" t="n"/>
      <c r="G388" s="85" t="n"/>
      <c r="H388" s="85" t="n"/>
      <c r="S388">
        <f>IF(17&lt;='設定'!$B$6,"表示","隠す")</f>
        <v/>
      </c>
    </row>
    <row r="389" hidden="1" ht="21" customHeight="1">
      <c r="A389" s="84" t="n"/>
      <c r="B389" s="46">
        <f>'設定'!$I$28</f>
        <v/>
      </c>
      <c r="C389" s="85" t="n"/>
      <c r="D389" s="85" t="n"/>
      <c r="E389" s="85" t="n"/>
      <c r="F389" s="85" t="n"/>
      <c r="G389" s="85" t="n"/>
      <c r="H389" s="85" t="n"/>
      <c r="S389">
        <f>IF(18&lt;='設定'!$B$6,"表示","隠す")</f>
        <v/>
      </c>
    </row>
    <row r="390" hidden="1" ht="21" customHeight="1">
      <c r="A390" s="84" t="n"/>
      <c r="B390" s="46">
        <f>'設定'!$I$29</f>
        <v/>
      </c>
      <c r="C390" s="85" t="n"/>
      <c r="D390" s="85" t="n"/>
      <c r="E390" s="85" t="n"/>
      <c r="F390" s="85" t="n"/>
      <c r="G390" s="85" t="n"/>
      <c r="H390" s="85" t="n"/>
      <c r="S390">
        <f>IF(19&lt;='設定'!$B$6,"表示","隠す")</f>
        <v/>
      </c>
    </row>
    <row r="391" hidden="1" ht="21" customHeight="1">
      <c r="A391" s="84" t="n"/>
      <c r="B391" s="46">
        <f>'設定'!$I$30</f>
        <v/>
      </c>
      <c r="C391" s="85" t="n"/>
      <c r="D391" s="85" t="n"/>
      <c r="E391" s="85" t="n"/>
      <c r="F391" s="85" t="n"/>
      <c r="G391" s="85" t="n"/>
      <c r="H391" s="85" t="n"/>
      <c r="S391">
        <f>IF(20&lt;='設定'!$B$6,"表示","隠す")</f>
        <v/>
      </c>
    </row>
    <row r="392" hidden="1" ht="21" customHeight="1">
      <c r="A392" s="84" t="n"/>
      <c r="B392" s="46">
        <f>'設定'!$I$31</f>
        <v/>
      </c>
      <c r="C392" s="85" t="n"/>
      <c r="D392" s="85" t="n"/>
      <c r="E392" s="85" t="n"/>
      <c r="F392" s="85" t="n"/>
      <c r="G392" s="85" t="n"/>
      <c r="H392" s="85" t="n"/>
      <c r="S392">
        <f>IF(21&lt;='設定'!$B$6,"表示","隠す")</f>
        <v/>
      </c>
    </row>
    <row r="393" hidden="1" ht="21" customHeight="1">
      <c r="A393" s="84" t="n"/>
      <c r="B393" s="46">
        <f>'設定'!$I$32</f>
        <v/>
      </c>
      <c r="C393" s="85" t="n"/>
      <c r="D393" s="85" t="n"/>
      <c r="E393" s="85" t="n"/>
      <c r="F393" s="85" t="n"/>
      <c r="G393" s="85" t="n"/>
      <c r="H393" s="85" t="n"/>
      <c r="S393">
        <f>IF(22&lt;='設定'!$B$6,"表示","隠す")</f>
        <v/>
      </c>
    </row>
    <row r="394" hidden="1" ht="21" customHeight="1">
      <c r="A394" s="84" t="n"/>
      <c r="B394" s="46">
        <f>'設定'!$I$33</f>
        <v/>
      </c>
      <c r="C394" s="85" t="n"/>
      <c r="D394" s="85" t="n"/>
      <c r="E394" s="85" t="n"/>
      <c r="F394" s="85" t="n"/>
      <c r="G394" s="85" t="n"/>
      <c r="H394" s="85" t="n"/>
      <c r="S394">
        <f>IF(23&lt;='設定'!$B$6,"表示","隠す")</f>
        <v/>
      </c>
    </row>
    <row r="395" hidden="1" ht="21" customHeight="1">
      <c r="A395" s="84" t="n"/>
      <c r="B395" s="46">
        <f>'設定'!$I$34</f>
        <v/>
      </c>
      <c r="C395" s="85" t="n"/>
      <c r="D395" s="85" t="n"/>
      <c r="E395" s="85" t="n"/>
      <c r="F395" s="85" t="n"/>
      <c r="G395" s="85" t="n"/>
      <c r="H395" s="85" t="n"/>
      <c r="S395">
        <f>IF(24&lt;='設定'!$B$6,"表示","隠す")</f>
        <v/>
      </c>
    </row>
    <row r="396">
      <c r="S396" t="inlineStr">
        <is>
          <t>表示</t>
        </is>
      </c>
    </row>
    <row r="397" ht="26" customHeight="1">
      <c r="B397" s="78">
        <f>IF('名簿'!B19="","（名簿 15行目：なし）",'名簿'!P19)</f>
        <v/>
      </c>
      <c r="C397" s="5" t="n"/>
      <c r="D397" s="5" t="n"/>
      <c r="E397" s="79" t="inlineStr">
        <is>
          <t>提出状況 ▶</t>
        </is>
      </c>
      <c r="F397" s="42" t="n"/>
      <c r="G397" s="33" t="n"/>
      <c r="H397" s="80" t="inlineStr">
        <is>
          <t>状況：</t>
        </is>
      </c>
      <c r="I397" s="81">
        <f>'名簿'!Q19</f>
        <v/>
      </c>
      <c r="J397" s="80" t="inlineStr">
        <is>
          <t>×の数：</t>
        </is>
      </c>
      <c r="K397" s="82">
        <f>'名簿'!R19</f>
        <v/>
      </c>
      <c r="L397" s="83">
        <f>HYPERLINK("#'×入力'!B425","次の人へ ▼")</f>
        <v/>
      </c>
      <c r="S397" t="inlineStr">
        <is>
          <t>表示</t>
        </is>
      </c>
    </row>
    <row r="398" ht="22" customHeight="1">
      <c r="A398" s="34" t="inlineStr">
        <is>
          <t>この日全部 ▶</t>
        </is>
      </c>
      <c r="C398" s="84" t="n"/>
      <c r="D398" s="84" t="n"/>
      <c r="E398" s="84" t="n"/>
      <c r="F398" s="84" t="n"/>
      <c r="G398" s="84" t="n"/>
      <c r="H398" s="84" t="n"/>
      <c r="S398" t="inlineStr">
        <is>
          <t>表示</t>
        </is>
      </c>
    </row>
    <row r="399" ht="28" customHeight="1">
      <c r="A399" s="37" t="inlineStr">
        <is>
          <t>この時間
全部 ▼</t>
        </is>
      </c>
      <c r="B399" s="38" t="inlineStr"/>
      <c r="C399" s="39">
        <f>'設定'!$E$11</f>
        <v/>
      </c>
      <c r="D399" s="39">
        <f>'設定'!$E$12</f>
        <v/>
      </c>
      <c r="E399" s="39">
        <f>'設定'!$E$13</f>
        <v/>
      </c>
      <c r="F399" s="39">
        <f>'設定'!$E$14</f>
        <v/>
      </c>
      <c r="G399" s="39">
        <f>'設定'!$E$15</f>
        <v/>
      </c>
      <c r="H399" s="39">
        <f>'設定'!$E$16</f>
        <v/>
      </c>
      <c r="S399" t="inlineStr">
        <is>
          <t>表示</t>
        </is>
      </c>
    </row>
    <row r="400" ht="21" customHeight="1">
      <c r="A400" s="84" t="n"/>
      <c r="B400" s="46">
        <f>'設定'!$I$11</f>
        <v/>
      </c>
      <c r="C400" s="85" t="inlineStr">
        <is>
          <t>×</t>
        </is>
      </c>
      <c r="D400" s="85" t="inlineStr">
        <is>
          <t>×</t>
        </is>
      </c>
      <c r="E400" s="85" t="inlineStr">
        <is>
          <t>×</t>
        </is>
      </c>
      <c r="F400" s="85" t="inlineStr">
        <is>
          <t>×</t>
        </is>
      </c>
      <c r="G400" s="85" t="inlineStr">
        <is>
          <t>×</t>
        </is>
      </c>
      <c r="H400" s="85" t="n"/>
      <c r="S400">
        <f>IF(1&lt;='設定'!$B$6,"表示","隠す")</f>
        <v/>
      </c>
    </row>
    <row r="401" ht="21" customHeight="1">
      <c r="A401" s="84" t="n"/>
      <c r="B401" s="46">
        <f>'設定'!$I$12</f>
        <v/>
      </c>
      <c r="C401" s="85" t="inlineStr">
        <is>
          <t>×</t>
        </is>
      </c>
      <c r="D401" s="85" t="inlineStr">
        <is>
          <t>×</t>
        </is>
      </c>
      <c r="E401" s="85" t="inlineStr">
        <is>
          <t>×</t>
        </is>
      </c>
      <c r="F401" s="85" t="inlineStr">
        <is>
          <t>×</t>
        </is>
      </c>
      <c r="G401" s="85" t="inlineStr">
        <is>
          <t>×</t>
        </is>
      </c>
      <c r="H401" s="85" t="n"/>
      <c r="S401">
        <f>IF(2&lt;='設定'!$B$6,"表示","隠す")</f>
        <v/>
      </c>
    </row>
    <row r="402" ht="21" customHeight="1">
      <c r="A402" s="84" t="n"/>
      <c r="B402" s="46">
        <f>'設定'!$I$13</f>
        <v/>
      </c>
      <c r="C402" s="85" t="inlineStr">
        <is>
          <t>×</t>
        </is>
      </c>
      <c r="D402" s="85" t="inlineStr">
        <is>
          <t>×</t>
        </is>
      </c>
      <c r="E402" s="85" t="inlineStr">
        <is>
          <t>×</t>
        </is>
      </c>
      <c r="F402" s="85" t="inlineStr">
        <is>
          <t>×</t>
        </is>
      </c>
      <c r="G402" s="85" t="inlineStr">
        <is>
          <t>×</t>
        </is>
      </c>
      <c r="H402" s="85" t="n"/>
      <c r="S402">
        <f>IF(3&lt;='設定'!$B$6,"表示","隠す")</f>
        <v/>
      </c>
    </row>
    <row r="403" ht="21" customHeight="1">
      <c r="A403" s="84" t="n"/>
      <c r="B403" s="46">
        <f>'設定'!$I$14</f>
        <v/>
      </c>
      <c r="C403" s="85" t="n"/>
      <c r="D403" s="85" t="n"/>
      <c r="E403" s="85" t="n"/>
      <c r="F403" s="85" t="n"/>
      <c r="G403" s="85" t="n"/>
      <c r="H403" s="85" t="n"/>
      <c r="S403">
        <f>IF(4&lt;='設定'!$B$6,"表示","隠す")</f>
        <v/>
      </c>
    </row>
    <row r="404" ht="21" customHeight="1">
      <c r="A404" s="84" t="n"/>
      <c r="B404" s="46">
        <f>'設定'!$I$15</f>
        <v/>
      </c>
      <c r="C404" s="85" t="n"/>
      <c r="D404" s="85" t="n"/>
      <c r="E404" s="85" t="n"/>
      <c r="F404" s="85" t="n"/>
      <c r="G404" s="85" t="n"/>
      <c r="H404" s="85" t="n"/>
      <c r="S404">
        <f>IF(5&lt;='設定'!$B$6,"表示","隠す")</f>
        <v/>
      </c>
    </row>
    <row r="405" ht="21" customHeight="1">
      <c r="A405" s="84" t="n"/>
      <c r="B405" s="46">
        <f>'設定'!$I$16</f>
        <v/>
      </c>
      <c r="C405" s="85" t="n"/>
      <c r="D405" s="85" t="n"/>
      <c r="E405" s="85" t="n"/>
      <c r="F405" s="85" t="n"/>
      <c r="G405" s="85" t="n"/>
      <c r="H405" s="85" t="n"/>
      <c r="S405">
        <f>IF(6&lt;='設定'!$B$6,"表示","隠す")</f>
        <v/>
      </c>
    </row>
    <row r="406" ht="21" customHeight="1">
      <c r="A406" s="84" t="n"/>
      <c r="B406" s="46">
        <f>'設定'!$I$17</f>
        <v/>
      </c>
      <c r="C406" s="85" t="n"/>
      <c r="D406" s="85" t="n"/>
      <c r="E406" s="85" t="n"/>
      <c r="F406" s="85" t="n"/>
      <c r="G406" s="85" t="n"/>
      <c r="H406" s="85" t="n"/>
      <c r="S406">
        <f>IF(7&lt;='設定'!$B$6,"表示","隠す")</f>
        <v/>
      </c>
    </row>
    <row r="407" ht="21" customHeight="1">
      <c r="A407" s="84" t="n"/>
      <c r="B407" s="46">
        <f>'設定'!$I$18</f>
        <v/>
      </c>
      <c r="C407" s="85" t="n"/>
      <c r="D407" s="85" t="n"/>
      <c r="E407" s="85" t="n"/>
      <c r="F407" s="85" t="n"/>
      <c r="G407" s="85" t="n"/>
      <c r="H407" s="85" t="n"/>
      <c r="S407">
        <f>IF(8&lt;='設定'!$B$6,"表示","隠す")</f>
        <v/>
      </c>
    </row>
    <row r="408" ht="21" customHeight="1">
      <c r="A408" s="84" t="n"/>
      <c r="B408" s="46">
        <f>'設定'!$I$19</f>
        <v/>
      </c>
      <c r="C408" s="85" t="n"/>
      <c r="D408" s="85" t="n"/>
      <c r="E408" s="85" t="inlineStr">
        <is>
          <t>×</t>
        </is>
      </c>
      <c r="F408" s="85" t="n"/>
      <c r="G408" s="85" t="inlineStr">
        <is>
          <t>×</t>
        </is>
      </c>
      <c r="H408" s="85" t="n"/>
      <c r="S408">
        <f>IF(9&lt;='設定'!$B$6,"表示","隠す")</f>
        <v/>
      </c>
    </row>
    <row r="409" hidden="1" ht="21" customHeight="1">
      <c r="A409" s="84" t="n"/>
      <c r="B409" s="46">
        <f>'設定'!$I$20</f>
        <v/>
      </c>
      <c r="C409" s="85" t="n"/>
      <c r="D409" s="85" t="n"/>
      <c r="E409" s="85" t="n"/>
      <c r="F409" s="85" t="n"/>
      <c r="G409" s="85" t="n"/>
      <c r="H409" s="85" t="n"/>
      <c r="S409">
        <f>IF(10&lt;='設定'!$B$6,"表示","隠す")</f>
        <v/>
      </c>
    </row>
    <row r="410" hidden="1" ht="21" customHeight="1">
      <c r="A410" s="84" t="n"/>
      <c r="B410" s="46">
        <f>'設定'!$I$21</f>
        <v/>
      </c>
      <c r="C410" s="85" t="n"/>
      <c r="D410" s="85" t="n"/>
      <c r="E410" s="85" t="n"/>
      <c r="F410" s="85" t="n"/>
      <c r="G410" s="85" t="n"/>
      <c r="H410" s="85" t="n"/>
      <c r="S410">
        <f>IF(11&lt;='設定'!$B$6,"表示","隠す")</f>
        <v/>
      </c>
    </row>
    <row r="411" hidden="1" ht="21" customHeight="1">
      <c r="A411" s="84" t="n"/>
      <c r="B411" s="46">
        <f>'設定'!$I$22</f>
        <v/>
      </c>
      <c r="C411" s="85" t="n"/>
      <c r="D411" s="85" t="n"/>
      <c r="E411" s="85" t="n"/>
      <c r="F411" s="85" t="n"/>
      <c r="G411" s="85" t="n"/>
      <c r="H411" s="85" t="n"/>
      <c r="S411">
        <f>IF(12&lt;='設定'!$B$6,"表示","隠す")</f>
        <v/>
      </c>
    </row>
    <row r="412" hidden="1" ht="21" customHeight="1">
      <c r="A412" s="84" t="n"/>
      <c r="B412" s="46">
        <f>'設定'!$I$23</f>
        <v/>
      </c>
      <c r="C412" s="85" t="n"/>
      <c r="D412" s="85" t="n"/>
      <c r="E412" s="85" t="n"/>
      <c r="F412" s="85" t="n"/>
      <c r="G412" s="85" t="n"/>
      <c r="H412" s="85" t="n"/>
      <c r="S412">
        <f>IF(13&lt;='設定'!$B$6,"表示","隠す")</f>
        <v/>
      </c>
    </row>
    <row r="413" hidden="1" ht="21" customHeight="1">
      <c r="A413" s="84" t="n"/>
      <c r="B413" s="46">
        <f>'設定'!$I$24</f>
        <v/>
      </c>
      <c r="C413" s="85" t="n"/>
      <c r="D413" s="85" t="n"/>
      <c r="E413" s="85" t="n"/>
      <c r="F413" s="85" t="n"/>
      <c r="G413" s="85" t="n"/>
      <c r="H413" s="85" t="n"/>
      <c r="S413">
        <f>IF(14&lt;='設定'!$B$6,"表示","隠す")</f>
        <v/>
      </c>
    </row>
    <row r="414" hidden="1" ht="21" customHeight="1">
      <c r="A414" s="84" t="n"/>
      <c r="B414" s="46">
        <f>'設定'!$I$25</f>
        <v/>
      </c>
      <c r="C414" s="85" t="n"/>
      <c r="D414" s="85" t="n"/>
      <c r="E414" s="85" t="n"/>
      <c r="F414" s="85" t="n"/>
      <c r="G414" s="85" t="n"/>
      <c r="H414" s="85" t="n"/>
      <c r="S414">
        <f>IF(15&lt;='設定'!$B$6,"表示","隠す")</f>
        <v/>
      </c>
    </row>
    <row r="415" hidden="1" ht="21" customHeight="1">
      <c r="A415" s="84" t="n"/>
      <c r="B415" s="46">
        <f>'設定'!$I$26</f>
        <v/>
      </c>
      <c r="C415" s="85" t="n"/>
      <c r="D415" s="85" t="n"/>
      <c r="E415" s="85" t="n"/>
      <c r="F415" s="85" t="n"/>
      <c r="G415" s="85" t="n"/>
      <c r="H415" s="85" t="n"/>
      <c r="S415">
        <f>IF(16&lt;='設定'!$B$6,"表示","隠す")</f>
        <v/>
      </c>
    </row>
    <row r="416" hidden="1" ht="21" customHeight="1">
      <c r="A416" s="84" t="n"/>
      <c r="B416" s="46">
        <f>'設定'!$I$27</f>
        <v/>
      </c>
      <c r="C416" s="85" t="n"/>
      <c r="D416" s="85" t="n"/>
      <c r="E416" s="85" t="n"/>
      <c r="F416" s="85" t="n"/>
      <c r="G416" s="85" t="n"/>
      <c r="H416" s="85" t="n"/>
      <c r="S416">
        <f>IF(17&lt;='設定'!$B$6,"表示","隠す")</f>
        <v/>
      </c>
    </row>
    <row r="417" hidden="1" ht="21" customHeight="1">
      <c r="A417" s="84" t="n"/>
      <c r="B417" s="46">
        <f>'設定'!$I$28</f>
        <v/>
      </c>
      <c r="C417" s="85" t="n"/>
      <c r="D417" s="85" t="n"/>
      <c r="E417" s="85" t="n"/>
      <c r="F417" s="85" t="n"/>
      <c r="G417" s="85" t="n"/>
      <c r="H417" s="85" t="n"/>
      <c r="S417">
        <f>IF(18&lt;='設定'!$B$6,"表示","隠す")</f>
        <v/>
      </c>
    </row>
    <row r="418" hidden="1" ht="21" customHeight="1">
      <c r="A418" s="84" t="n"/>
      <c r="B418" s="46">
        <f>'設定'!$I$29</f>
        <v/>
      </c>
      <c r="C418" s="85" t="n"/>
      <c r="D418" s="85" t="n"/>
      <c r="E418" s="85" t="n"/>
      <c r="F418" s="85" t="n"/>
      <c r="G418" s="85" t="n"/>
      <c r="H418" s="85" t="n"/>
      <c r="S418">
        <f>IF(19&lt;='設定'!$B$6,"表示","隠す")</f>
        <v/>
      </c>
    </row>
    <row r="419" hidden="1" ht="21" customHeight="1">
      <c r="A419" s="84" t="n"/>
      <c r="B419" s="46">
        <f>'設定'!$I$30</f>
        <v/>
      </c>
      <c r="C419" s="85" t="n"/>
      <c r="D419" s="85" t="n"/>
      <c r="E419" s="85" t="n"/>
      <c r="F419" s="85" t="n"/>
      <c r="G419" s="85" t="n"/>
      <c r="H419" s="85" t="n"/>
      <c r="S419">
        <f>IF(20&lt;='設定'!$B$6,"表示","隠す")</f>
        <v/>
      </c>
    </row>
    <row r="420" hidden="1" ht="21" customHeight="1">
      <c r="A420" s="84" t="n"/>
      <c r="B420" s="46">
        <f>'設定'!$I$31</f>
        <v/>
      </c>
      <c r="C420" s="85" t="n"/>
      <c r="D420" s="85" t="n"/>
      <c r="E420" s="85" t="n"/>
      <c r="F420" s="85" t="n"/>
      <c r="G420" s="85" t="n"/>
      <c r="H420" s="85" t="n"/>
      <c r="S420">
        <f>IF(21&lt;='設定'!$B$6,"表示","隠す")</f>
        <v/>
      </c>
    </row>
    <row r="421" hidden="1" ht="21" customHeight="1">
      <c r="A421" s="84" t="n"/>
      <c r="B421" s="46">
        <f>'設定'!$I$32</f>
        <v/>
      </c>
      <c r="C421" s="85" t="n"/>
      <c r="D421" s="85" t="n"/>
      <c r="E421" s="85" t="n"/>
      <c r="F421" s="85" t="n"/>
      <c r="G421" s="85" t="n"/>
      <c r="H421" s="85" t="n"/>
      <c r="S421">
        <f>IF(22&lt;='設定'!$B$6,"表示","隠す")</f>
        <v/>
      </c>
    </row>
    <row r="422" hidden="1" ht="21" customHeight="1">
      <c r="A422" s="84" t="n"/>
      <c r="B422" s="46">
        <f>'設定'!$I$33</f>
        <v/>
      </c>
      <c r="C422" s="85" t="n"/>
      <c r="D422" s="85" t="n"/>
      <c r="E422" s="85" t="n"/>
      <c r="F422" s="85" t="n"/>
      <c r="G422" s="85" t="n"/>
      <c r="H422" s="85" t="n"/>
      <c r="S422">
        <f>IF(23&lt;='設定'!$B$6,"表示","隠す")</f>
        <v/>
      </c>
    </row>
    <row r="423" hidden="1" ht="21" customHeight="1">
      <c r="A423" s="84" t="n"/>
      <c r="B423" s="46">
        <f>'設定'!$I$34</f>
        <v/>
      </c>
      <c r="C423" s="85" t="n"/>
      <c r="D423" s="85" t="n"/>
      <c r="E423" s="85" t="n"/>
      <c r="F423" s="85" t="n"/>
      <c r="G423" s="85" t="n"/>
      <c r="H423" s="85" t="n"/>
      <c r="S423">
        <f>IF(24&lt;='設定'!$B$6,"表示","隠す")</f>
        <v/>
      </c>
    </row>
    <row r="424">
      <c r="S424" t="inlineStr">
        <is>
          <t>表示</t>
        </is>
      </c>
    </row>
    <row r="425" ht="26" customHeight="1">
      <c r="B425" s="78">
        <f>IF('名簿'!B20="","（名簿 16行目：なし）",'名簿'!P20)</f>
        <v/>
      </c>
      <c r="C425" s="5" t="n"/>
      <c r="D425" s="5" t="n"/>
      <c r="E425" s="79" t="inlineStr">
        <is>
          <t>提出状況 ▶</t>
        </is>
      </c>
      <c r="F425" s="42" t="n"/>
      <c r="G425" s="33" t="n"/>
      <c r="H425" s="80" t="inlineStr">
        <is>
          <t>状況：</t>
        </is>
      </c>
      <c r="I425" s="81">
        <f>'名簿'!Q20</f>
        <v/>
      </c>
      <c r="J425" s="80" t="inlineStr">
        <is>
          <t>×の数：</t>
        </is>
      </c>
      <c r="K425" s="82">
        <f>'名簿'!R20</f>
        <v/>
      </c>
      <c r="L425" s="83">
        <f>HYPERLINK("#'×入力'!B453","次の人へ ▼")</f>
        <v/>
      </c>
      <c r="S425" t="inlineStr">
        <is>
          <t>表示</t>
        </is>
      </c>
    </row>
    <row r="426" ht="22" customHeight="1">
      <c r="A426" s="34" t="inlineStr">
        <is>
          <t>この日全部 ▶</t>
        </is>
      </c>
      <c r="C426" s="84" t="n"/>
      <c r="D426" s="84" t="n"/>
      <c r="E426" s="84" t="n"/>
      <c r="F426" s="84" t="n"/>
      <c r="G426" s="84" t="n"/>
      <c r="H426" s="84" t="n"/>
      <c r="S426" t="inlineStr">
        <is>
          <t>表示</t>
        </is>
      </c>
    </row>
    <row r="427" ht="28" customHeight="1">
      <c r="A427" s="37" t="inlineStr">
        <is>
          <t>この時間
全部 ▼</t>
        </is>
      </c>
      <c r="B427" s="38" t="inlineStr"/>
      <c r="C427" s="39">
        <f>'設定'!$E$11</f>
        <v/>
      </c>
      <c r="D427" s="39">
        <f>'設定'!$E$12</f>
        <v/>
      </c>
      <c r="E427" s="39">
        <f>'設定'!$E$13</f>
        <v/>
      </c>
      <c r="F427" s="39">
        <f>'設定'!$E$14</f>
        <v/>
      </c>
      <c r="G427" s="39">
        <f>'設定'!$E$15</f>
        <v/>
      </c>
      <c r="H427" s="39">
        <f>'設定'!$E$16</f>
        <v/>
      </c>
      <c r="S427" t="inlineStr">
        <is>
          <t>表示</t>
        </is>
      </c>
    </row>
    <row r="428" ht="21" customHeight="1">
      <c r="A428" s="84" t="n"/>
      <c r="B428" s="46">
        <f>'設定'!$I$11</f>
        <v/>
      </c>
      <c r="C428" s="85" t="n"/>
      <c r="D428" s="85" t="inlineStr">
        <is>
          <t>×</t>
        </is>
      </c>
      <c r="E428" s="85" t="inlineStr">
        <is>
          <t>×</t>
        </is>
      </c>
      <c r="F428" s="85" t="n"/>
      <c r="G428" s="85" t="inlineStr">
        <is>
          <t>×</t>
        </is>
      </c>
      <c r="H428" s="85" t="n"/>
      <c r="S428">
        <f>IF(1&lt;='設定'!$B$6,"表示","隠す")</f>
        <v/>
      </c>
    </row>
    <row r="429" ht="21" customHeight="1">
      <c r="A429" s="84" t="n"/>
      <c r="B429" s="46">
        <f>'設定'!$I$12</f>
        <v/>
      </c>
      <c r="C429" s="85" t="n"/>
      <c r="D429" s="85" t="inlineStr">
        <is>
          <t>×</t>
        </is>
      </c>
      <c r="E429" s="85" t="inlineStr">
        <is>
          <t>×</t>
        </is>
      </c>
      <c r="F429" s="85" t="n"/>
      <c r="G429" s="85" t="inlineStr">
        <is>
          <t>×</t>
        </is>
      </c>
      <c r="H429" s="85" t="n"/>
      <c r="S429">
        <f>IF(2&lt;='設定'!$B$6,"表示","隠す")</f>
        <v/>
      </c>
    </row>
    <row r="430" ht="21" customHeight="1">
      <c r="A430" s="84" t="n"/>
      <c r="B430" s="46">
        <f>'設定'!$I$13</f>
        <v/>
      </c>
      <c r="C430" s="85" t="n"/>
      <c r="D430" s="85" t="inlineStr">
        <is>
          <t>×</t>
        </is>
      </c>
      <c r="E430" s="85" t="inlineStr">
        <is>
          <t>×</t>
        </is>
      </c>
      <c r="F430" s="85" t="n"/>
      <c r="G430" s="85" t="inlineStr">
        <is>
          <t>×</t>
        </is>
      </c>
      <c r="H430" s="85" t="n"/>
      <c r="S430">
        <f>IF(3&lt;='設定'!$B$6,"表示","隠す")</f>
        <v/>
      </c>
    </row>
    <row r="431" ht="21" customHeight="1">
      <c r="A431" s="84" t="n"/>
      <c r="B431" s="46">
        <f>'設定'!$I$14</f>
        <v/>
      </c>
      <c r="C431" s="85" t="n"/>
      <c r="D431" s="85" t="inlineStr">
        <is>
          <t>×</t>
        </is>
      </c>
      <c r="E431" s="85" t="inlineStr">
        <is>
          <t>×</t>
        </is>
      </c>
      <c r="F431" s="85" t="n"/>
      <c r="G431" s="85" t="inlineStr">
        <is>
          <t>×</t>
        </is>
      </c>
      <c r="H431" s="85" t="n"/>
      <c r="S431">
        <f>IF(4&lt;='設定'!$B$6,"表示","隠す")</f>
        <v/>
      </c>
    </row>
    <row r="432" ht="21" customHeight="1">
      <c r="A432" s="84" t="n"/>
      <c r="B432" s="46">
        <f>'設定'!$I$15</f>
        <v/>
      </c>
      <c r="C432" s="85" t="inlineStr">
        <is>
          <t>×</t>
        </is>
      </c>
      <c r="D432" s="85" t="inlineStr">
        <is>
          <t>×</t>
        </is>
      </c>
      <c r="E432" s="85" t="inlineStr">
        <is>
          <t>×</t>
        </is>
      </c>
      <c r="F432" s="85" t="n"/>
      <c r="G432" s="85" t="inlineStr">
        <is>
          <t>×</t>
        </is>
      </c>
      <c r="H432" s="85" t="n"/>
      <c r="S432">
        <f>IF(5&lt;='設定'!$B$6,"表示","隠す")</f>
        <v/>
      </c>
    </row>
    <row r="433" ht="21" customHeight="1">
      <c r="A433" s="84" t="n"/>
      <c r="B433" s="46">
        <f>'設定'!$I$16</f>
        <v/>
      </c>
      <c r="C433" s="85" t="inlineStr">
        <is>
          <t>×</t>
        </is>
      </c>
      <c r="D433" s="85" t="inlineStr">
        <is>
          <t>×</t>
        </is>
      </c>
      <c r="E433" s="85" t="inlineStr">
        <is>
          <t>×</t>
        </is>
      </c>
      <c r="F433" s="85" t="n"/>
      <c r="G433" s="85" t="inlineStr">
        <is>
          <t>×</t>
        </is>
      </c>
      <c r="H433" s="85" t="n"/>
      <c r="S433">
        <f>IF(6&lt;='設定'!$B$6,"表示","隠す")</f>
        <v/>
      </c>
    </row>
    <row r="434" ht="21" customHeight="1">
      <c r="A434" s="84" t="n"/>
      <c r="B434" s="46">
        <f>'設定'!$I$17</f>
        <v/>
      </c>
      <c r="C434" s="85" t="inlineStr">
        <is>
          <t>×</t>
        </is>
      </c>
      <c r="D434" s="85" t="inlineStr">
        <is>
          <t>×</t>
        </is>
      </c>
      <c r="E434" s="85" t="inlineStr">
        <is>
          <t>×</t>
        </is>
      </c>
      <c r="F434" s="85" t="n"/>
      <c r="G434" s="85" t="inlineStr">
        <is>
          <t>×</t>
        </is>
      </c>
      <c r="H434" s="85" t="n"/>
      <c r="S434">
        <f>IF(7&lt;='設定'!$B$6,"表示","隠す")</f>
        <v/>
      </c>
    </row>
    <row r="435" ht="21" customHeight="1">
      <c r="A435" s="84" t="n"/>
      <c r="B435" s="46">
        <f>'設定'!$I$18</f>
        <v/>
      </c>
      <c r="C435" s="85" t="n"/>
      <c r="D435" s="85" t="inlineStr">
        <is>
          <t>×</t>
        </is>
      </c>
      <c r="E435" s="85" t="inlineStr">
        <is>
          <t>×</t>
        </is>
      </c>
      <c r="F435" s="85" t="n"/>
      <c r="G435" s="85" t="inlineStr">
        <is>
          <t>×</t>
        </is>
      </c>
      <c r="H435" s="85" t="n"/>
      <c r="S435">
        <f>IF(8&lt;='設定'!$B$6,"表示","隠す")</f>
        <v/>
      </c>
    </row>
    <row r="436" ht="21" customHeight="1">
      <c r="A436" s="84" t="n"/>
      <c r="B436" s="46">
        <f>'設定'!$I$19</f>
        <v/>
      </c>
      <c r="C436" s="85" t="n"/>
      <c r="D436" s="85" t="inlineStr">
        <is>
          <t>×</t>
        </is>
      </c>
      <c r="E436" s="85" t="inlineStr">
        <is>
          <t>×</t>
        </is>
      </c>
      <c r="F436" s="85" t="n"/>
      <c r="G436" s="85" t="inlineStr">
        <is>
          <t>×</t>
        </is>
      </c>
      <c r="H436" s="85" t="n"/>
      <c r="S436">
        <f>IF(9&lt;='設定'!$B$6,"表示","隠す")</f>
        <v/>
      </c>
    </row>
    <row r="437" hidden="1" ht="21" customHeight="1">
      <c r="A437" s="84" t="n"/>
      <c r="B437" s="46">
        <f>'設定'!$I$20</f>
        <v/>
      </c>
      <c r="C437" s="85" t="n"/>
      <c r="D437" s="85" t="n"/>
      <c r="E437" s="85" t="n"/>
      <c r="F437" s="85" t="n"/>
      <c r="G437" s="85" t="n"/>
      <c r="H437" s="85" t="n"/>
      <c r="S437">
        <f>IF(10&lt;='設定'!$B$6,"表示","隠す")</f>
        <v/>
      </c>
    </row>
    <row r="438" hidden="1" ht="21" customHeight="1">
      <c r="A438" s="84" t="n"/>
      <c r="B438" s="46">
        <f>'設定'!$I$21</f>
        <v/>
      </c>
      <c r="C438" s="85" t="n"/>
      <c r="D438" s="85" t="n"/>
      <c r="E438" s="85" t="n"/>
      <c r="F438" s="85" t="n"/>
      <c r="G438" s="85" t="n"/>
      <c r="H438" s="85" t="n"/>
      <c r="S438">
        <f>IF(11&lt;='設定'!$B$6,"表示","隠す")</f>
        <v/>
      </c>
    </row>
    <row r="439" hidden="1" ht="21" customHeight="1">
      <c r="A439" s="84" t="n"/>
      <c r="B439" s="46">
        <f>'設定'!$I$22</f>
        <v/>
      </c>
      <c r="C439" s="85" t="n"/>
      <c r="D439" s="85" t="n"/>
      <c r="E439" s="85" t="n"/>
      <c r="F439" s="85" t="n"/>
      <c r="G439" s="85" t="n"/>
      <c r="H439" s="85" t="n"/>
      <c r="S439">
        <f>IF(12&lt;='設定'!$B$6,"表示","隠す")</f>
        <v/>
      </c>
    </row>
    <row r="440" hidden="1" ht="21" customHeight="1">
      <c r="A440" s="84" t="n"/>
      <c r="B440" s="46">
        <f>'設定'!$I$23</f>
        <v/>
      </c>
      <c r="C440" s="85" t="n"/>
      <c r="D440" s="85" t="n"/>
      <c r="E440" s="85" t="n"/>
      <c r="F440" s="85" t="n"/>
      <c r="G440" s="85" t="n"/>
      <c r="H440" s="85" t="n"/>
      <c r="S440">
        <f>IF(13&lt;='設定'!$B$6,"表示","隠す")</f>
        <v/>
      </c>
    </row>
    <row r="441" hidden="1" ht="21" customHeight="1">
      <c r="A441" s="84" t="n"/>
      <c r="B441" s="46">
        <f>'設定'!$I$24</f>
        <v/>
      </c>
      <c r="C441" s="85" t="n"/>
      <c r="D441" s="85" t="n"/>
      <c r="E441" s="85" t="n"/>
      <c r="F441" s="85" t="n"/>
      <c r="G441" s="85" t="n"/>
      <c r="H441" s="85" t="n"/>
      <c r="S441">
        <f>IF(14&lt;='設定'!$B$6,"表示","隠す")</f>
        <v/>
      </c>
    </row>
    <row r="442" hidden="1" ht="21" customHeight="1">
      <c r="A442" s="84" t="n"/>
      <c r="B442" s="46">
        <f>'設定'!$I$25</f>
        <v/>
      </c>
      <c r="C442" s="85" t="n"/>
      <c r="D442" s="85" t="n"/>
      <c r="E442" s="85" t="n"/>
      <c r="F442" s="85" t="n"/>
      <c r="G442" s="85" t="n"/>
      <c r="H442" s="85" t="n"/>
      <c r="S442">
        <f>IF(15&lt;='設定'!$B$6,"表示","隠す")</f>
        <v/>
      </c>
    </row>
    <row r="443" hidden="1" ht="21" customHeight="1">
      <c r="A443" s="84" t="n"/>
      <c r="B443" s="46">
        <f>'設定'!$I$26</f>
        <v/>
      </c>
      <c r="C443" s="85" t="n"/>
      <c r="D443" s="85" t="n"/>
      <c r="E443" s="85" t="n"/>
      <c r="F443" s="85" t="n"/>
      <c r="G443" s="85" t="n"/>
      <c r="H443" s="85" t="n"/>
      <c r="S443">
        <f>IF(16&lt;='設定'!$B$6,"表示","隠す")</f>
        <v/>
      </c>
    </row>
    <row r="444" hidden="1" ht="21" customHeight="1">
      <c r="A444" s="84" t="n"/>
      <c r="B444" s="46">
        <f>'設定'!$I$27</f>
        <v/>
      </c>
      <c r="C444" s="85" t="n"/>
      <c r="D444" s="85" t="n"/>
      <c r="E444" s="85" t="n"/>
      <c r="F444" s="85" t="n"/>
      <c r="G444" s="85" t="n"/>
      <c r="H444" s="85" t="n"/>
      <c r="S444">
        <f>IF(17&lt;='設定'!$B$6,"表示","隠す")</f>
        <v/>
      </c>
    </row>
    <row r="445" hidden="1" ht="21" customHeight="1">
      <c r="A445" s="84" t="n"/>
      <c r="B445" s="46">
        <f>'設定'!$I$28</f>
        <v/>
      </c>
      <c r="C445" s="85" t="n"/>
      <c r="D445" s="85" t="n"/>
      <c r="E445" s="85" t="n"/>
      <c r="F445" s="85" t="n"/>
      <c r="G445" s="85" t="n"/>
      <c r="H445" s="85" t="n"/>
      <c r="S445">
        <f>IF(18&lt;='設定'!$B$6,"表示","隠す")</f>
        <v/>
      </c>
    </row>
    <row r="446" hidden="1" ht="21" customHeight="1">
      <c r="A446" s="84" t="n"/>
      <c r="B446" s="46">
        <f>'設定'!$I$29</f>
        <v/>
      </c>
      <c r="C446" s="85" t="n"/>
      <c r="D446" s="85" t="n"/>
      <c r="E446" s="85" t="n"/>
      <c r="F446" s="85" t="n"/>
      <c r="G446" s="85" t="n"/>
      <c r="H446" s="85" t="n"/>
      <c r="S446">
        <f>IF(19&lt;='設定'!$B$6,"表示","隠す")</f>
        <v/>
      </c>
    </row>
    <row r="447" hidden="1" ht="21" customHeight="1">
      <c r="A447" s="84" t="n"/>
      <c r="B447" s="46">
        <f>'設定'!$I$30</f>
        <v/>
      </c>
      <c r="C447" s="85" t="n"/>
      <c r="D447" s="85" t="n"/>
      <c r="E447" s="85" t="n"/>
      <c r="F447" s="85" t="n"/>
      <c r="G447" s="85" t="n"/>
      <c r="H447" s="85" t="n"/>
      <c r="S447">
        <f>IF(20&lt;='設定'!$B$6,"表示","隠す")</f>
        <v/>
      </c>
    </row>
    <row r="448" hidden="1" ht="21" customHeight="1">
      <c r="A448" s="84" t="n"/>
      <c r="B448" s="46">
        <f>'設定'!$I$31</f>
        <v/>
      </c>
      <c r="C448" s="85" t="n"/>
      <c r="D448" s="85" t="n"/>
      <c r="E448" s="85" t="n"/>
      <c r="F448" s="85" t="n"/>
      <c r="G448" s="85" t="n"/>
      <c r="H448" s="85" t="n"/>
      <c r="S448">
        <f>IF(21&lt;='設定'!$B$6,"表示","隠す")</f>
        <v/>
      </c>
    </row>
    <row r="449" hidden="1" ht="21" customHeight="1">
      <c r="A449" s="84" t="n"/>
      <c r="B449" s="46">
        <f>'設定'!$I$32</f>
        <v/>
      </c>
      <c r="C449" s="85" t="n"/>
      <c r="D449" s="85" t="n"/>
      <c r="E449" s="85" t="n"/>
      <c r="F449" s="85" t="n"/>
      <c r="G449" s="85" t="n"/>
      <c r="H449" s="85" t="n"/>
      <c r="S449">
        <f>IF(22&lt;='設定'!$B$6,"表示","隠す")</f>
        <v/>
      </c>
    </row>
    <row r="450" hidden="1" ht="21" customHeight="1">
      <c r="A450" s="84" t="n"/>
      <c r="B450" s="46">
        <f>'設定'!$I$33</f>
        <v/>
      </c>
      <c r="C450" s="85" t="n"/>
      <c r="D450" s="85" t="n"/>
      <c r="E450" s="85" t="n"/>
      <c r="F450" s="85" t="n"/>
      <c r="G450" s="85" t="n"/>
      <c r="H450" s="85" t="n"/>
      <c r="S450">
        <f>IF(23&lt;='設定'!$B$6,"表示","隠す")</f>
        <v/>
      </c>
    </row>
    <row r="451" hidden="1" ht="21" customHeight="1">
      <c r="A451" s="84" t="n"/>
      <c r="B451" s="46">
        <f>'設定'!$I$34</f>
        <v/>
      </c>
      <c r="C451" s="85" t="n"/>
      <c r="D451" s="85" t="n"/>
      <c r="E451" s="85" t="n"/>
      <c r="F451" s="85" t="n"/>
      <c r="G451" s="85" t="n"/>
      <c r="H451" s="85" t="n"/>
      <c r="S451">
        <f>IF(24&lt;='設定'!$B$6,"表示","隠す")</f>
        <v/>
      </c>
    </row>
    <row r="452">
      <c r="S452" t="inlineStr">
        <is>
          <t>表示</t>
        </is>
      </c>
    </row>
    <row r="453" ht="26" customHeight="1">
      <c r="B453" s="78">
        <f>IF('名簿'!B21="","（名簿 17行目：なし）",'名簿'!P21)</f>
        <v/>
      </c>
      <c r="C453" s="5" t="n"/>
      <c r="D453" s="5" t="n"/>
      <c r="E453" s="79" t="inlineStr">
        <is>
          <t>提出状況 ▶</t>
        </is>
      </c>
      <c r="F453" s="42" t="inlineStr">
        <is>
          <t>×なし（どこでもOK）</t>
        </is>
      </c>
      <c r="G453" s="33" t="n"/>
      <c r="H453" s="80" t="inlineStr">
        <is>
          <t>状況：</t>
        </is>
      </c>
      <c r="I453" s="81">
        <f>'名簿'!Q21</f>
        <v/>
      </c>
      <c r="J453" s="80" t="inlineStr">
        <is>
          <t>×の数：</t>
        </is>
      </c>
      <c r="K453" s="82">
        <f>'名簿'!R21</f>
        <v/>
      </c>
      <c r="L453" s="83">
        <f>HYPERLINK("#'×入力'!B481","次の人へ ▼")</f>
        <v/>
      </c>
      <c r="S453" t="inlineStr">
        <is>
          <t>表示</t>
        </is>
      </c>
    </row>
    <row r="454" ht="22" customHeight="1">
      <c r="A454" s="34" t="inlineStr">
        <is>
          <t>この日全部 ▶</t>
        </is>
      </c>
      <c r="C454" s="84" t="n"/>
      <c r="D454" s="84" t="n"/>
      <c r="E454" s="84" t="n"/>
      <c r="F454" s="84" t="n"/>
      <c r="G454" s="84" t="n"/>
      <c r="H454" s="84" t="n"/>
      <c r="S454" t="inlineStr">
        <is>
          <t>表示</t>
        </is>
      </c>
    </row>
    <row r="455" ht="28" customHeight="1">
      <c r="A455" s="37" t="inlineStr">
        <is>
          <t>この時間
全部 ▼</t>
        </is>
      </c>
      <c r="B455" s="38" t="inlineStr"/>
      <c r="C455" s="39">
        <f>'設定'!$E$11</f>
        <v/>
      </c>
      <c r="D455" s="39">
        <f>'設定'!$E$12</f>
        <v/>
      </c>
      <c r="E455" s="39">
        <f>'設定'!$E$13</f>
        <v/>
      </c>
      <c r="F455" s="39">
        <f>'設定'!$E$14</f>
        <v/>
      </c>
      <c r="G455" s="39">
        <f>'設定'!$E$15</f>
        <v/>
      </c>
      <c r="H455" s="39">
        <f>'設定'!$E$16</f>
        <v/>
      </c>
      <c r="S455" t="inlineStr">
        <is>
          <t>表示</t>
        </is>
      </c>
    </row>
    <row r="456" ht="21" customHeight="1">
      <c r="A456" s="84" t="n"/>
      <c r="B456" s="46">
        <f>'設定'!$I$11</f>
        <v/>
      </c>
      <c r="C456" s="85" t="n"/>
      <c r="D456" s="85" t="n"/>
      <c r="E456" s="85" t="n"/>
      <c r="F456" s="85" t="n"/>
      <c r="G456" s="85" t="n"/>
      <c r="H456" s="85" t="n"/>
      <c r="S456">
        <f>IF(1&lt;='設定'!$B$6,"表示","隠す")</f>
        <v/>
      </c>
    </row>
    <row r="457" ht="21" customHeight="1">
      <c r="A457" s="84" t="n"/>
      <c r="B457" s="46">
        <f>'設定'!$I$12</f>
        <v/>
      </c>
      <c r="C457" s="85" t="n"/>
      <c r="D457" s="85" t="n"/>
      <c r="E457" s="85" t="n"/>
      <c r="F457" s="85" t="n"/>
      <c r="G457" s="85" t="n"/>
      <c r="H457" s="85" t="n"/>
      <c r="S457">
        <f>IF(2&lt;='設定'!$B$6,"表示","隠す")</f>
        <v/>
      </c>
    </row>
    <row r="458" ht="21" customHeight="1">
      <c r="A458" s="84" t="n"/>
      <c r="B458" s="46">
        <f>'設定'!$I$13</f>
        <v/>
      </c>
      <c r="C458" s="85" t="n"/>
      <c r="D458" s="85" t="n"/>
      <c r="E458" s="85" t="n"/>
      <c r="F458" s="85" t="n"/>
      <c r="G458" s="85" t="n"/>
      <c r="H458" s="85" t="n"/>
      <c r="S458">
        <f>IF(3&lt;='設定'!$B$6,"表示","隠す")</f>
        <v/>
      </c>
    </row>
    <row r="459" ht="21" customHeight="1">
      <c r="A459" s="84" t="n"/>
      <c r="B459" s="46">
        <f>'設定'!$I$14</f>
        <v/>
      </c>
      <c r="C459" s="85" t="n"/>
      <c r="D459" s="85" t="n"/>
      <c r="E459" s="85" t="n"/>
      <c r="F459" s="85" t="n"/>
      <c r="G459" s="85" t="n"/>
      <c r="H459" s="85" t="n"/>
      <c r="S459">
        <f>IF(4&lt;='設定'!$B$6,"表示","隠す")</f>
        <v/>
      </c>
    </row>
    <row r="460" ht="21" customHeight="1">
      <c r="A460" s="84" t="n"/>
      <c r="B460" s="46">
        <f>'設定'!$I$15</f>
        <v/>
      </c>
      <c r="C460" s="85" t="n"/>
      <c r="D460" s="85" t="n"/>
      <c r="E460" s="85" t="n"/>
      <c r="F460" s="85" t="n"/>
      <c r="G460" s="85" t="n"/>
      <c r="H460" s="85" t="n"/>
      <c r="S460">
        <f>IF(5&lt;='設定'!$B$6,"表示","隠す")</f>
        <v/>
      </c>
    </row>
    <row r="461" ht="21" customHeight="1">
      <c r="A461" s="84" t="n"/>
      <c r="B461" s="46">
        <f>'設定'!$I$16</f>
        <v/>
      </c>
      <c r="C461" s="85" t="n"/>
      <c r="D461" s="85" t="n"/>
      <c r="E461" s="85" t="n"/>
      <c r="F461" s="85" t="n"/>
      <c r="G461" s="85" t="n"/>
      <c r="H461" s="85" t="n"/>
      <c r="S461">
        <f>IF(6&lt;='設定'!$B$6,"表示","隠す")</f>
        <v/>
      </c>
    </row>
    <row r="462" ht="21" customHeight="1">
      <c r="A462" s="84" t="n"/>
      <c r="B462" s="46">
        <f>'設定'!$I$17</f>
        <v/>
      </c>
      <c r="C462" s="85" t="n"/>
      <c r="D462" s="85" t="n"/>
      <c r="E462" s="85" t="n"/>
      <c r="F462" s="85" t="n"/>
      <c r="G462" s="85" t="n"/>
      <c r="H462" s="85" t="n"/>
      <c r="S462">
        <f>IF(7&lt;='設定'!$B$6,"表示","隠す")</f>
        <v/>
      </c>
    </row>
    <row r="463" ht="21" customHeight="1">
      <c r="A463" s="84" t="n"/>
      <c r="B463" s="46">
        <f>'設定'!$I$18</f>
        <v/>
      </c>
      <c r="C463" s="85" t="n"/>
      <c r="D463" s="85" t="n"/>
      <c r="E463" s="85" t="n"/>
      <c r="F463" s="85" t="n"/>
      <c r="G463" s="85" t="n"/>
      <c r="H463" s="85" t="n"/>
      <c r="S463">
        <f>IF(8&lt;='設定'!$B$6,"表示","隠す")</f>
        <v/>
      </c>
    </row>
    <row r="464" ht="21" customHeight="1">
      <c r="A464" s="84" t="n"/>
      <c r="B464" s="46">
        <f>'設定'!$I$19</f>
        <v/>
      </c>
      <c r="C464" s="85" t="n"/>
      <c r="D464" s="85" t="n"/>
      <c r="E464" s="85" t="n"/>
      <c r="F464" s="85" t="n"/>
      <c r="G464" s="85" t="n"/>
      <c r="H464" s="85" t="n"/>
      <c r="S464">
        <f>IF(9&lt;='設定'!$B$6,"表示","隠す")</f>
        <v/>
      </c>
    </row>
    <row r="465" hidden="1" ht="21" customHeight="1">
      <c r="A465" s="84" t="n"/>
      <c r="B465" s="46">
        <f>'設定'!$I$20</f>
        <v/>
      </c>
      <c r="C465" s="85" t="n"/>
      <c r="D465" s="85" t="n"/>
      <c r="E465" s="85" t="n"/>
      <c r="F465" s="85" t="n"/>
      <c r="G465" s="85" t="n"/>
      <c r="H465" s="85" t="n"/>
      <c r="S465">
        <f>IF(10&lt;='設定'!$B$6,"表示","隠す")</f>
        <v/>
      </c>
    </row>
    <row r="466" hidden="1" ht="21" customHeight="1">
      <c r="A466" s="84" t="n"/>
      <c r="B466" s="46">
        <f>'設定'!$I$21</f>
        <v/>
      </c>
      <c r="C466" s="85" t="n"/>
      <c r="D466" s="85" t="n"/>
      <c r="E466" s="85" t="n"/>
      <c r="F466" s="85" t="n"/>
      <c r="G466" s="85" t="n"/>
      <c r="H466" s="85" t="n"/>
      <c r="S466">
        <f>IF(11&lt;='設定'!$B$6,"表示","隠す")</f>
        <v/>
      </c>
    </row>
    <row r="467" hidden="1" ht="21" customHeight="1">
      <c r="A467" s="84" t="n"/>
      <c r="B467" s="46">
        <f>'設定'!$I$22</f>
        <v/>
      </c>
      <c r="C467" s="85" t="n"/>
      <c r="D467" s="85" t="n"/>
      <c r="E467" s="85" t="n"/>
      <c r="F467" s="85" t="n"/>
      <c r="G467" s="85" t="n"/>
      <c r="H467" s="85" t="n"/>
      <c r="S467">
        <f>IF(12&lt;='設定'!$B$6,"表示","隠す")</f>
        <v/>
      </c>
    </row>
    <row r="468" hidden="1" ht="21" customHeight="1">
      <c r="A468" s="84" t="n"/>
      <c r="B468" s="46">
        <f>'設定'!$I$23</f>
        <v/>
      </c>
      <c r="C468" s="85" t="n"/>
      <c r="D468" s="85" t="n"/>
      <c r="E468" s="85" t="n"/>
      <c r="F468" s="85" t="n"/>
      <c r="G468" s="85" t="n"/>
      <c r="H468" s="85" t="n"/>
      <c r="S468">
        <f>IF(13&lt;='設定'!$B$6,"表示","隠す")</f>
        <v/>
      </c>
    </row>
    <row r="469" hidden="1" ht="21" customHeight="1">
      <c r="A469" s="84" t="n"/>
      <c r="B469" s="46">
        <f>'設定'!$I$24</f>
        <v/>
      </c>
      <c r="C469" s="85" t="n"/>
      <c r="D469" s="85" t="n"/>
      <c r="E469" s="85" t="n"/>
      <c r="F469" s="85" t="n"/>
      <c r="G469" s="85" t="n"/>
      <c r="H469" s="85" t="n"/>
      <c r="S469">
        <f>IF(14&lt;='設定'!$B$6,"表示","隠す")</f>
        <v/>
      </c>
    </row>
    <row r="470" hidden="1" ht="21" customHeight="1">
      <c r="A470" s="84" t="n"/>
      <c r="B470" s="46">
        <f>'設定'!$I$25</f>
        <v/>
      </c>
      <c r="C470" s="85" t="n"/>
      <c r="D470" s="85" t="n"/>
      <c r="E470" s="85" t="n"/>
      <c r="F470" s="85" t="n"/>
      <c r="G470" s="85" t="n"/>
      <c r="H470" s="85" t="n"/>
      <c r="S470">
        <f>IF(15&lt;='設定'!$B$6,"表示","隠す")</f>
        <v/>
      </c>
    </row>
    <row r="471" hidden="1" ht="21" customHeight="1">
      <c r="A471" s="84" t="n"/>
      <c r="B471" s="46">
        <f>'設定'!$I$26</f>
        <v/>
      </c>
      <c r="C471" s="85" t="n"/>
      <c r="D471" s="85" t="n"/>
      <c r="E471" s="85" t="n"/>
      <c r="F471" s="85" t="n"/>
      <c r="G471" s="85" t="n"/>
      <c r="H471" s="85" t="n"/>
      <c r="S471">
        <f>IF(16&lt;='設定'!$B$6,"表示","隠す")</f>
        <v/>
      </c>
    </row>
    <row r="472" hidden="1" ht="21" customHeight="1">
      <c r="A472" s="84" t="n"/>
      <c r="B472" s="46">
        <f>'設定'!$I$27</f>
        <v/>
      </c>
      <c r="C472" s="85" t="n"/>
      <c r="D472" s="85" t="n"/>
      <c r="E472" s="85" t="n"/>
      <c r="F472" s="85" t="n"/>
      <c r="G472" s="85" t="n"/>
      <c r="H472" s="85" t="n"/>
      <c r="S472">
        <f>IF(17&lt;='設定'!$B$6,"表示","隠す")</f>
        <v/>
      </c>
    </row>
    <row r="473" hidden="1" ht="21" customHeight="1">
      <c r="A473" s="84" t="n"/>
      <c r="B473" s="46">
        <f>'設定'!$I$28</f>
        <v/>
      </c>
      <c r="C473" s="85" t="n"/>
      <c r="D473" s="85" t="n"/>
      <c r="E473" s="85" t="n"/>
      <c r="F473" s="85" t="n"/>
      <c r="G473" s="85" t="n"/>
      <c r="H473" s="85" t="n"/>
      <c r="S473">
        <f>IF(18&lt;='設定'!$B$6,"表示","隠す")</f>
        <v/>
      </c>
    </row>
    <row r="474" hidden="1" ht="21" customHeight="1">
      <c r="A474" s="84" t="n"/>
      <c r="B474" s="46">
        <f>'設定'!$I$29</f>
        <v/>
      </c>
      <c r="C474" s="85" t="n"/>
      <c r="D474" s="85" t="n"/>
      <c r="E474" s="85" t="n"/>
      <c r="F474" s="85" t="n"/>
      <c r="G474" s="85" t="n"/>
      <c r="H474" s="85" t="n"/>
      <c r="S474">
        <f>IF(19&lt;='設定'!$B$6,"表示","隠す")</f>
        <v/>
      </c>
    </row>
    <row r="475" hidden="1" ht="21" customHeight="1">
      <c r="A475" s="84" t="n"/>
      <c r="B475" s="46">
        <f>'設定'!$I$30</f>
        <v/>
      </c>
      <c r="C475" s="85" t="n"/>
      <c r="D475" s="85" t="n"/>
      <c r="E475" s="85" t="n"/>
      <c r="F475" s="85" t="n"/>
      <c r="G475" s="85" t="n"/>
      <c r="H475" s="85" t="n"/>
      <c r="S475">
        <f>IF(20&lt;='設定'!$B$6,"表示","隠す")</f>
        <v/>
      </c>
    </row>
    <row r="476" hidden="1" ht="21" customHeight="1">
      <c r="A476" s="84" t="n"/>
      <c r="B476" s="46">
        <f>'設定'!$I$31</f>
        <v/>
      </c>
      <c r="C476" s="85" t="n"/>
      <c r="D476" s="85" t="n"/>
      <c r="E476" s="85" t="n"/>
      <c r="F476" s="85" t="n"/>
      <c r="G476" s="85" t="n"/>
      <c r="H476" s="85" t="n"/>
      <c r="S476">
        <f>IF(21&lt;='設定'!$B$6,"表示","隠す")</f>
        <v/>
      </c>
    </row>
    <row r="477" hidden="1" ht="21" customHeight="1">
      <c r="A477" s="84" t="n"/>
      <c r="B477" s="46">
        <f>'設定'!$I$32</f>
        <v/>
      </c>
      <c r="C477" s="85" t="n"/>
      <c r="D477" s="85" t="n"/>
      <c r="E477" s="85" t="n"/>
      <c r="F477" s="85" t="n"/>
      <c r="G477" s="85" t="n"/>
      <c r="H477" s="85" t="n"/>
      <c r="S477">
        <f>IF(22&lt;='設定'!$B$6,"表示","隠す")</f>
        <v/>
      </c>
    </row>
    <row r="478" hidden="1" ht="21" customHeight="1">
      <c r="A478" s="84" t="n"/>
      <c r="B478" s="46">
        <f>'設定'!$I$33</f>
        <v/>
      </c>
      <c r="C478" s="85" t="n"/>
      <c r="D478" s="85" t="n"/>
      <c r="E478" s="85" t="n"/>
      <c r="F478" s="85" t="n"/>
      <c r="G478" s="85" t="n"/>
      <c r="H478" s="85" t="n"/>
      <c r="S478">
        <f>IF(23&lt;='設定'!$B$6,"表示","隠す")</f>
        <v/>
      </c>
    </row>
    <row r="479" hidden="1" ht="21" customHeight="1">
      <c r="A479" s="84" t="n"/>
      <c r="B479" s="46">
        <f>'設定'!$I$34</f>
        <v/>
      </c>
      <c r="C479" s="85" t="n"/>
      <c r="D479" s="85" t="n"/>
      <c r="E479" s="85" t="n"/>
      <c r="F479" s="85" t="n"/>
      <c r="G479" s="85" t="n"/>
      <c r="H479" s="85" t="n"/>
      <c r="S479">
        <f>IF(24&lt;='設定'!$B$6,"表示","隠す")</f>
        <v/>
      </c>
    </row>
    <row r="480">
      <c r="S480" t="inlineStr">
        <is>
          <t>表示</t>
        </is>
      </c>
    </row>
    <row r="481" ht="26" customHeight="1">
      <c r="B481" s="78">
        <f>IF('名簿'!B22="","（名簿 18行目：なし）",'名簿'!P22)</f>
        <v/>
      </c>
      <c r="C481" s="5" t="n"/>
      <c r="D481" s="5" t="n"/>
      <c r="E481" s="79" t="inlineStr">
        <is>
          <t>提出状況 ▶</t>
        </is>
      </c>
      <c r="F481" s="42" t="n"/>
      <c r="G481" s="33" t="n"/>
      <c r="H481" s="80" t="inlineStr">
        <is>
          <t>状況：</t>
        </is>
      </c>
      <c r="I481" s="81">
        <f>'名簿'!Q22</f>
        <v/>
      </c>
      <c r="J481" s="80" t="inlineStr">
        <is>
          <t>×の数：</t>
        </is>
      </c>
      <c r="K481" s="82">
        <f>'名簿'!R22</f>
        <v/>
      </c>
      <c r="L481" s="83">
        <f>HYPERLINK("#'×入力'!B509","次の人へ ▼")</f>
        <v/>
      </c>
      <c r="S481" t="inlineStr">
        <is>
          <t>表示</t>
        </is>
      </c>
    </row>
    <row r="482" ht="22" customHeight="1">
      <c r="A482" s="34" t="inlineStr">
        <is>
          <t>この日全部 ▶</t>
        </is>
      </c>
      <c r="C482" s="84" t="n"/>
      <c r="D482" s="84" t="n"/>
      <c r="E482" s="84" t="n"/>
      <c r="F482" s="84" t="n"/>
      <c r="G482" s="84" t="n"/>
      <c r="H482" s="84" t="n"/>
      <c r="S482" t="inlineStr">
        <is>
          <t>表示</t>
        </is>
      </c>
    </row>
    <row r="483" ht="28" customHeight="1">
      <c r="A483" s="37" t="inlineStr">
        <is>
          <t>この時間
全部 ▼</t>
        </is>
      </c>
      <c r="B483" s="38" t="inlineStr"/>
      <c r="C483" s="39">
        <f>'設定'!$E$11</f>
        <v/>
      </c>
      <c r="D483" s="39">
        <f>'設定'!$E$12</f>
        <v/>
      </c>
      <c r="E483" s="39">
        <f>'設定'!$E$13</f>
        <v/>
      </c>
      <c r="F483" s="39">
        <f>'設定'!$E$14</f>
        <v/>
      </c>
      <c r="G483" s="39">
        <f>'設定'!$E$15</f>
        <v/>
      </c>
      <c r="H483" s="39">
        <f>'設定'!$E$16</f>
        <v/>
      </c>
      <c r="S483" t="inlineStr">
        <is>
          <t>表示</t>
        </is>
      </c>
    </row>
    <row r="484" ht="21" customHeight="1">
      <c r="A484" s="84" t="n"/>
      <c r="B484" s="46">
        <f>'設定'!$I$11</f>
        <v/>
      </c>
      <c r="C484" s="85" t="inlineStr">
        <is>
          <t>×</t>
        </is>
      </c>
      <c r="D484" s="85" t="inlineStr">
        <is>
          <t>×</t>
        </is>
      </c>
      <c r="E484" s="85" t="n"/>
      <c r="F484" s="85" t="inlineStr">
        <is>
          <t>×</t>
        </is>
      </c>
      <c r="G484" s="85" t="n"/>
      <c r="H484" s="85" t="n"/>
      <c r="S484">
        <f>IF(1&lt;='設定'!$B$6,"表示","隠す")</f>
        <v/>
      </c>
    </row>
    <row r="485" ht="21" customHeight="1">
      <c r="A485" s="84" t="n"/>
      <c r="B485" s="46">
        <f>'設定'!$I$12</f>
        <v/>
      </c>
      <c r="C485" s="85" t="inlineStr">
        <is>
          <t>×</t>
        </is>
      </c>
      <c r="D485" s="85" t="n"/>
      <c r="E485" s="85" t="inlineStr">
        <is>
          <t>×</t>
        </is>
      </c>
      <c r="F485" s="85" t="n"/>
      <c r="G485" s="85" t="n"/>
      <c r="H485" s="85" t="n"/>
      <c r="S485">
        <f>IF(2&lt;='設定'!$B$6,"表示","隠す")</f>
        <v/>
      </c>
    </row>
    <row r="486" ht="21" customHeight="1">
      <c r="A486" s="84" t="n"/>
      <c r="B486" s="46">
        <f>'設定'!$I$13</f>
        <v/>
      </c>
      <c r="C486" s="85" t="n"/>
      <c r="D486" s="85" t="n"/>
      <c r="E486" s="85" t="inlineStr">
        <is>
          <t>×</t>
        </is>
      </c>
      <c r="F486" s="85" t="n"/>
      <c r="G486" s="85" t="n"/>
      <c r="H486" s="85" t="n"/>
      <c r="S486">
        <f>IF(3&lt;='設定'!$B$6,"表示","隠す")</f>
        <v/>
      </c>
    </row>
    <row r="487" ht="21" customHeight="1">
      <c r="A487" s="84" t="n"/>
      <c r="B487" s="46">
        <f>'設定'!$I$14</f>
        <v/>
      </c>
      <c r="C487" s="85" t="n"/>
      <c r="D487" s="85" t="n"/>
      <c r="E487" s="85" t="n"/>
      <c r="F487" s="85" t="n"/>
      <c r="G487" s="85" t="n"/>
      <c r="H487" s="85" t="n"/>
      <c r="S487">
        <f>IF(4&lt;='設定'!$B$6,"表示","隠す")</f>
        <v/>
      </c>
    </row>
    <row r="488" ht="21" customHeight="1">
      <c r="A488" s="84" t="n"/>
      <c r="B488" s="46">
        <f>'設定'!$I$15</f>
        <v/>
      </c>
      <c r="C488" s="85" t="inlineStr">
        <is>
          <t>×</t>
        </is>
      </c>
      <c r="D488" s="85" t="n"/>
      <c r="E488" s="85" t="inlineStr">
        <is>
          <t>×</t>
        </is>
      </c>
      <c r="F488" s="85" t="inlineStr">
        <is>
          <t>×</t>
        </is>
      </c>
      <c r="G488" s="85" t="n"/>
      <c r="H488" s="85" t="n"/>
      <c r="S488">
        <f>IF(5&lt;='設定'!$B$6,"表示","隠す")</f>
        <v/>
      </c>
    </row>
    <row r="489" ht="21" customHeight="1">
      <c r="A489" s="84" t="n"/>
      <c r="B489" s="46">
        <f>'設定'!$I$16</f>
        <v/>
      </c>
      <c r="C489" s="85" t="n"/>
      <c r="D489" s="85" t="n"/>
      <c r="E489" s="85" t="n"/>
      <c r="F489" s="85" t="n"/>
      <c r="G489" s="85" t="inlineStr">
        <is>
          <t>×</t>
        </is>
      </c>
      <c r="H489" s="85" t="n"/>
      <c r="S489">
        <f>IF(6&lt;='設定'!$B$6,"表示","隠す")</f>
        <v/>
      </c>
    </row>
    <row r="490" ht="21" customHeight="1">
      <c r="A490" s="84" t="n"/>
      <c r="B490" s="46">
        <f>'設定'!$I$17</f>
        <v/>
      </c>
      <c r="C490" s="85" t="inlineStr">
        <is>
          <t>×</t>
        </is>
      </c>
      <c r="D490" s="85" t="inlineStr">
        <is>
          <t>×</t>
        </is>
      </c>
      <c r="E490" s="85" t="inlineStr">
        <is>
          <t>×</t>
        </is>
      </c>
      <c r="F490" s="85" t="inlineStr">
        <is>
          <t>×</t>
        </is>
      </c>
      <c r="G490" s="85" t="inlineStr">
        <is>
          <t>×</t>
        </is>
      </c>
      <c r="H490" s="85" t="n"/>
      <c r="S490">
        <f>IF(7&lt;='設定'!$B$6,"表示","隠す")</f>
        <v/>
      </c>
    </row>
    <row r="491" ht="21" customHeight="1">
      <c r="A491" s="84" t="n"/>
      <c r="B491" s="46">
        <f>'設定'!$I$18</f>
        <v/>
      </c>
      <c r="C491" s="85" t="inlineStr">
        <is>
          <t>×</t>
        </is>
      </c>
      <c r="D491" s="85" t="inlineStr">
        <is>
          <t>×</t>
        </is>
      </c>
      <c r="E491" s="85" t="inlineStr">
        <is>
          <t>×</t>
        </is>
      </c>
      <c r="F491" s="85" t="inlineStr">
        <is>
          <t>×</t>
        </is>
      </c>
      <c r="G491" s="85" t="inlineStr">
        <is>
          <t>×</t>
        </is>
      </c>
      <c r="H491" s="85" t="n"/>
      <c r="S491">
        <f>IF(8&lt;='設定'!$B$6,"表示","隠す")</f>
        <v/>
      </c>
    </row>
    <row r="492" ht="21" customHeight="1">
      <c r="A492" s="84" t="n"/>
      <c r="B492" s="46">
        <f>'設定'!$I$19</f>
        <v/>
      </c>
      <c r="C492" s="85" t="inlineStr">
        <is>
          <t>×</t>
        </is>
      </c>
      <c r="D492" s="85" t="inlineStr">
        <is>
          <t>×</t>
        </is>
      </c>
      <c r="E492" s="85" t="inlineStr">
        <is>
          <t>×</t>
        </is>
      </c>
      <c r="F492" s="85" t="inlineStr">
        <is>
          <t>×</t>
        </is>
      </c>
      <c r="G492" s="85" t="inlineStr">
        <is>
          <t>×</t>
        </is>
      </c>
      <c r="H492" s="85" t="n"/>
      <c r="S492">
        <f>IF(9&lt;='設定'!$B$6,"表示","隠す")</f>
        <v/>
      </c>
    </row>
    <row r="493" hidden="1" ht="21" customHeight="1">
      <c r="A493" s="84" t="n"/>
      <c r="B493" s="46">
        <f>'設定'!$I$20</f>
        <v/>
      </c>
      <c r="C493" s="85" t="n"/>
      <c r="D493" s="85" t="n"/>
      <c r="E493" s="85" t="n"/>
      <c r="F493" s="85" t="n"/>
      <c r="G493" s="85" t="n"/>
      <c r="H493" s="85" t="n"/>
      <c r="S493">
        <f>IF(10&lt;='設定'!$B$6,"表示","隠す")</f>
        <v/>
      </c>
    </row>
    <row r="494" hidden="1" ht="21" customHeight="1">
      <c r="A494" s="84" t="n"/>
      <c r="B494" s="46">
        <f>'設定'!$I$21</f>
        <v/>
      </c>
      <c r="C494" s="85" t="n"/>
      <c r="D494" s="85" t="n"/>
      <c r="E494" s="85" t="n"/>
      <c r="F494" s="85" t="n"/>
      <c r="G494" s="85" t="n"/>
      <c r="H494" s="85" t="n"/>
      <c r="S494">
        <f>IF(11&lt;='設定'!$B$6,"表示","隠す")</f>
        <v/>
      </c>
    </row>
    <row r="495" hidden="1" ht="21" customHeight="1">
      <c r="A495" s="84" t="n"/>
      <c r="B495" s="46">
        <f>'設定'!$I$22</f>
        <v/>
      </c>
      <c r="C495" s="85" t="n"/>
      <c r="D495" s="85" t="n"/>
      <c r="E495" s="85" t="n"/>
      <c r="F495" s="85" t="n"/>
      <c r="G495" s="85" t="n"/>
      <c r="H495" s="85" t="n"/>
      <c r="S495">
        <f>IF(12&lt;='設定'!$B$6,"表示","隠す")</f>
        <v/>
      </c>
    </row>
    <row r="496" hidden="1" ht="21" customHeight="1">
      <c r="A496" s="84" t="n"/>
      <c r="B496" s="46">
        <f>'設定'!$I$23</f>
        <v/>
      </c>
      <c r="C496" s="85" t="n"/>
      <c r="D496" s="85" t="n"/>
      <c r="E496" s="85" t="n"/>
      <c r="F496" s="85" t="n"/>
      <c r="G496" s="85" t="n"/>
      <c r="H496" s="85" t="n"/>
      <c r="S496">
        <f>IF(13&lt;='設定'!$B$6,"表示","隠す")</f>
        <v/>
      </c>
    </row>
    <row r="497" hidden="1" ht="21" customHeight="1">
      <c r="A497" s="84" t="n"/>
      <c r="B497" s="46">
        <f>'設定'!$I$24</f>
        <v/>
      </c>
      <c r="C497" s="85" t="n"/>
      <c r="D497" s="85" t="n"/>
      <c r="E497" s="85" t="n"/>
      <c r="F497" s="85" t="n"/>
      <c r="G497" s="85" t="n"/>
      <c r="H497" s="85" t="n"/>
      <c r="S497">
        <f>IF(14&lt;='設定'!$B$6,"表示","隠す")</f>
        <v/>
      </c>
    </row>
    <row r="498" hidden="1" ht="21" customHeight="1">
      <c r="A498" s="84" t="n"/>
      <c r="B498" s="46">
        <f>'設定'!$I$25</f>
        <v/>
      </c>
      <c r="C498" s="85" t="n"/>
      <c r="D498" s="85" t="n"/>
      <c r="E498" s="85" t="n"/>
      <c r="F498" s="85" t="n"/>
      <c r="G498" s="85" t="n"/>
      <c r="H498" s="85" t="n"/>
      <c r="S498">
        <f>IF(15&lt;='設定'!$B$6,"表示","隠す")</f>
        <v/>
      </c>
    </row>
    <row r="499" hidden="1" ht="21" customHeight="1">
      <c r="A499" s="84" t="n"/>
      <c r="B499" s="46">
        <f>'設定'!$I$26</f>
        <v/>
      </c>
      <c r="C499" s="85" t="n"/>
      <c r="D499" s="85" t="n"/>
      <c r="E499" s="85" t="n"/>
      <c r="F499" s="85" t="n"/>
      <c r="G499" s="85" t="n"/>
      <c r="H499" s="85" t="n"/>
      <c r="S499">
        <f>IF(16&lt;='設定'!$B$6,"表示","隠す")</f>
        <v/>
      </c>
    </row>
    <row r="500" hidden="1" ht="21" customHeight="1">
      <c r="A500" s="84" t="n"/>
      <c r="B500" s="46">
        <f>'設定'!$I$27</f>
        <v/>
      </c>
      <c r="C500" s="85" t="n"/>
      <c r="D500" s="85" t="n"/>
      <c r="E500" s="85" t="n"/>
      <c r="F500" s="85" t="n"/>
      <c r="G500" s="85" t="n"/>
      <c r="H500" s="85" t="n"/>
      <c r="S500">
        <f>IF(17&lt;='設定'!$B$6,"表示","隠す")</f>
        <v/>
      </c>
    </row>
    <row r="501" hidden="1" ht="21" customHeight="1">
      <c r="A501" s="84" t="n"/>
      <c r="B501" s="46">
        <f>'設定'!$I$28</f>
        <v/>
      </c>
      <c r="C501" s="85" t="n"/>
      <c r="D501" s="85" t="n"/>
      <c r="E501" s="85" t="n"/>
      <c r="F501" s="85" t="n"/>
      <c r="G501" s="85" t="n"/>
      <c r="H501" s="85" t="n"/>
      <c r="S501">
        <f>IF(18&lt;='設定'!$B$6,"表示","隠す")</f>
        <v/>
      </c>
    </row>
    <row r="502" hidden="1" ht="21" customHeight="1">
      <c r="A502" s="84" t="n"/>
      <c r="B502" s="46">
        <f>'設定'!$I$29</f>
        <v/>
      </c>
      <c r="C502" s="85" t="n"/>
      <c r="D502" s="85" t="n"/>
      <c r="E502" s="85" t="n"/>
      <c r="F502" s="85" t="n"/>
      <c r="G502" s="85" t="n"/>
      <c r="H502" s="85" t="n"/>
      <c r="S502">
        <f>IF(19&lt;='設定'!$B$6,"表示","隠す")</f>
        <v/>
      </c>
    </row>
    <row r="503" hidden="1" ht="21" customHeight="1">
      <c r="A503" s="84" t="n"/>
      <c r="B503" s="46">
        <f>'設定'!$I$30</f>
        <v/>
      </c>
      <c r="C503" s="85" t="n"/>
      <c r="D503" s="85" t="n"/>
      <c r="E503" s="85" t="n"/>
      <c r="F503" s="85" t="n"/>
      <c r="G503" s="85" t="n"/>
      <c r="H503" s="85" t="n"/>
      <c r="S503">
        <f>IF(20&lt;='設定'!$B$6,"表示","隠す")</f>
        <v/>
      </c>
    </row>
    <row r="504" hidden="1" ht="21" customHeight="1">
      <c r="A504" s="84" t="n"/>
      <c r="B504" s="46">
        <f>'設定'!$I$31</f>
        <v/>
      </c>
      <c r="C504" s="85" t="n"/>
      <c r="D504" s="85" t="n"/>
      <c r="E504" s="85" t="n"/>
      <c r="F504" s="85" t="n"/>
      <c r="G504" s="85" t="n"/>
      <c r="H504" s="85" t="n"/>
      <c r="S504">
        <f>IF(21&lt;='設定'!$B$6,"表示","隠す")</f>
        <v/>
      </c>
    </row>
    <row r="505" hidden="1" ht="21" customHeight="1">
      <c r="A505" s="84" t="n"/>
      <c r="B505" s="46">
        <f>'設定'!$I$32</f>
        <v/>
      </c>
      <c r="C505" s="85" t="n"/>
      <c r="D505" s="85" t="n"/>
      <c r="E505" s="85" t="n"/>
      <c r="F505" s="85" t="n"/>
      <c r="G505" s="85" t="n"/>
      <c r="H505" s="85" t="n"/>
      <c r="S505">
        <f>IF(22&lt;='設定'!$B$6,"表示","隠す")</f>
        <v/>
      </c>
    </row>
    <row r="506" hidden="1" ht="21" customHeight="1">
      <c r="A506" s="84" t="n"/>
      <c r="B506" s="46">
        <f>'設定'!$I$33</f>
        <v/>
      </c>
      <c r="C506" s="85" t="n"/>
      <c r="D506" s="85" t="n"/>
      <c r="E506" s="85" t="n"/>
      <c r="F506" s="85" t="n"/>
      <c r="G506" s="85" t="n"/>
      <c r="H506" s="85" t="n"/>
      <c r="S506">
        <f>IF(23&lt;='設定'!$B$6,"表示","隠す")</f>
        <v/>
      </c>
    </row>
    <row r="507" hidden="1" ht="21" customHeight="1">
      <c r="A507" s="84" t="n"/>
      <c r="B507" s="46">
        <f>'設定'!$I$34</f>
        <v/>
      </c>
      <c r="C507" s="85" t="n"/>
      <c r="D507" s="85" t="n"/>
      <c r="E507" s="85" t="n"/>
      <c r="F507" s="85" t="n"/>
      <c r="G507" s="85" t="n"/>
      <c r="H507" s="85" t="n"/>
      <c r="S507">
        <f>IF(24&lt;='設定'!$B$6,"表示","隠す")</f>
        <v/>
      </c>
    </row>
    <row r="508">
      <c r="S508" t="inlineStr">
        <is>
          <t>表示</t>
        </is>
      </c>
    </row>
    <row r="509" ht="26" customHeight="1">
      <c r="B509" s="78">
        <f>IF('名簿'!B23="","（名簿 19行目：なし）",'名簿'!P23)</f>
        <v/>
      </c>
      <c r="C509" s="5" t="n"/>
      <c r="D509" s="5" t="n"/>
      <c r="E509" s="79" t="inlineStr">
        <is>
          <t>提出状況 ▶</t>
        </is>
      </c>
      <c r="F509" s="42" t="n"/>
      <c r="G509" s="33" t="n"/>
      <c r="H509" s="80" t="inlineStr">
        <is>
          <t>状況：</t>
        </is>
      </c>
      <c r="I509" s="81">
        <f>'名簿'!Q23</f>
        <v/>
      </c>
      <c r="J509" s="80" t="inlineStr">
        <is>
          <t>×の数：</t>
        </is>
      </c>
      <c r="K509" s="82">
        <f>'名簿'!R23</f>
        <v/>
      </c>
      <c r="L509" s="83">
        <f>HYPERLINK("#'×入力'!B537","次の人へ ▼")</f>
        <v/>
      </c>
      <c r="S509" t="inlineStr">
        <is>
          <t>表示</t>
        </is>
      </c>
    </row>
    <row r="510" ht="22" customHeight="1">
      <c r="A510" s="34" t="inlineStr">
        <is>
          <t>この日全部 ▶</t>
        </is>
      </c>
      <c r="C510" s="84" t="n"/>
      <c r="D510" s="84" t="n"/>
      <c r="E510" s="84" t="n"/>
      <c r="F510" s="84" t="n"/>
      <c r="G510" s="84" t="n"/>
      <c r="H510" s="84" t="n"/>
      <c r="S510" t="inlineStr">
        <is>
          <t>表示</t>
        </is>
      </c>
    </row>
    <row r="511" ht="28" customHeight="1">
      <c r="A511" s="37" t="inlineStr">
        <is>
          <t>この時間
全部 ▼</t>
        </is>
      </c>
      <c r="B511" s="38" t="inlineStr"/>
      <c r="C511" s="39">
        <f>'設定'!$E$11</f>
        <v/>
      </c>
      <c r="D511" s="39">
        <f>'設定'!$E$12</f>
        <v/>
      </c>
      <c r="E511" s="39">
        <f>'設定'!$E$13</f>
        <v/>
      </c>
      <c r="F511" s="39">
        <f>'設定'!$E$14</f>
        <v/>
      </c>
      <c r="G511" s="39">
        <f>'設定'!$E$15</f>
        <v/>
      </c>
      <c r="H511" s="39">
        <f>'設定'!$E$16</f>
        <v/>
      </c>
      <c r="S511" t="inlineStr">
        <is>
          <t>表示</t>
        </is>
      </c>
    </row>
    <row r="512" ht="21" customHeight="1">
      <c r="A512" s="84" t="n"/>
      <c r="B512" s="46">
        <f>'設定'!$I$11</f>
        <v/>
      </c>
      <c r="C512" s="85" t="n"/>
      <c r="D512" s="85" t="n"/>
      <c r="E512" s="85" t="n"/>
      <c r="F512" s="85" t="n"/>
      <c r="G512" s="85" t="n"/>
      <c r="H512" s="85" t="n"/>
      <c r="S512">
        <f>IF(1&lt;='設定'!$B$6,"表示","隠す")</f>
        <v/>
      </c>
    </row>
    <row r="513" ht="21" customHeight="1">
      <c r="A513" s="84" t="n"/>
      <c r="B513" s="46">
        <f>'設定'!$I$12</f>
        <v/>
      </c>
      <c r="C513" s="85" t="n"/>
      <c r="D513" s="85" t="n"/>
      <c r="E513" s="85" t="n"/>
      <c r="F513" s="85" t="inlineStr">
        <is>
          <t>×</t>
        </is>
      </c>
      <c r="G513" s="85" t="n"/>
      <c r="H513" s="85" t="n"/>
      <c r="S513">
        <f>IF(2&lt;='設定'!$B$6,"表示","隠す")</f>
        <v/>
      </c>
    </row>
    <row r="514" ht="21" customHeight="1">
      <c r="A514" s="84" t="n"/>
      <c r="B514" s="46">
        <f>'設定'!$I$13</f>
        <v/>
      </c>
      <c r="C514" s="85" t="n"/>
      <c r="D514" s="85" t="n"/>
      <c r="E514" s="85" t="n"/>
      <c r="F514" s="85" t="n"/>
      <c r="G514" s="85" t="n"/>
      <c r="H514" s="85" t="n"/>
      <c r="S514">
        <f>IF(3&lt;='設定'!$B$6,"表示","隠す")</f>
        <v/>
      </c>
    </row>
    <row r="515" ht="21" customHeight="1">
      <c r="A515" s="84" t="n"/>
      <c r="B515" s="46">
        <f>'設定'!$I$14</f>
        <v/>
      </c>
      <c r="C515" s="85" t="n"/>
      <c r="D515" s="85" t="n"/>
      <c r="E515" s="85" t="inlineStr">
        <is>
          <t>×</t>
        </is>
      </c>
      <c r="F515" s="85" t="n"/>
      <c r="G515" s="85" t="n"/>
      <c r="H515" s="85" t="n"/>
      <c r="S515">
        <f>IF(4&lt;='設定'!$B$6,"表示","隠す")</f>
        <v/>
      </c>
    </row>
    <row r="516" ht="21" customHeight="1">
      <c r="A516" s="84" t="n"/>
      <c r="B516" s="46">
        <f>'設定'!$I$15</f>
        <v/>
      </c>
      <c r="C516" s="85" t="inlineStr">
        <is>
          <t>×</t>
        </is>
      </c>
      <c r="D516" s="85" t="n"/>
      <c r="E516" s="85" t="inlineStr">
        <is>
          <t>×</t>
        </is>
      </c>
      <c r="F516" s="85" t="n"/>
      <c r="G516" s="85" t="n"/>
      <c r="H516" s="85" t="n"/>
      <c r="S516">
        <f>IF(5&lt;='設定'!$B$6,"表示","隠す")</f>
        <v/>
      </c>
    </row>
    <row r="517" ht="21" customHeight="1">
      <c r="A517" s="84" t="n"/>
      <c r="B517" s="46">
        <f>'設定'!$I$16</f>
        <v/>
      </c>
      <c r="C517" s="85" t="n"/>
      <c r="D517" s="85" t="n"/>
      <c r="E517" s="85" t="inlineStr">
        <is>
          <t>×</t>
        </is>
      </c>
      <c r="F517" s="85" t="inlineStr">
        <is>
          <t>×</t>
        </is>
      </c>
      <c r="G517" s="85" t="n"/>
      <c r="H517" s="85" t="n"/>
      <c r="S517">
        <f>IF(6&lt;='設定'!$B$6,"表示","隠す")</f>
        <v/>
      </c>
    </row>
    <row r="518" ht="21" customHeight="1">
      <c r="A518" s="84" t="n"/>
      <c r="B518" s="46">
        <f>'設定'!$I$17</f>
        <v/>
      </c>
      <c r="C518" s="85" t="inlineStr">
        <is>
          <t>×</t>
        </is>
      </c>
      <c r="D518" s="85" t="n"/>
      <c r="E518" s="85" t="inlineStr">
        <is>
          <t>×</t>
        </is>
      </c>
      <c r="F518" s="85" t="n"/>
      <c r="G518" s="85" t="n"/>
      <c r="H518" s="85" t="n"/>
      <c r="S518">
        <f>IF(7&lt;='設定'!$B$6,"表示","隠す")</f>
        <v/>
      </c>
    </row>
    <row r="519" ht="21" customHeight="1">
      <c r="A519" s="84" t="n"/>
      <c r="B519" s="46">
        <f>'設定'!$I$18</f>
        <v/>
      </c>
      <c r="C519" s="85" t="n"/>
      <c r="D519" s="85" t="n"/>
      <c r="E519" s="85" t="n"/>
      <c r="F519" s="85" t="n"/>
      <c r="G519" s="85" t="inlineStr">
        <is>
          <t>×</t>
        </is>
      </c>
      <c r="H519" s="85" t="n"/>
      <c r="S519">
        <f>IF(8&lt;='設定'!$B$6,"表示","隠す")</f>
        <v/>
      </c>
    </row>
    <row r="520" ht="21" customHeight="1">
      <c r="A520" s="84" t="n"/>
      <c r="B520" s="46">
        <f>'設定'!$I$19</f>
        <v/>
      </c>
      <c r="C520" s="85" t="n"/>
      <c r="D520" s="85" t="n"/>
      <c r="E520" s="85" t="inlineStr">
        <is>
          <t>×</t>
        </is>
      </c>
      <c r="F520" s="85" t="n"/>
      <c r="G520" s="85" t="n"/>
      <c r="H520" s="85" t="n"/>
      <c r="S520">
        <f>IF(9&lt;='設定'!$B$6,"表示","隠す")</f>
        <v/>
      </c>
    </row>
    <row r="521" hidden="1" ht="21" customHeight="1">
      <c r="A521" s="84" t="n"/>
      <c r="B521" s="46">
        <f>'設定'!$I$20</f>
        <v/>
      </c>
      <c r="C521" s="85" t="n"/>
      <c r="D521" s="85" t="n"/>
      <c r="E521" s="85" t="n"/>
      <c r="F521" s="85" t="n"/>
      <c r="G521" s="85" t="n"/>
      <c r="H521" s="85" t="n"/>
      <c r="S521">
        <f>IF(10&lt;='設定'!$B$6,"表示","隠す")</f>
        <v/>
      </c>
    </row>
    <row r="522" hidden="1" ht="21" customHeight="1">
      <c r="A522" s="84" t="n"/>
      <c r="B522" s="46">
        <f>'設定'!$I$21</f>
        <v/>
      </c>
      <c r="C522" s="85" t="n"/>
      <c r="D522" s="85" t="n"/>
      <c r="E522" s="85" t="n"/>
      <c r="F522" s="85" t="n"/>
      <c r="G522" s="85" t="n"/>
      <c r="H522" s="85" t="n"/>
      <c r="S522">
        <f>IF(11&lt;='設定'!$B$6,"表示","隠す")</f>
        <v/>
      </c>
    </row>
    <row r="523" hidden="1" ht="21" customHeight="1">
      <c r="A523" s="84" t="n"/>
      <c r="B523" s="46">
        <f>'設定'!$I$22</f>
        <v/>
      </c>
      <c r="C523" s="85" t="n"/>
      <c r="D523" s="85" t="n"/>
      <c r="E523" s="85" t="n"/>
      <c r="F523" s="85" t="n"/>
      <c r="G523" s="85" t="n"/>
      <c r="H523" s="85" t="n"/>
      <c r="S523">
        <f>IF(12&lt;='設定'!$B$6,"表示","隠す")</f>
        <v/>
      </c>
    </row>
    <row r="524" hidden="1" ht="21" customHeight="1">
      <c r="A524" s="84" t="n"/>
      <c r="B524" s="46">
        <f>'設定'!$I$23</f>
        <v/>
      </c>
      <c r="C524" s="85" t="n"/>
      <c r="D524" s="85" t="n"/>
      <c r="E524" s="85" t="n"/>
      <c r="F524" s="85" t="n"/>
      <c r="G524" s="85" t="n"/>
      <c r="H524" s="85" t="n"/>
      <c r="S524">
        <f>IF(13&lt;='設定'!$B$6,"表示","隠す")</f>
        <v/>
      </c>
    </row>
    <row r="525" hidden="1" ht="21" customHeight="1">
      <c r="A525" s="84" t="n"/>
      <c r="B525" s="46">
        <f>'設定'!$I$24</f>
        <v/>
      </c>
      <c r="C525" s="85" t="n"/>
      <c r="D525" s="85" t="n"/>
      <c r="E525" s="85" t="n"/>
      <c r="F525" s="85" t="n"/>
      <c r="G525" s="85" t="n"/>
      <c r="H525" s="85" t="n"/>
      <c r="S525">
        <f>IF(14&lt;='設定'!$B$6,"表示","隠す")</f>
        <v/>
      </c>
    </row>
    <row r="526" hidden="1" ht="21" customHeight="1">
      <c r="A526" s="84" t="n"/>
      <c r="B526" s="46">
        <f>'設定'!$I$25</f>
        <v/>
      </c>
      <c r="C526" s="85" t="n"/>
      <c r="D526" s="85" t="n"/>
      <c r="E526" s="85" t="n"/>
      <c r="F526" s="85" t="n"/>
      <c r="G526" s="85" t="n"/>
      <c r="H526" s="85" t="n"/>
      <c r="S526">
        <f>IF(15&lt;='設定'!$B$6,"表示","隠す")</f>
        <v/>
      </c>
    </row>
    <row r="527" hidden="1" ht="21" customHeight="1">
      <c r="A527" s="84" t="n"/>
      <c r="B527" s="46">
        <f>'設定'!$I$26</f>
        <v/>
      </c>
      <c r="C527" s="85" t="n"/>
      <c r="D527" s="85" t="n"/>
      <c r="E527" s="85" t="n"/>
      <c r="F527" s="85" t="n"/>
      <c r="G527" s="85" t="n"/>
      <c r="H527" s="85" t="n"/>
      <c r="S527">
        <f>IF(16&lt;='設定'!$B$6,"表示","隠す")</f>
        <v/>
      </c>
    </row>
    <row r="528" hidden="1" ht="21" customHeight="1">
      <c r="A528" s="84" t="n"/>
      <c r="B528" s="46">
        <f>'設定'!$I$27</f>
        <v/>
      </c>
      <c r="C528" s="85" t="n"/>
      <c r="D528" s="85" t="n"/>
      <c r="E528" s="85" t="n"/>
      <c r="F528" s="85" t="n"/>
      <c r="G528" s="85" t="n"/>
      <c r="H528" s="85" t="n"/>
      <c r="S528">
        <f>IF(17&lt;='設定'!$B$6,"表示","隠す")</f>
        <v/>
      </c>
    </row>
    <row r="529" hidden="1" ht="21" customHeight="1">
      <c r="A529" s="84" t="n"/>
      <c r="B529" s="46">
        <f>'設定'!$I$28</f>
        <v/>
      </c>
      <c r="C529" s="85" t="n"/>
      <c r="D529" s="85" t="n"/>
      <c r="E529" s="85" t="n"/>
      <c r="F529" s="85" t="n"/>
      <c r="G529" s="85" t="n"/>
      <c r="H529" s="85" t="n"/>
      <c r="S529">
        <f>IF(18&lt;='設定'!$B$6,"表示","隠す")</f>
        <v/>
      </c>
    </row>
    <row r="530" hidden="1" ht="21" customHeight="1">
      <c r="A530" s="84" t="n"/>
      <c r="B530" s="46">
        <f>'設定'!$I$29</f>
        <v/>
      </c>
      <c r="C530" s="85" t="n"/>
      <c r="D530" s="85" t="n"/>
      <c r="E530" s="85" t="n"/>
      <c r="F530" s="85" t="n"/>
      <c r="G530" s="85" t="n"/>
      <c r="H530" s="85" t="n"/>
      <c r="S530">
        <f>IF(19&lt;='設定'!$B$6,"表示","隠す")</f>
        <v/>
      </c>
    </row>
    <row r="531" hidden="1" ht="21" customHeight="1">
      <c r="A531" s="84" t="n"/>
      <c r="B531" s="46">
        <f>'設定'!$I$30</f>
        <v/>
      </c>
      <c r="C531" s="85" t="n"/>
      <c r="D531" s="85" t="n"/>
      <c r="E531" s="85" t="n"/>
      <c r="F531" s="85" t="n"/>
      <c r="G531" s="85" t="n"/>
      <c r="H531" s="85" t="n"/>
      <c r="S531">
        <f>IF(20&lt;='設定'!$B$6,"表示","隠す")</f>
        <v/>
      </c>
    </row>
    <row r="532" hidden="1" ht="21" customHeight="1">
      <c r="A532" s="84" t="n"/>
      <c r="B532" s="46">
        <f>'設定'!$I$31</f>
        <v/>
      </c>
      <c r="C532" s="85" t="n"/>
      <c r="D532" s="85" t="n"/>
      <c r="E532" s="85" t="n"/>
      <c r="F532" s="85" t="n"/>
      <c r="G532" s="85" t="n"/>
      <c r="H532" s="85" t="n"/>
      <c r="S532">
        <f>IF(21&lt;='設定'!$B$6,"表示","隠す")</f>
        <v/>
      </c>
    </row>
    <row r="533" hidden="1" ht="21" customHeight="1">
      <c r="A533" s="84" t="n"/>
      <c r="B533" s="46">
        <f>'設定'!$I$32</f>
        <v/>
      </c>
      <c r="C533" s="85" t="n"/>
      <c r="D533" s="85" t="n"/>
      <c r="E533" s="85" t="n"/>
      <c r="F533" s="85" t="n"/>
      <c r="G533" s="85" t="n"/>
      <c r="H533" s="85" t="n"/>
      <c r="S533">
        <f>IF(22&lt;='設定'!$B$6,"表示","隠す")</f>
        <v/>
      </c>
    </row>
    <row r="534" hidden="1" ht="21" customHeight="1">
      <c r="A534" s="84" t="n"/>
      <c r="B534" s="46">
        <f>'設定'!$I$33</f>
        <v/>
      </c>
      <c r="C534" s="85" t="n"/>
      <c r="D534" s="85" t="n"/>
      <c r="E534" s="85" t="n"/>
      <c r="F534" s="85" t="n"/>
      <c r="G534" s="85" t="n"/>
      <c r="H534" s="85" t="n"/>
      <c r="S534">
        <f>IF(23&lt;='設定'!$B$6,"表示","隠す")</f>
        <v/>
      </c>
    </row>
    <row r="535" hidden="1" ht="21" customHeight="1">
      <c r="A535" s="84" t="n"/>
      <c r="B535" s="46">
        <f>'設定'!$I$34</f>
        <v/>
      </c>
      <c r="C535" s="85" t="n"/>
      <c r="D535" s="85" t="n"/>
      <c r="E535" s="85" t="n"/>
      <c r="F535" s="85" t="n"/>
      <c r="G535" s="85" t="n"/>
      <c r="H535" s="85" t="n"/>
      <c r="S535">
        <f>IF(24&lt;='設定'!$B$6,"表示","隠す")</f>
        <v/>
      </c>
    </row>
    <row r="536">
      <c r="S536" t="inlineStr">
        <is>
          <t>表示</t>
        </is>
      </c>
    </row>
    <row r="537" ht="26" customHeight="1">
      <c r="B537" s="78">
        <f>IF('名簿'!B24="","（名簿 20行目：なし）",'名簿'!P24)</f>
        <v/>
      </c>
      <c r="C537" s="5" t="n"/>
      <c r="D537" s="5" t="n"/>
      <c r="E537" s="79" t="inlineStr">
        <is>
          <t>提出状況 ▶</t>
        </is>
      </c>
      <c r="F537" s="42" t="n"/>
      <c r="G537" s="33" t="n"/>
      <c r="H537" s="80" t="inlineStr">
        <is>
          <t>状況：</t>
        </is>
      </c>
      <c r="I537" s="81">
        <f>'名簿'!Q24</f>
        <v/>
      </c>
      <c r="J537" s="80" t="inlineStr">
        <is>
          <t>×の数：</t>
        </is>
      </c>
      <c r="K537" s="82">
        <f>'名簿'!R24</f>
        <v/>
      </c>
      <c r="L537" s="83">
        <f>HYPERLINK("#'×入力'!B565","次の人へ ▼")</f>
        <v/>
      </c>
      <c r="S537" t="inlineStr">
        <is>
          <t>表示</t>
        </is>
      </c>
    </row>
    <row r="538" ht="22" customHeight="1">
      <c r="A538" s="34" t="inlineStr">
        <is>
          <t>この日全部 ▶</t>
        </is>
      </c>
      <c r="C538" s="84" t="n"/>
      <c r="D538" s="84" t="n"/>
      <c r="E538" s="84" t="n"/>
      <c r="F538" s="84" t="n"/>
      <c r="G538" s="84" t="inlineStr">
        <is>
          <t>×</t>
        </is>
      </c>
      <c r="H538" s="84" t="n"/>
      <c r="S538" t="inlineStr">
        <is>
          <t>表示</t>
        </is>
      </c>
    </row>
    <row r="539" ht="28" customHeight="1">
      <c r="A539" s="37" t="inlineStr">
        <is>
          <t>この時間
全部 ▼</t>
        </is>
      </c>
      <c r="B539" s="38" t="inlineStr"/>
      <c r="C539" s="39">
        <f>'設定'!$E$11</f>
        <v/>
      </c>
      <c r="D539" s="39">
        <f>'設定'!$E$12</f>
        <v/>
      </c>
      <c r="E539" s="39">
        <f>'設定'!$E$13</f>
        <v/>
      </c>
      <c r="F539" s="39">
        <f>'設定'!$E$14</f>
        <v/>
      </c>
      <c r="G539" s="39">
        <f>'設定'!$E$15</f>
        <v/>
      </c>
      <c r="H539" s="39">
        <f>'設定'!$E$16</f>
        <v/>
      </c>
      <c r="S539" t="inlineStr">
        <is>
          <t>表示</t>
        </is>
      </c>
    </row>
    <row r="540" ht="21" customHeight="1">
      <c r="A540" s="84" t="n"/>
      <c r="B540" s="46">
        <f>'設定'!$I$11</f>
        <v/>
      </c>
      <c r="C540" s="85" t="inlineStr">
        <is>
          <t>×</t>
        </is>
      </c>
      <c r="D540" s="85" t="n"/>
      <c r="E540" s="85" t="n"/>
      <c r="F540" s="85" t="n"/>
      <c r="G540" s="85" t="inlineStr">
        <is>
          <t>×</t>
        </is>
      </c>
      <c r="H540" s="85" t="n"/>
      <c r="S540">
        <f>IF(1&lt;='設定'!$B$6,"表示","隠す")</f>
        <v/>
      </c>
    </row>
    <row r="541" ht="21" customHeight="1">
      <c r="A541" s="84" t="n"/>
      <c r="B541" s="46">
        <f>'設定'!$I$12</f>
        <v/>
      </c>
      <c r="C541" s="85" t="n"/>
      <c r="D541" s="85" t="n"/>
      <c r="E541" s="85" t="n"/>
      <c r="F541" s="85" t="n"/>
      <c r="G541" s="85" t="inlineStr">
        <is>
          <t>×</t>
        </is>
      </c>
      <c r="H541" s="85" t="n"/>
      <c r="S541">
        <f>IF(2&lt;='設定'!$B$6,"表示","隠す")</f>
        <v/>
      </c>
    </row>
    <row r="542" ht="21" customHeight="1">
      <c r="A542" s="84" t="n"/>
      <c r="B542" s="46">
        <f>'設定'!$I$13</f>
        <v/>
      </c>
      <c r="C542" s="85" t="inlineStr">
        <is>
          <t>×</t>
        </is>
      </c>
      <c r="D542" s="85" t="n"/>
      <c r="E542" s="85" t="n"/>
      <c r="F542" s="85" t="n"/>
      <c r="G542" s="85" t="inlineStr">
        <is>
          <t>×</t>
        </is>
      </c>
      <c r="H542" s="85" t="n"/>
      <c r="S542">
        <f>IF(3&lt;='設定'!$B$6,"表示","隠す")</f>
        <v/>
      </c>
    </row>
    <row r="543" ht="21" customHeight="1">
      <c r="A543" s="84" t="n"/>
      <c r="B543" s="46">
        <f>'設定'!$I$14</f>
        <v/>
      </c>
      <c r="C543" s="85" t="n"/>
      <c r="D543" s="85" t="n"/>
      <c r="E543" s="85" t="inlineStr">
        <is>
          <t>×</t>
        </is>
      </c>
      <c r="F543" s="85" t="n"/>
      <c r="G543" s="85" t="n"/>
      <c r="H543" s="85" t="n"/>
      <c r="S543">
        <f>IF(4&lt;='設定'!$B$6,"表示","隠す")</f>
        <v/>
      </c>
    </row>
    <row r="544" ht="21" customHeight="1">
      <c r="A544" s="84" t="n"/>
      <c r="B544" s="46">
        <f>'設定'!$I$15</f>
        <v/>
      </c>
      <c r="C544" s="85" t="inlineStr">
        <is>
          <t>×</t>
        </is>
      </c>
      <c r="D544" s="85" t="inlineStr">
        <is>
          <t>×</t>
        </is>
      </c>
      <c r="E544" s="85" t="inlineStr">
        <is>
          <t>×</t>
        </is>
      </c>
      <c r="F544" s="85" t="inlineStr">
        <is>
          <t>×</t>
        </is>
      </c>
      <c r="G544" s="85" t="inlineStr">
        <is>
          <t>×</t>
        </is>
      </c>
      <c r="H544" s="85" t="n"/>
      <c r="S544">
        <f>IF(5&lt;='設定'!$B$6,"表示","隠す")</f>
        <v/>
      </c>
    </row>
    <row r="545" ht="21" customHeight="1">
      <c r="A545" s="84" t="n"/>
      <c r="B545" s="46">
        <f>'設定'!$I$16</f>
        <v/>
      </c>
      <c r="C545" s="85" t="inlineStr">
        <is>
          <t>×</t>
        </is>
      </c>
      <c r="D545" s="85" t="inlineStr">
        <is>
          <t>×</t>
        </is>
      </c>
      <c r="E545" s="85" t="inlineStr">
        <is>
          <t>×</t>
        </is>
      </c>
      <c r="F545" s="85" t="inlineStr">
        <is>
          <t>×</t>
        </is>
      </c>
      <c r="G545" s="85" t="inlineStr">
        <is>
          <t>×</t>
        </is>
      </c>
      <c r="H545" s="85" t="n"/>
      <c r="S545">
        <f>IF(6&lt;='設定'!$B$6,"表示","隠す")</f>
        <v/>
      </c>
    </row>
    <row r="546" ht="21" customHeight="1">
      <c r="A546" s="84" t="n"/>
      <c r="B546" s="46">
        <f>'設定'!$I$17</f>
        <v/>
      </c>
      <c r="C546" s="85" t="inlineStr">
        <is>
          <t>×</t>
        </is>
      </c>
      <c r="D546" s="85" t="inlineStr">
        <is>
          <t>×</t>
        </is>
      </c>
      <c r="E546" s="85" t="inlineStr">
        <is>
          <t>×</t>
        </is>
      </c>
      <c r="F546" s="85" t="inlineStr">
        <is>
          <t>×</t>
        </is>
      </c>
      <c r="G546" s="85" t="inlineStr">
        <is>
          <t>×</t>
        </is>
      </c>
      <c r="H546" s="85" t="n"/>
      <c r="S546">
        <f>IF(7&lt;='設定'!$B$6,"表示","隠す")</f>
        <v/>
      </c>
    </row>
    <row r="547" ht="21" customHeight="1">
      <c r="A547" s="84" t="n"/>
      <c r="B547" s="46">
        <f>'設定'!$I$18</f>
        <v/>
      </c>
      <c r="C547" s="85" t="inlineStr">
        <is>
          <t>×</t>
        </is>
      </c>
      <c r="D547" s="85" t="inlineStr">
        <is>
          <t>×</t>
        </is>
      </c>
      <c r="E547" s="85" t="inlineStr">
        <is>
          <t>×</t>
        </is>
      </c>
      <c r="F547" s="85" t="inlineStr">
        <is>
          <t>×</t>
        </is>
      </c>
      <c r="G547" s="85" t="inlineStr">
        <is>
          <t>×</t>
        </is>
      </c>
      <c r="H547" s="85" t="n"/>
      <c r="S547">
        <f>IF(8&lt;='設定'!$B$6,"表示","隠す")</f>
        <v/>
      </c>
    </row>
    <row r="548" ht="21" customHeight="1">
      <c r="A548" s="84" t="n"/>
      <c r="B548" s="46">
        <f>'設定'!$I$19</f>
        <v/>
      </c>
      <c r="C548" s="85" t="inlineStr">
        <is>
          <t>×</t>
        </is>
      </c>
      <c r="D548" s="85" t="inlineStr">
        <is>
          <t>×</t>
        </is>
      </c>
      <c r="E548" s="85" t="inlineStr">
        <is>
          <t>×</t>
        </is>
      </c>
      <c r="F548" s="85" t="inlineStr">
        <is>
          <t>×</t>
        </is>
      </c>
      <c r="G548" s="85" t="inlineStr">
        <is>
          <t>×</t>
        </is>
      </c>
      <c r="H548" s="85" t="n"/>
      <c r="S548">
        <f>IF(9&lt;='設定'!$B$6,"表示","隠す")</f>
        <v/>
      </c>
    </row>
    <row r="549" hidden="1" ht="21" customHeight="1">
      <c r="A549" s="84" t="n"/>
      <c r="B549" s="46">
        <f>'設定'!$I$20</f>
        <v/>
      </c>
      <c r="C549" s="85" t="n"/>
      <c r="D549" s="85" t="n"/>
      <c r="E549" s="85" t="n"/>
      <c r="F549" s="85" t="n"/>
      <c r="G549" s="85" t="n"/>
      <c r="H549" s="85" t="n"/>
      <c r="S549">
        <f>IF(10&lt;='設定'!$B$6,"表示","隠す")</f>
        <v/>
      </c>
    </row>
    <row r="550" hidden="1" ht="21" customHeight="1">
      <c r="A550" s="84" t="n"/>
      <c r="B550" s="46">
        <f>'設定'!$I$21</f>
        <v/>
      </c>
      <c r="C550" s="85" t="n"/>
      <c r="D550" s="85" t="n"/>
      <c r="E550" s="85" t="n"/>
      <c r="F550" s="85" t="n"/>
      <c r="G550" s="85" t="n"/>
      <c r="H550" s="85" t="n"/>
      <c r="S550">
        <f>IF(11&lt;='設定'!$B$6,"表示","隠す")</f>
        <v/>
      </c>
    </row>
    <row r="551" hidden="1" ht="21" customHeight="1">
      <c r="A551" s="84" t="n"/>
      <c r="B551" s="46">
        <f>'設定'!$I$22</f>
        <v/>
      </c>
      <c r="C551" s="85" t="n"/>
      <c r="D551" s="85" t="n"/>
      <c r="E551" s="85" t="n"/>
      <c r="F551" s="85" t="n"/>
      <c r="G551" s="85" t="n"/>
      <c r="H551" s="85" t="n"/>
      <c r="S551">
        <f>IF(12&lt;='設定'!$B$6,"表示","隠す")</f>
        <v/>
      </c>
    </row>
    <row r="552" hidden="1" ht="21" customHeight="1">
      <c r="A552" s="84" t="n"/>
      <c r="B552" s="46">
        <f>'設定'!$I$23</f>
        <v/>
      </c>
      <c r="C552" s="85" t="n"/>
      <c r="D552" s="85" t="n"/>
      <c r="E552" s="85" t="n"/>
      <c r="F552" s="85" t="n"/>
      <c r="G552" s="85" t="n"/>
      <c r="H552" s="85" t="n"/>
      <c r="S552">
        <f>IF(13&lt;='設定'!$B$6,"表示","隠す")</f>
        <v/>
      </c>
    </row>
    <row r="553" hidden="1" ht="21" customHeight="1">
      <c r="A553" s="84" t="n"/>
      <c r="B553" s="46">
        <f>'設定'!$I$24</f>
        <v/>
      </c>
      <c r="C553" s="85" t="n"/>
      <c r="D553" s="85" t="n"/>
      <c r="E553" s="85" t="n"/>
      <c r="F553" s="85" t="n"/>
      <c r="G553" s="85" t="n"/>
      <c r="H553" s="85" t="n"/>
      <c r="S553">
        <f>IF(14&lt;='設定'!$B$6,"表示","隠す")</f>
        <v/>
      </c>
    </row>
    <row r="554" hidden="1" ht="21" customHeight="1">
      <c r="A554" s="84" t="n"/>
      <c r="B554" s="46">
        <f>'設定'!$I$25</f>
        <v/>
      </c>
      <c r="C554" s="85" t="n"/>
      <c r="D554" s="85" t="n"/>
      <c r="E554" s="85" t="n"/>
      <c r="F554" s="85" t="n"/>
      <c r="G554" s="85" t="n"/>
      <c r="H554" s="85" t="n"/>
      <c r="S554">
        <f>IF(15&lt;='設定'!$B$6,"表示","隠す")</f>
        <v/>
      </c>
    </row>
    <row r="555" hidden="1" ht="21" customHeight="1">
      <c r="A555" s="84" t="n"/>
      <c r="B555" s="46">
        <f>'設定'!$I$26</f>
        <v/>
      </c>
      <c r="C555" s="85" t="n"/>
      <c r="D555" s="85" t="n"/>
      <c r="E555" s="85" t="n"/>
      <c r="F555" s="85" t="n"/>
      <c r="G555" s="85" t="n"/>
      <c r="H555" s="85" t="n"/>
      <c r="S555">
        <f>IF(16&lt;='設定'!$B$6,"表示","隠す")</f>
        <v/>
      </c>
    </row>
    <row r="556" hidden="1" ht="21" customHeight="1">
      <c r="A556" s="84" t="n"/>
      <c r="B556" s="46">
        <f>'設定'!$I$27</f>
        <v/>
      </c>
      <c r="C556" s="85" t="n"/>
      <c r="D556" s="85" t="n"/>
      <c r="E556" s="85" t="n"/>
      <c r="F556" s="85" t="n"/>
      <c r="G556" s="85" t="n"/>
      <c r="H556" s="85" t="n"/>
      <c r="S556">
        <f>IF(17&lt;='設定'!$B$6,"表示","隠す")</f>
        <v/>
      </c>
    </row>
    <row r="557" hidden="1" ht="21" customHeight="1">
      <c r="A557" s="84" t="n"/>
      <c r="B557" s="46">
        <f>'設定'!$I$28</f>
        <v/>
      </c>
      <c r="C557" s="85" t="n"/>
      <c r="D557" s="85" t="n"/>
      <c r="E557" s="85" t="n"/>
      <c r="F557" s="85" t="n"/>
      <c r="G557" s="85" t="n"/>
      <c r="H557" s="85" t="n"/>
      <c r="S557">
        <f>IF(18&lt;='設定'!$B$6,"表示","隠す")</f>
        <v/>
      </c>
    </row>
    <row r="558" hidden="1" ht="21" customHeight="1">
      <c r="A558" s="84" t="n"/>
      <c r="B558" s="46">
        <f>'設定'!$I$29</f>
        <v/>
      </c>
      <c r="C558" s="85" t="n"/>
      <c r="D558" s="85" t="n"/>
      <c r="E558" s="85" t="n"/>
      <c r="F558" s="85" t="n"/>
      <c r="G558" s="85" t="n"/>
      <c r="H558" s="85" t="n"/>
      <c r="S558">
        <f>IF(19&lt;='設定'!$B$6,"表示","隠す")</f>
        <v/>
      </c>
    </row>
    <row r="559" hidden="1" ht="21" customHeight="1">
      <c r="A559" s="84" t="n"/>
      <c r="B559" s="46">
        <f>'設定'!$I$30</f>
        <v/>
      </c>
      <c r="C559" s="85" t="n"/>
      <c r="D559" s="85" t="n"/>
      <c r="E559" s="85" t="n"/>
      <c r="F559" s="85" t="n"/>
      <c r="G559" s="85" t="n"/>
      <c r="H559" s="85" t="n"/>
      <c r="S559">
        <f>IF(20&lt;='設定'!$B$6,"表示","隠す")</f>
        <v/>
      </c>
    </row>
    <row r="560" hidden="1" ht="21" customHeight="1">
      <c r="A560" s="84" t="n"/>
      <c r="B560" s="46">
        <f>'設定'!$I$31</f>
        <v/>
      </c>
      <c r="C560" s="85" t="n"/>
      <c r="D560" s="85" t="n"/>
      <c r="E560" s="85" t="n"/>
      <c r="F560" s="85" t="n"/>
      <c r="G560" s="85" t="n"/>
      <c r="H560" s="85" t="n"/>
      <c r="S560">
        <f>IF(21&lt;='設定'!$B$6,"表示","隠す")</f>
        <v/>
      </c>
    </row>
    <row r="561" hidden="1" ht="21" customHeight="1">
      <c r="A561" s="84" t="n"/>
      <c r="B561" s="46">
        <f>'設定'!$I$32</f>
        <v/>
      </c>
      <c r="C561" s="85" t="n"/>
      <c r="D561" s="85" t="n"/>
      <c r="E561" s="85" t="n"/>
      <c r="F561" s="85" t="n"/>
      <c r="G561" s="85" t="n"/>
      <c r="H561" s="85" t="n"/>
      <c r="S561">
        <f>IF(22&lt;='設定'!$B$6,"表示","隠す")</f>
        <v/>
      </c>
    </row>
    <row r="562" hidden="1" ht="21" customHeight="1">
      <c r="A562" s="84" t="n"/>
      <c r="B562" s="46">
        <f>'設定'!$I$33</f>
        <v/>
      </c>
      <c r="C562" s="85" t="n"/>
      <c r="D562" s="85" t="n"/>
      <c r="E562" s="85" t="n"/>
      <c r="F562" s="85" t="n"/>
      <c r="G562" s="85" t="n"/>
      <c r="H562" s="85" t="n"/>
      <c r="S562">
        <f>IF(23&lt;='設定'!$B$6,"表示","隠す")</f>
        <v/>
      </c>
    </row>
    <row r="563" hidden="1" ht="21" customHeight="1">
      <c r="A563" s="84" t="n"/>
      <c r="B563" s="46">
        <f>'設定'!$I$34</f>
        <v/>
      </c>
      <c r="C563" s="85" t="n"/>
      <c r="D563" s="85" t="n"/>
      <c r="E563" s="85" t="n"/>
      <c r="F563" s="85" t="n"/>
      <c r="G563" s="85" t="n"/>
      <c r="H563" s="85" t="n"/>
      <c r="S563">
        <f>IF(24&lt;='設定'!$B$6,"表示","隠す")</f>
        <v/>
      </c>
    </row>
    <row r="564">
      <c r="S564" t="inlineStr">
        <is>
          <t>表示</t>
        </is>
      </c>
    </row>
    <row r="565" ht="26" customHeight="1">
      <c r="B565" s="78">
        <f>IF('名簿'!B25="","（名簿 21行目：なし）",'名簿'!P25)</f>
        <v/>
      </c>
      <c r="C565" s="5" t="n"/>
      <c r="D565" s="5" t="n"/>
      <c r="E565" s="79" t="inlineStr">
        <is>
          <t>提出状況 ▶</t>
        </is>
      </c>
      <c r="F565" s="42" t="n"/>
      <c r="G565" s="33" t="n"/>
      <c r="H565" s="80" t="inlineStr">
        <is>
          <t>状況：</t>
        </is>
      </c>
      <c r="I565" s="81">
        <f>'名簿'!Q25</f>
        <v/>
      </c>
      <c r="J565" s="80" t="inlineStr">
        <is>
          <t>×の数：</t>
        </is>
      </c>
      <c r="K565" s="82">
        <f>'名簿'!R25</f>
        <v/>
      </c>
      <c r="L565" s="83">
        <f>HYPERLINK("#'×入力'!B593","次の人へ ▼")</f>
        <v/>
      </c>
      <c r="S565" t="inlineStr">
        <is>
          <t>表示</t>
        </is>
      </c>
    </row>
    <row r="566" ht="22" customHeight="1">
      <c r="A566" s="34" t="inlineStr">
        <is>
          <t>この日全部 ▶</t>
        </is>
      </c>
      <c r="C566" s="84" t="n"/>
      <c r="D566" s="84" t="n"/>
      <c r="E566" s="84" t="n"/>
      <c r="F566" s="84" t="n"/>
      <c r="G566" s="84" t="n"/>
      <c r="H566" s="84" t="n"/>
      <c r="S566" t="inlineStr">
        <is>
          <t>表示</t>
        </is>
      </c>
    </row>
    <row r="567" ht="28" customHeight="1">
      <c r="A567" s="37" t="inlineStr">
        <is>
          <t>この時間
全部 ▼</t>
        </is>
      </c>
      <c r="B567" s="38" t="inlineStr"/>
      <c r="C567" s="39">
        <f>'設定'!$E$11</f>
        <v/>
      </c>
      <c r="D567" s="39">
        <f>'設定'!$E$12</f>
        <v/>
      </c>
      <c r="E567" s="39">
        <f>'設定'!$E$13</f>
        <v/>
      </c>
      <c r="F567" s="39">
        <f>'設定'!$E$14</f>
        <v/>
      </c>
      <c r="G567" s="39">
        <f>'設定'!$E$15</f>
        <v/>
      </c>
      <c r="H567" s="39">
        <f>'設定'!$E$16</f>
        <v/>
      </c>
      <c r="S567" t="inlineStr">
        <is>
          <t>表示</t>
        </is>
      </c>
    </row>
    <row r="568" ht="21" customHeight="1">
      <c r="A568" s="84" t="n"/>
      <c r="B568" s="46">
        <f>'設定'!$I$11</f>
        <v/>
      </c>
      <c r="C568" s="85" t="inlineStr">
        <is>
          <t>×</t>
        </is>
      </c>
      <c r="D568" s="85" t="inlineStr">
        <is>
          <t>×</t>
        </is>
      </c>
      <c r="E568" s="85" t="n"/>
      <c r="F568" s="85" t="n"/>
      <c r="G568" s="85" t="inlineStr">
        <is>
          <t>×</t>
        </is>
      </c>
      <c r="H568" s="85" t="n"/>
      <c r="S568">
        <f>IF(1&lt;='設定'!$B$6,"表示","隠す")</f>
        <v/>
      </c>
    </row>
    <row r="569" ht="21" customHeight="1">
      <c r="A569" s="84" t="n"/>
      <c r="B569" s="46">
        <f>'設定'!$I$12</f>
        <v/>
      </c>
      <c r="C569" s="85" t="n"/>
      <c r="D569" s="85" t="inlineStr">
        <is>
          <t>×</t>
        </is>
      </c>
      <c r="E569" s="85" t="n"/>
      <c r="F569" s="85" t="n"/>
      <c r="G569" s="85" t="inlineStr">
        <is>
          <t>×</t>
        </is>
      </c>
      <c r="H569" s="85" t="n"/>
      <c r="S569">
        <f>IF(2&lt;='設定'!$B$6,"表示","隠す")</f>
        <v/>
      </c>
    </row>
    <row r="570" ht="21" customHeight="1">
      <c r="A570" s="84" t="n"/>
      <c r="B570" s="46">
        <f>'設定'!$I$13</f>
        <v/>
      </c>
      <c r="C570" s="85" t="n"/>
      <c r="D570" s="85" t="inlineStr">
        <is>
          <t>×</t>
        </is>
      </c>
      <c r="E570" s="85" t="n"/>
      <c r="F570" s="85" t="n"/>
      <c r="G570" s="85" t="inlineStr">
        <is>
          <t>×</t>
        </is>
      </c>
      <c r="H570" s="85" t="n"/>
      <c r="S570">
        <f>IF(3&lt;='設定'!$B$6,"表示","隠す")</f>
        <v/>
      </c>
    </row>
    <row r="571" ht="21" customHeight="1">
      <c r="A571" s="84" t="n"/>
      <c r="B571" s="46">
        <f>'設定'!$I$14</f>
        <v/>
      </c>
      <c r="C571" s="85" t="n"/>
      <c r="D571" s="85" t="inlineStr">
        <is>
          <t>×</t>
        </is>
      </c>
      <c r="E571" s="85" t="n"/>
      <c r="F571" s="85" t="n"/>
      <c r="G571" s="85" t="inlineStr">
        <is>
          <t>×</t>
        </is>
      </c>
      <c r="H571" s="85" t="n"/>
      <c r="S571">
        <f>IF(4&lt;='設定'!$B$6,"表示","隠す")</f>
        <v/>
      </c>
    </row>
    <row r="572" ht="21" customHeight="1">
      <c r="A572" s="84" t="n"/>
      <c r="B572" s="46">
        <f>'設定'!$I$15</f>
        <v/>
      </c>
      <c r="C572" s="85" t="n"/>
      <c r="D572" s="85" t="inlineStr">
        <is>
          <t>×</t>
        </is>
      </c>
      <c r="E572" s="85" t="n"/>
      <c r="F572" s="85" t="inlineStr">
        <is>
          <t>×</t>
        </is>
      </c>
      <c r="G572" s="85" t="inlineStr">
        <is>
          <t>×</t>
        </is>
      </c>
      <c r="H572" s="85" t="n"/>
      <c r="S572">
        <f>IF(5&lt;='設定'!$B$6,"表示","隠す")</f>
        <v/>
      </c>
    </row>
    <row r="573" ht="21" customHeight="1">
      <c r="A573" s="84" t="n"/>
      <c r="B573" s="46">
        <f>'設定'!$I$16</f>
        <v/>
      </c>
      <c r="C573" s="85" t="n"/>
      <c r="D573" s="85" t="inlineStr">
        <is>
          <t>×</t>
        </is>
      </c>
      <c r="E573" s="85" t="n"/>
      <c r="F573" s="85" t="n"/>
      <c r="G573" s="85" t="inlineStr">
        <is>
          <t>×</t>
        </is>
      </c>
      <c r="H573" s="85" t="n"/>
      <c r="S573">
        <f>IF(6&lt;='設定'!$B$6,"表示","隠す")</f>
        <v/>
      </c>
    </row>
    <row r="574" ht="21" customHeight="1">
      <c r="A574" s="84" t="n"/>
      <c r="B574" s="46">
        <f>'設定'!$I$17</f>
        <v/>
      </c>
      <c r="C574" s="85" t="n"/>
      <c r="D574" s="85" t="inlineStr">
        <is>
          <t>×</t>
        </is>
      </c>
      <c r="E574" s="85" t="n"/>
      <c r="F574" s="85" t="n"/>
      <c r="G574" s="85" t="inlineStr">
        <is>
          <t>×</t>
        </is>
      </c>
      <c r="H574" s="85" t="n"/>
      <c r="S574">
        <f>IF(7&lt;='設定'!$B$6,"表示","隠す")</f>
        <v/>
      </c>
    </row>
    <row r="575" ht="21" customHeight="1">
      <c r="A575" s="84" t="n"/>
      <c r="B575" s="46">
        <f>'設定'!$I$18</f>
        <v/>
      </c>
      <c r="C575" s="85" t="n"/>
      <c r="D575" s="85" t="inlineStr">
        <is>
          <t>×</t>
        </is>
      </c>
      <c r="E575" s="85" t="n"/>
      <c r="F575" s="85" t="n"/>
      <c r="G575" s="85" t="inlineStr">
        <is>
          <t>×</t>
        </is>
      </c>
      <c r="H575" s="85" t="n"/>
      <c r="S575">
        <f>IF(8&lt;='設定'!$B$6,"表示","隠す")</f>
        <v/>
      </c>
    </row>
    <row r="576" ht="21" customHeight="1">
      <c r="A576" s="84" t="n"/>
      <c r="B576" s="46">
        <f>'設定'!$I$19</f>
        <v/>
      </c>
      <c r="C576" s="85" t="n"/>
      <c r="D576" s="85" t="inlineStr">
        <is>
          <t>×</t>
        </is>
      </c>
      <c r="E576" s="85" t="n"/>
      <c r="F576" s="85" t="n"/>
      <c r="G576" s="85" t="inlineStr">
        <is>
          <t>×</t>
        </is>
      </c>
      <c r="H576" s="85" t="n"/>
      <c r="S576">
        <f>IF(9&lt;='設定'!$B$6,"表示","隠す")</f>
        <v/>
      </c>
    </row>
    <row r="577" hidden="1" ht="21" customHeight="1">
      <c r="A577" s="84" t="n"/>
      <c r="B577" s="46">
        <f>'設定'!$I$20</f>
        <v/>
      </c>
      <c r="C577" s="85" t="n"/>
      <c r="D577" s="85" t="n"/>
      <c r="E577" s="85" t="n"/>
      <c r="F577" s="85" t="n"/>
      <c r="G577" s="85" t="n"/>
      <c r="H577" s="85" t="n"/>
      <c r="S577">
        <f>IF(10&lt;='設定'!$B$6,"表示","隠す")</f>
        <v/>
      </c>
    </row>
    <row r="578" hidden="1" ht="21" customHeight="1">
      <c r="A578" s="84" t="n"/>
      <c r="B578" s="46">
        <f>'設定'!$I$21</f>
        <v/>
      </c>
      <c r="C578" s="85" t="n"/>
      <c r="D578" s="85" t="n"/>
      <c r="E578" s="85" t="n"/>
      <c r="F578" s="85" t="n"/>
      <c r="G578" s="85" t="n"/>
      <c r="H578" s="85" t="n"/>
      <c r="S578">
        <f>IF(11&lt;='設定'!$B$6,"表示","隠す")</f>
        <v/>
      </c>
    </row>
    <row r="579" hidden="1" ht="21" customHeight="1">
      <c r="A579" s="84" t="n"/>
      <c r="B579" s="46">
        <f>'設定'!$I$22</f>
        <v/>
      </c>
      <c r="C579" s="85" t="n"/>
      <c r="D579" s="85" t="n"/>
      <c r="E579" s="85" t="n"/>
      <c r="F579" s="85" t="n"/>
      <c r="G579" s="85" t="n"/>
      <c r="H579" s="85" t="n"/>
      <c r="S579">
        <f>IF(12&lt;='設定'!$B$6,"表示","隠す")</f>
        <v/>
      </c>
    </row>
    <row r="580" hidden="1" ht="21" customHeight="1">
      <c r="A580" s="84" t="n"/>
      <c r="B580" s="46">
        <f>'設定'!$I$23</f>
        <v/>
      </c>
      <c r="C580" s="85" t="n"/>
      <c r="D580" s="85" t="n"/>
      <c r="E580" s="85" t="n"/>
      <c r="F580" s="85" t="n"/>
      <c r="G580" s="85" t="n"/>
      <c r="H580" s="85" t="n"/>
      <c r="S580">
        <f>IF(13&lt;='設定'!$B$6,"表示","隠す")</f>
        <v/>
      </c>
    </row>
    <row r="581" hidden="1" ht="21" customHeight="1">
      <c r="A581" s="84" t="n"/>
      <c r="B581" s="46">
        <f>'設定'!$I$24</f>
        <v/>
      </c>
      <c r="C581" s="85" t="n"/>
      <c r="D581" s="85" t="n"/>
      <c r="E581" s="85" t="n"/>
      <c r="F581" s="85" t="n"/>
      <c r="G581" s="85" t="n"/>
      <c r="H581" s="85" t="n"/>
      <c r="S581">
        <f>IF(14&lt;='設定'!$B$6,"表示","隠す")</f>
        <v/>
      </c>
    </row>
    <row r="582" hidden="1" ht="21" customHeight="1">
      <c r="A582" s="84" t="n"/>
      <c r="B582" s="46">
        <f>'設定'!$I$25</f>
        <v/>
      </c>
      <c r="C582" s="85" t="n"/>
      <c r="D582" s="85" t="n"/>
      <c r="E582" s="85" t="n"/>
      <c r="F582" s="85" t="n"/>
      <c r="G582" s="85" t="n"/>
      <c r="H582" s="85" t="n"/>
      <c r="S582">
        <f>IF(15&lt;='設定'!$B$6,"表示","隠す")</f>
        <v/>
      </c>
    </row>
    <row r="583" hidden="1" ht="21" customHeight="1">
      <c r="A583" s="84" t="n"/>
      <c r="B583" s="46">
        <f>'設定'!$I$26</f>
        <v/>
      </c>
      <c r="C583" s="85" t="n"/>
      <c r="D583" s="85" t="n"/>
      <c r="E583" s="85" t="n"/>
      <c r="F583" s="85" t="n"/>
      <c r="G583" s="85" t="n"/>
      <c r="H583" s="85" t="n"/>
      <c r="S583">
        <f>IF(16&lt;='設定'!$B$6,"表示","隠す")</f>
        <v/>
      </c>
    </row>
    <row r="584" hidden="1" ht="21" customHeight="1">
      <c r="A584" s="84" t="n"/>
      <c r="B584" s="46">
        <f>'設定'!$I$27</f>
        <v/>
      </c>
      <c r="C584" s="85" t="n"/>
      <c r="D584" s="85" t="n"/>
      <c r="E584" s="85" t="n"/>
      <c r="F584" s="85" t="n"/>
      <c r="G584" s="85" t="n"/>
      <c r="H584" s="85" t="n"/>
      <c r="S584">
        <f>IF(17&lt;='設定'!$B$6,"表示","隠す")</f>
        <v/>
      </c>
    </row>
    <row r="585" hidden="1" ht="21" customHeight="1">
      <c r="A585" s="84" t="n"/>
      <c r="B585" s="46">
        <f>'設定'!$I$28</f>
        <v/>
      </c>
      <c r="C585" s="85" t="n"/>
      <c r="D585" s="85" t="n"/>
      <c r="E585" s="85" t="n"/>
      <c r="F585" s="85" t="n"/>
      <c r="G585" s="85" t="n"/>
      <c r="H585" s="85" t="n"/>
      <c r="S585">
        <f>IF(18&lt;='設定'!$B$6,"表示","隠す")</f>
        <v/>
      </c>
    </row>
    <row r="586" hidden="1" ht="21" customHeight="1">
      <c r="A586" s="84" t="n"/>
      <c r="B586" s="46">
        <f>'設定'!$I$29</f>
        <v/>
      </c>
      <c r="C586" s="85" t="n"/>
      <c r="D586" s="85" t="n"/>
      <c r="E586" s="85" t="n"/>
      <c r="F586" s="85" t="n"/>
      <c r="G586" s="85" t="n"/>
      <c r="H586" s="85" t="n"/>
      <c r="S586">
        <f>IF(19&lt;='設定'!$B$6,"表示","隠す")</f>
        <v/>
      </c>
    </row>
    <row r="587" hidden="1" ht="21" customHeight="1">
      <c r="A587" s="84" t="n"/>
      <c r="B587" s="46">
        <f>'設定'!$I$30</f>
        <v/>
      </c>
      <c r="C587" s="85" t="n"/>
      <c r="D587" s="85" t="n"/>
      <c r="E587" s="85" t="n"/>
      <c r="F587" s="85" t="n"/>
      <c r="G587" s="85" t="n"/>
      <c r="H587" s="85" t="n"/>
      <c r="S587">
        <f>IF(20&lt;='設定'!$B$6,"表示","隠す")</f>
        <v/>
      </c>
    </row>
    <row r="588" hidden="1" ht="21" customHeight="1">
      <c r="A588" s="84" t="n"/>
      <c r="B588" s="46">
        <f>'設定'!$I$31</f>
        <v/>
      </c>
      <c r="C588" s="85" t="n"/>
      <c r="D588" s="85" t="n"/>
      <c r="E588" s="85" t="n"/>
      <c r="F588" s="85" t="n"/>
      <c r="G588" s="85" t="n"/>
      <c r="H588" s="85" t="n"/>
      <c r="S588">
        <f>IF(21&lt;='設定'!$B$6,"表示","隠す")</f>
        <v/>
      </c>
    </row>
    <row r="589" hidden="1" ht="21" customHeight="1">
      <c r="A589" s="84" t="n"/>
      <c r="B589" s="46">
        <f>'設定'!$I$32</f>
        <v/>
      </c>
      <c r="C589" s="85" t="n"/>
      <c r="D589" s="85" t="n"/>
      <c r="E589" s="85" t="n"/>
      <c r="F589" s="85" t="n"/>
      <c r="G589" s="85" t="n"/>
      <c r="H589" s="85" t="n"/>
      <c r="S589">
        <f>IF(22&lt;='設定'!$B$6,"表示","隠す")</f>
        <v/>
      </c>
    </row>
    <row r="590" hidden="1" ht="21" customHeight="1">
      <c r="A590" s="84" t="n"/>
      <c r="B590" s="46">
        <f>'設定'!$I$33</f>
        <v/>
      </c>
      <c r="C590" s="85" t="n"/>
      <c r="D590" s="85" t="n"/>
      <c r="E590" s="85" t="n"/>
      <c r="F590" s="85" t="n"/>
      <c r="G590" s="85" t="n"/>
      <c r="H590" s="85" t="n"/>
      <c r="S590">
        <f>IF(23&lt;='設定'!$B$6,"表示","隠す")</f>
        <v/>
      </c>
    </row>
    <row r="591" hidden="1" ht="21" customHeight="1">
      <c r="A591" s="84" t="n"/>
      <c r="B591" s="46">
        <f>'設定'!$I$34</f>
        <v/>
      </c>
      <c r="C591" s="85" t="n"/>
      <c r="D591" s="85" t="n"/>
      <c r="E591" s="85" t="n"/>
      <c r="F591" s="85" t="n"/>
      <c r="G591" s="85" t="n"/>
      <c r="H591" s="85" t="n"/>
      <c r="S591">
        <f>IF(24&lt;='設定'!$B$6,"表示","隠す")</f>
        <v/>
      </c>
    </row>
    <row r="592">
      <c r="S592" t="inlineStr">
        <is>
          <t>表示</t>
        </is>
      </c>
    </row>
    <row r="593" ht="26" customHeight="1">
      <c r="B593" s="78">
        <f>IF('名簿'!B26="","（名簿 22行目：なし）",'名簿'!P26)</f>
        <v/>
      </c>
      <c r="C593" s="5" t="n"/>
      <c r="D593" s="5" t="n"/>
      <c r="E593" s="79" t="inlineStr">
        <is>
          <t>提出状況 ▶</t>
        </is>
      </c>
      <c r="F593" s="42" t="n"/>
      <c r="G593" s="33" t="n"/>
      <c r="H593" s="80" t="inlineStr">
        <is>
          <t>状況：</t>
        </is>
      </c>
      <c r="I593" s="81">
        <f>'名簿'!Q26</f>
        <v/>
      </c>
      <c r="J593" s="80" t="inlineStr">
        <is>
          <t>×の数：</t>
        </is>
      </c>
      <c r="K593" s="82">
        <f>'名簿'!R26</f>
        <v/>
      </c>
      <c r="L593" s="83">
        <f>HYPERLINK("#'×入力'!B621","次の人へ ▼")</f>
        <v/>
      </c>
      <c r="S593" t="inlineStr">
        <is>
          <t>表示</t>
        </is>
      </c>
    </row>
    <row r="594" ht="22" customHeight="1">
      <c r="A594" s="34" t="inlineStr">
        <is>
          <t>この日全部 ▶</t>
        </is>
      </c>
      <c r="C594" s="84" t="n"/>
      <c r="D594" s="84" t="n"/>
      <c r="E594" s="84" t="n"/>
      <c r="F594" s="84" t="n"/>
      <c r="G594" s="84" t="n"/>
      <c r="H594" s="84" t="n"/>
      <c r="S594" t="inlineStr">
        <is>
          <t>表示</t>
        </is>
      </c>
    </row>
    <row r="595" ht="28" customHeight="1">
      <c r="A595" s="37" t="inlineStr">
        <is>
          <t>この時間
全部 ▼</t>
        </is>
      </c>
      <c r="B595" s="38" t="inlineStr"/>
      <c r="C595" s="39">
        <f>'設定'!$E$11</f>
        <v/>
      </c>
      <c r="D595" s="39">
        <f>'設定'!$E$12</f>
        <v/>
      </c>
      <c r="E595" s="39">
        <f>'設定'!$E$13</f>
        <v/>
      </c>
      <c r="F595" s="39">
        <f>'設定'!$E$14</f>
        <v/>
      </c>
      <c r="G595" s="39">
        <f>'設定'!$E$15</f>
        <v/>
      </c>
      <c r="H595" s="39">
        <f>'設定'!$E$16</f>
        <v/>
      </c>
      <c r="S595" t="inlineStr">
        <is>
          <t>表示</t>
        </is>
      </c>
    </row>
    <row r="596" ht="21" customHeight="1">
      <c r="A596" s="84" t="n"/>
      <c r="B596" s="46">
        <f>'設定'!$I$11</f>
        <v/>
      </c>
      <c r="C596" s="85" t="inlineStr">
        <is>
          <t>×</t>
        </is>
      </c>
      <c r="D596" s="85" t="n"/>
      <c r="E596" s="85" t="inlineStr">
        <is>
          <t>×</t>
        </is>
      </c>
      <c r="F596" s="85" t="inlineStr">
        <is>
          <t>×</t>
        </is>
      </c>
      <c r="G596" s="85" t="n"/>
      <c r="H596" s="85" t="n"/>
      <c r="S596">
        <f>IF(1&lt;='設定'!$B$6,"表示","隠す")</f>
        <v/>
      </c>
    </row>
    <row r="597" ht="21" customHeight="1">
      <c r="A597" s="84" t="n"/>
      <c r="B597" s="46">
        <f>'設定'!$I$12</f>
        <v/>
      </c>
      <c r="C597" s="85" t="n"/>
      <c r="D597" s="85" t="inlineStr">
        <is>
          <t>×</t>
        </is>
      </c>
      <c r="E597" s="85" t="inlineStr">
        <is>
          <t>×</t>
        </is>
      </c>
      <c r="F597" s="85" t="inlineStr">
        <is>
          <t>×</t>
        </is>
      </c>
      <c r="G597" s="85" t="n"/>
      <c r="H597" s="85" t="n"/>
      <c r="S597">
        <f>IF(2&lt;='設定'!$B$6,"表示","隠す")</f>
        <v/>
      </c>
    </row>
    <row r="598" ht="21" customHeight="1">
      <c r="A598" s="84" t="n"/>
      <c r="B598" s="46">
        <f>'設定'!$I$13</f>
        <v/>
      </c>
      <c r="C598" s="85" t="n"/>
      <c r="D598" s="85" t="n"/>
      <c r="E598" s="85" t="inlineStr">
        <is>
          <t>×</t>
        </is>
      </c>
      <c r="F598" s="85" t="inlineStr">
        <is>
          <t>×</t>
        </is>
      </c>
      <c r="G598" s="85" t="n"/>
      <c r="H598" s="85" t="n"/>
      <c r="S598">
        <f>IF(3&lt;='設定'!$B$6,"表示","隠す")</f>
        <v/>
      </c>
    </row>
    <row r="599" ht="21" customHeight="1">
      <c r="A599" s="84" t="n"/>
      <c r="B599" s="46">
        <f>'設定'!$I$14</f>
        <v/>
      </c>
      <c r="C599" s="85" t="inlineStr">
        <is>
          <t>×</t>
        </is>
      </c>
      <c r="D599" s="85" t="n"/>
      <c r="E599" s="85" t="inlineStr">
        <is>
          <t>×</t>
        </is>
      </c>
      <c r="F599" s="85" t="inlineStr">
        <is>
          <t>×</t>
        </is>
      </c>
      <c r="G599" s="85" t="n"/>
      <c r="H599" s="85" t="n"/>
      <c r="S599">
        <f>IF(4&lt;='設定'!$B$6,"表示","隠す")</f>
        <v/>
      </c>
    </row>
    <row r="600" ht="21" customHeight="1">
      <c r="A600" s="84" t="n"/>
      <c r="B600" s="46">
        <f>'設定'!$I$15</f>
        <v/>
      </c>
      <c r="C600" s="85" t="n"/>
      <c r="D600" s="85" t="n"/>
      <c r="E600" s="85" t="inlineStr">
        <is>
          <t>×</t>
        </is>
      </c>
      <c r="F600" s="85" t="inlineStr">
        <is>
          <t>×</t>
        </is>
      </c>
      <c r="G600" s="85" t="n"/>
      <c r="H600" s="85" t="n"/>
      <c r="S600">
        <f>IF(5&lt;='設定'!$B$6,"表示","隠す")</f>
        <v/>
      </c>
    </row>
    <row r="601" ht="21" customHeight="1">
      <c r="A601" s="84" t="n"/>
      <c r="B601" s="46">
        <f>'設定'!$I$16</f>
        <v/>
      </c>
      <c r="C601" s="85" t="n"/>
      <c r="D601" s="85" t="n"/>
      <c r="E601" s="85" t="inlineStr">
        <is>
          <t>×</t>
        </is>
      </c>
      <c r="F601" s="85" t="inlineStr">
        <is>
          <t>×</t>
        </is>
      </c>
      <c r="G601" s="85" t="inlineStr">
        <is>
          <t>×</t>
        </is>
      </c>
      <c r="H601" s="85" t="n"/>
      <c r="S601">
        <f>IF(6&lt;='設定'!$B$6,"表示","隠す")</f>
        <v/>
      </c>
    </row>
    <row r="602" ht="21" customHeight="1">
      <c r="A602" s="84" t="n"/>
      <c r="B602" s="46">
        <f>'設定'!$I$17</f>
        <v/>
      </c>
      <c r="C602" s="85" t="n"/>
      <c r="D602" s="85" t="n"/>
      <c r="E602" s="85" t="inlineStr">
        <is>
          <t>×</t>
        </is>
      </c>
      <c r="F602" s="85" t="inlineStr">
        <is>
          <t>×</t>
        </is>
      </c>
      <c r="G602" s="85" t="n"/>
      <c r="H602" s="85" t="n"/>
      <c r="S602">
        <f>IF(7&lt;='設定'!$B$6,"表示","隠す")</f>
        <v/>
      </c>
    </row>
    <row r="603" ht="21" customHeight="1">
      <c r="A603" s="84" t="n"/>
      <c r="B603" s="46">
        <f>'設定'!$I$18</f>
        <v/>
      </c>
      <c r="C603" s="85" t="n"/>
      <c r="D603" s="85" t="inlineStr">
        <is>
          <t>×</t>
        </is>
      </c>
      <c r="E603" s="85" t="inlineStr">
        <is>
          <t>×</t>
        </is>
      </c>
      <c r="F603" s="85" t="inlineStr">
        <is>
          <t>×</t>
        </is>
      </c>
      <c r="G603" s="85" t="n"/>
      <c r="H603" s="85" t="n"/>
      <c r="S603">
        <f>IF(8&lt;='設定'!$B$6,"表示","隠す")</f>
        <v/>
      </c>
    </row>
    <row r="604" ht="21" customHeight="1">
      <c r="A604" s="84" t="n"/>
      <c r="B604" s="46">
        <f>'設定'!$I$19</f>
        <v/>
      </c>
      <c r="C604" s="85" t="inlineStr">
        <is>
          <t>×</t>
        </is>
      </c>
      <c r="D604" s="85" t="inlineStr">
        <is>
          <t>×</t>
        </is>
      </c>
      <c r="E604" s="85" t="inlineStr">
        <is>
          <t>×</t>
        </is>
      </c>
      <c r="F604" s="85" t="inlineStr">
        <is>
          <t>×</t>
        </is>
      </c>
      <c r="G604" s="85" t="n"/>
      <c r="H604" s="85" t="n"/>
      <c r="S604">
        <f>IF(9&lt;='設定'!$B$6,"表示","隠す")</f>
        <v/>
      </c>
    </row>
    <row r="605" hidden="1" ht="21" customHeight="1">
      <c r="A605" s="84" t="n"/>
      <c r="B605" s="46">
        <f>'設定'!$I$20</f>
        <v/>
      </c>
      <c r="C605" s="85" t="n"/>
      <c r="D605" s="85" t="n"/>
      <c r="E605" s="85" t="n"/>
      <c r="F605" s="85" t="n"/>
      <c r="G605" s="85" t="n"/>
      <c r="H605" s="85" t="n"/>
      <c r="S605">
        <f>IF(10&lt;='設定'!$B$6,"表示","隠す")</f>
        <v/>
      </c>
    </row>
    <row r="606" hidden="1" ht="21" customHeight="1">
      <c r="A606" s="84" t="n"/>
      <c r="B606" s="46">
        <f>'設定'!$I$21</f>
        <v/>
      </c>
      <c r="C606" s="85" t="n"/>
      <c r="D606" s="85" t="n"/>
      <c r="E606" s="85" t="n"/>
      <c r="F606" s="85" t="n"/>
      <c r="G606" s="85" t="n"/>
      <c r="H606" s="85" t="n"/>
      <c r="S606">
        <f>IF(11&lt;='設定'!$B$6,"表示","隠す")</f>
        <v/>
      </c>
    </row>
    <row r="607" hidden="1" ht="21" customHeight="1">
      <c r="A607" s="84" t="n"/>
      <c r="B607" s="46">
        <f>'設定'!$I$22</f>
        <v/>
      </c>
      <c r="C607" s="85" t="n"/>
      <c r="D607" s="85" t="n"/>
      <c r="E607" s="85" t="n"/>
      <c r="F607" s="85" t="n"/>
      <c r="G607" s="85" t="n"/>
      <c r="H607" s="85" t="n"/>
      <c r="S607">
        <f>IF(12&lt;='設定'!$B$6,"表示","隠す")</f>
        <v/>
      </c>
    </row>
    <row r="608" hidden="1" ht="21" customHeight="1">
      <c r="A608" s="84" t="n"/>
      <c r="B608" s="46">
        <f>'設定'!$I$23</f>
        <v/>
      </c>
      <c r="C608" s="85" t="n"/>
      <c r="D608" s="85" t="n"/>
      <c r="E608" s="85" t="n"/>
      <c r="F608" s="85" t="n"/>
      <c r="G608" s="85" t="n"/>
      <c r="H608" s="85" t="n"/>
      <c r="S608">
        <f>IF(13&lt;='設定'!$B$6,"表示","隠す")</f>
        <v/>
      </c>
    </row>
    <row r="609" hidden="1" ht="21" customHeight="1">
      <c r="A609" s="84" t="n"/>
      <c r="B609" s="46">
        <f>'設定'!$I$24</f>
        <v/>
      </c>
      <c r="C609" s="85" t="n"/>
      <c r="D609" s="85" t="n"/>
      <c r="E609" s="85" t="n"/>
      <c r="F609" s="85" t="n"/>
      <c r="G609" s="85" t="n"/>
      <c r="H609" s="85" t="n"/>
      <c r="S609">
        <f>IF(14&lt;='設定'!$B$6,"表示","隠す")</f>
        <v/>
      </c>
    </row>
    <row r="610" hidden="1" ht="21" customHeight="1">
      <c r="A610" s="84" t="n"/>
      <c r="B610" s="46">
        <f>'設定'!$I$25</f>
        <v/>
      </c>
      <c r="C610" s="85" t="n"/>
      <c r="D610" s="85" t="n"/>
      <c r="E610" s="85" t="n"/>
      <c r="F610" s="85" t="n"/>
      <c r="G610" s="85" t="n"/>
      <c r="H610" s="85" t="n"/>
      <c r="S610">
        <f>IF(15&lt;='設定'!$B$6,"表示","隠す")</f>
        <v/>
      </c>
    </row>
    <row r="611" hidden="1" ht="21" customHeight="1">
      <c r="A611" s="84" t="n"/>
      <c r="B611" s="46">
        <f>'設定'!$I$26</f>
        <v/>
      </c>
      <c r="C611" s="85" t="n"/>
      <c r="D611" s="85" t="n"/>
      <c r="E611" s="85" t="n"/>
      <c r="F611" s="85" t="n"/>
      <c r="G611" s="85" t="n"/>
      <c r="H611" s="85" t="n"/>
      <c r="S611">
        <f>IF(16&lt;='設定'!$B$6,"表示","隠す")</f>
        <v/>
      </c>
    </row>
    <row r="612" hidden="1" ht="21" customHeight="1">
      <c r="A612" s="84" t="n"/>
      <c r="B612" s="46">
        <f>'設定'!$I$27</f>
        <v/>
      </c>
      <c r="C612" s="85" t="n"/>
      <c r="D612" s="85" t="n"/>
      <c r="E612" s="85" t="n"/>
      <c r="F612" s="85" t="n"/>
      <c r="G612" s="85" t="n"/>
      <c r="H612" s="85" t="n"/>
      <c r="S612">
        <f>IF(17&lt;='設定'!$B$6,"表示","隠す")</f>
        <v/>
      </c>
    </row>
    <row r="613" hidden="1" ht="21" customHeight="1">
      <c r="A613" s="84" t="n"/>
      <c r="B613" s="46">
        <f>'設定'!$I$28</f>
        <v/>
      </c>
      <c r="C613" s="85" t="n"/>
      <c r="D613" s="85" t="n"/>
      <c r="E613" s="85" t="n"/>
      <c r="F613" s="85" t="n"/>
      <c r="G613" s="85" t="n"/>
      <c r="H613" s="85" t="n"/>
      <c r="S613">
        <f>IF(18&lt;='設定'!$B$6,"表示","隠す")</f>
        <v/>
      </c>
    </row>
    <row r="614" hidden="1" ht="21" customHeight="1">
      <c r="A614" s="84" t="n"/>
      <c r="B614" s="46">
        <f>'設定'!$I$29</f>
        <v/>
      </c>
      <c r="C614" s="85" t="n"/>
      <c r="D614" s="85" t="n"/>
      <c r="E614" s="85" t="n"/>
      <c r="F614" s="85" t="n"/>
      <c r="G614" s="85" t="n"/>
      <c r="H614" s="85" t="n"/>
      <c r="S614">
        <f>IF(19&lt;='設定'!$B$6,"表示","隠す")</f>
        <v/>
      </c>
    </row>
    <row r="615" hidden="1" ht="21" customHeight="1">
      <c r="A615" s="84" t="n"/>
      <c r="B615" s="46">
        <f>'設定'!$I$30</f>
        <v/>
      </c>
      <c r="C615" s="85" t="n"/>
      <c r="D615" s="85" t="n"/>
      <c r="E615" s="85" t="n"/>
      <c r="F615" s="85" t="n"/>
      <c r="G615" s="85" t="n"/>
      <c r="H615" s="85" t="n"/>
      <c r="S615">
        <f>IF(20&lt;='設定'!$B$6,"表示","隠す")</f>
        <v/>
      </c>
    </row>
    <row r="616" hidden="1" ht="21" customHeight="1">
      <c r="A616" s="84" t="n"/>
      <c r="B616" s="46">
        <f>'設定'!$I$31</f>
        <v/>
      </c>
      <c r="C616" s="85" t="n"/>
      <c r="D616" s="85" t="n"/>
      <c r="E616" s="85" t="n"/>
      <c r="F616" s="85" t="n"/>
      <c r="G616" s="85" t="n"/>
      <c r="H616" s="85" t="n"/>
      <c r="S616">
        <f>IF(21&lt;='設定'!$B$6,"表示","隠す")</f>
        <v/>
      </c>
    </row>
    <row r="617" hidden="1" ht="21" customHeight="1">
      <c r="A617" s="84" t="n"/>
      <c r="B617" s="46">
        <f>'設定'!$I$32</f>
        <v/>
      </c>
      <c r="C617" s="85" t="n"/>
      <c r="D617" s="85" t="n"/>
      <c r="E617" s="85" t="n"/>
      <c r="F617" s="85" t="n"/>
      <c r="G617" s="85" t="n"/>
      <c r="H617" s="85" t="n"/>
      <c r="S617">
        <f>IF(22&lt;='設定'!$B$6,"表示","隠す")</f>
        <v/>
      </c>
    </row>
    <row r="618" hidden="1" ht="21" customHeight="1">
      <c r="A618" s="84" t="n"/>
      <c r="B618" s="46">
        <f>'設定'!$I$33</f>
        <v/>
      </c>
      <c r="C618" s="85" t="n"/>
      <c r="D618" s="85" t="n"/>
      <c r="E618" s="85" t="n"/>
      <c r="F618" s="85" t="n"/>
      <c r="G618" s="85" t="n"/>
      <c r="H618" s="85" t="n"/>
      <c r="S618">
        <f>IF(23&lt;='設定'!$B$6,"表示","隠す")</f>
        <v/>
      </c>
    </row>
    <row r="619" hidden="1" ht="21" customHeight="1">
      <c r="A619" s="84" t="n"/>
      <c r="B619" s="46">
        <f>'設定'!$I$34</f>
        <v/>
      </c>
      <c r="C619" s="85" t="n"/>
      <c r="D619" s="85" t="n"/>
      <c r="E619" s="85" t="n"/>
      <c r="F619" s="85" t="n"/>
      <c r="G619" s="85" t="n"/>
      <c r="H619" s="85" t="n"/>
      <c r="S619">
        <f>IF(24&lt;='設定'!$B$6,"表示","隠す")</f>
        <v/>
      </c>
    </row>
    <row r="620">
      <c r="S620" t="inlineStr">
        <is>
          <t>表示</t>
        </is>
      </c>
    </row>
    <row r="621" ht="26" customHeight="1">
      <c r="B621" s="78">
        <f>IF('名簿'!B27="","（名簿 23行目：なし）",'名簿'!P27)</f>
        <v/>
      </c>
      <c r="C621" s="5" t="n"/>
      <c r="D621" s="5" t="n"/>
      <c r="E621" s="79" t="inlineStr">
        <is>
          <t>提出状況 ▶</t>
        </is>
      </c>
      <c r="F621" s="42" t="n"/>
      <c r="G621" s="33" t="n"/>
      <c r="H621" s="80" t="inlineStr">
        <is>
          <t>状況：</t>
        </is>
      </c>
      <c r="I621" s="81">
        <f>'名簿'!Q27</f>
        <v/>
      </c>
      <c r="J621" s="80" t="inlineStr">
        <is>
          <t>×の数：</t>
        </is>
      </c>
      <c r="K621" s="82">
        <f>'名簿'!R27</f>
        <v/>
      </c>
      <c r="L621" s="83">
        <f>HYPERLINK("#'×入力'!B649","次の人へ ▼")</f>
        <v/>
      </c>
      <c r="S621" t="inlineStr">
        <is>
          <t>表示</t>
        </is>
      </c>
    </row>
    <row r="622" ht="22" customHeight="1">
      <c r="A622" s="34" t="inlineStr">
        <is>
          <t>この日全部 ▶</t>
        </is>
      </c>
      <c r="C622" s="84" t="n"/>
      <c r="D622" s="84" t="n"/>
      <c r="E622" s="84" t="n"/>
      <c r="F622" s="84" t="n"/>
      <c r="G622" s="84" t="n"/>
      <c r="H622" s="84" t="n"/>
      <c r="S622" t="inlineStr">
        <is>
          <t>表示</t>
        </is>
      </c>
    </row>
    <row r="623" ht="28" customHeight="1">
      <c r="A623" s="37" t="inlineStr">
        <is>
          <t>この時間
全部 ▼</t>
        </is>
      </c>
      <c r="B623" s="38" t="inlineStr"/>
      <c r="C623" s="39">
        <f>'設定'!$E$11</f>
        <v/>
      </c>
      <c r="D623" s="39">
        <f>'設定'!$E$12</f>
        <v/>
      </c>
      <c r="E623" s="39">
        <f>'設定'!$E$13</f>
        <v/>
      </c>
      <c r="F623" s="39">
        <f>'設定'!$E$14</f>
        <v/>
      </c>
      <c r="G623" s="39">
        <f>'設定'!$E$15</f>
        <v/>
      </c>
      <c r="H623" s="39">
        <f>'設定'!$E$16</f>
        <v/>
      </c>
      <c r="S623" t="inlineStr">
        <is>
          <t>表示</t>
        </is>
      </c>
    </row>
    <row r="624" ht="21" customHeight="1">
      <c r="A624" s="84" t="n"/>
      <c r="B624" s="46">
        <f>'設定'!$I$11</f>
        <v/>
      </c>
      <c r="C624" s="85" t="n"/>
      <c r="D624" s="85" t="n"/>
      <c r="E624" s="85" t="n"/>
      <c r="F624" s="85" t="n"/>
      <c r="G624" s="85" t="n"/>
      <c r="H624" s="85" t="n"/>
      <c r="S624">
        <f>IF(1&lt;='設定'!$B$6,"表示","隠す")</f>
        <v/>
      </c>
    </row>
    <row r="625" ht="21" customHeight="1">
      <c r="A625" s="84" t="n"/>
      <c r="B625" s="46">
        <f>'設定'!$I$12</f>
        <v/>
      </c>
      <c r="C625" s="85" t="n"/>
      <c r="D625" s="85" t="n"/>
      <c r="E625" s="85" t="n"/>
      <c r="F625" s="85" t="n"/>
      <c r="G625" s="85" t="n"/>
      <c r="H625" s="85" t="n"/>
      <c r="S625">
        <f>IF(2&lt;='設定'!$B$6,"表示","隠す")</f>
        <v/>
      </c>
    </row>
    <row r="626" ht="21" customHeight="1">
      <c r="A626" s="84" t="n"/>
      <c r="B626" s="46">
        <f>'設定'!$I$13</f>
        <v/>
      </c>
      <c r="C626" s="85" t="n"/>
      <c r="D626" s="85" t="n"/>
      <c r="E626" s="85" t="n"/>
      <c r="F626" s="85" t="n"/>
      <c r="G626" s="85" t="n"/>
      <c r="H626" s="85" t="n"/>
      <c r="S626">
        <f>IF(3&lt;='設定'!$B$6,"表示","隠す")</f>
        <v/>
      </c>
    </row>
    <row r="627" ht="21" customHeight="1">
      <c r="A627" s="84" t="n"/>
      <c r="B627" s="46">
        <f>'設定'!$I$14</f>
        <v/>
      </c>
      <c r="C627" s="85" t="n"/>
      <c r="D627" s="85" t="n"/>
      <c r="E627" s="85" t="n"/>
      <c r="F627" s="85" t="n"/>
      <c r="G627" s="85" t="n"/>
      <c r="H627" s="85" t="n"/>
      <c r="S627">
        <f>IF(4&lt;='設定'!$B$6,"表示","隠す")</f>
        <v/>
      </c>
    </row>
    <row r="628" ht="21" customHeight="1">
      <c r="A628" s="84" t="n"/>
      <c r="B628" s="46">
        <f>'設定'!$I$15</f>
        <v/>
      </c>
      <c r="C628" s="85" t="n"/>
      <c r="D628" s="85" t="n"/>
      <c r="E628" s="85" t="n"/>
      <c r="F628" s="85" t="n"/>
      <c r="G628" s="85" t="n"/>
      <c r="H628" s="85" t="n"/>
      <c r="S628">
        <f>IF(5&lt;='設定'!$B$6,"表示","隠す")</f>
        <v/>
      </c>
    </row>
    <row r="629" ht="21" customHeight="1">
      <c r="A629" s="84" t="n"/>
      <c r="B629" s="46">
        <f>'設定'!$I$16</f>
        <v/>
      </c>
      <c r="C629" s="85" t="n"/>
      <c r="D629" s="85" t="inlineStr">
        <is>
          <t>×</t>
        </is>
      </c>
      <c r="E629" s="85" t="inlineStr">
        <is>
          <t>×</t>
        </is>
      </c>
      <c r="F629" s="85" t="inlineStr">
        <is>
          <t>×</t>
        </is>
      </c>
      <c r="G629" s="85" t="n"/>
      <c r="H629" s="85" t="n"/>
      <c r="S629">
        <f>IF(6&lt;='設定'!$B$6,"表示","隠す")</f>
        <v/>
      </c>
    </row>
    <row r="630" ht="21" customHeight="1">
      <c r="A630" s="84" t="n"/>
      <c r="B630" s="46">
        <f>'設定'!$I$17</f>
        <v/>
      </c>
      <c r="C630" s="85" t="n"/>
      <c r="D630" s="85" t="n"/>
      <c r="E630" s="85" t="n"/>
      <c r="F630" s="85" t="n"/>
      <c r="G630" s="85" t="n"/>
      <c r="H630" s="85" t="n"/>
      <c r="S630">
        <f>IF(7&lt;='設定'!$B$6,"表示","隠す")</f>
        <v/>
      </c>
    </row>
    <row r="631" ht="21" customHeight="1">
      <c r="A631" s="84" t="n"/>
      <c r="B631" s="46">
        <f>'設定'!$I$18</f>
        <v/>
      </c>
      <c r="C631" s="85" t="n"/>
      <c r="D631" s="85" t="n"/>
      <c r="E631" s="85" t="inlineStr">
        <is>
          <t>×</t>
        </is>
      </c>
      <c r="F631" s="85" t="n"/>
      <c r="G631" s="85" t="n"/>
      <c r="H631" s="85" t="n"/>
      <c r="S631">
        <f>IF(8&lt;='設定'!$B$6,"表示","隠す")</f>
        <v/>
      </c>
    </row>
    <row r="632" ht="21" customHeight="1">
      <c r="A632" s="84" t="n"/>
      <c r="B632" s="46">
        <f>'設定'!$I$19</f>
        <v/>
      </c>
      <c r="C632" s="85" t="n"/>
      <c r="D632" s="85" t="inlineStr">
        <is>
          <t>×</t>
        </is>
      </c>
      <c r="E632" s="85" t="n"/>
      <c r="F632" s="85" t="n"/>
      <c r="G632" s="85" t="n"/>
      <c r="H632" s="85" t="n"/>
      <c r="S632">
        <f>IF(9&lt;='設定'!$B$6,"表示","隠す")</f>
        <v/>
      </c>
    </row>
    <row r="633" hidden="1" ht="21" customHeight="1">
      <c r="A633" s="84" t="n"/>
      <c r="B633" s="46">
        <f>'設定'!$I$20</f>
        <v/>
      </c>
      <c r="C633" s="85" t="n"/>
      <c r="D633" s="85" t="n"/>
      <c r="E633" s="85" t="n"/>
      <c r="F633" s="85" t="n"/>
      <c r="G633" s="85" t="n"/>
      <c r="H633" s="85" t="n"/>
      <c r="S633">
        <f>IF(10&lt;='設定'!$B$6,"表示","隠す")</f>
        <v/>
      </c>
    </row>
    <row r="634" hidden="1" ht="21" customHeight="1">
      <c r="A634" s="84" t="n"/>
      <c r="B634" s="46">
        <f>'設定'!$I$21</f>
        <v/>
      </c>
      <c r="C634" s="85" t="n"/>
      <c r="D634" s="85" t="n"/>
      <c r="E634" s="85" t="n"/>
      <c r="F634" s="85" t="n"/>
      <c r="G634" s="85" t="n"/>
      <c r="H634" s="85" t="n"/>
      <c r="S634">
        <f>IF(11&lt;='設定'!$B$6,"表示","隠す")</f>
        <v/>
      </c>
    </row>
    <row r="635" hidden="1" ht="21" customHeight="1">
      <c r="A635" s="84" t="n"/>
      <c r="B635" s="46">
        <f>'設定'!$I$22</f>
        <v/>
      </c>
      <c r="C635" s="85" t="n"/>
      <c r="D635" s="85" t="n"/>
      <c r="E635" s="85" t="n"/>
      <c r="F635" s="85" t="n"/>
      <c r="G635" s="85" t="n"/>
      <c r="H635" s="85" t="n"/>
      <c r="S635">
        <f>IF(12&lt;='設定'!$B$6,"表示","隠す")</f>
        <v/>
      </c>
    </row>
    <row r="636" hidden="1" ht="21" customHeight="1">
      <c r="A636" s="84" t="n"/>
      <c r="B636" s="46">
        <f>'設定'!$I$23</f>
        <v/>
      </c>
      <c r="C636" s="85" t="n"/>
      <c r="D636" s="85" t="n"/>
      <c r="E636" s="85" t="n"/>
      <c r="F636" s="85" t="n"/>
      <c r="G636" s="85" t="n"/>
      <c r="H636" s="85" t="n"/>
      <c r="S636">
        <f>IF(13&lt;='設定'!$B$6,"表示","隠す")</f>
        <v/>
      </c>
    </row>
    <row r="637" hidden="1" ht="21" customHeight="1">
      <c r="A637" s="84" t="n"/>
      <c r="B637" s="46">
        <f>'設定'!$I$24</f>
        <v/>
      </c>
      <c r="C637" s="85" t="n"/>
      <c r="D637" s="85" t="n"/>
      <c r="E637" s="85" t="n"/>
      <c r="F637" s="85" t="n"/>
      <c r="G637" s="85" t="n"/>
      <c r="H637" s="85" t="n"/>
      <c r="S637">
        <f>IF(14&lt;='設定'!$B$6,"表示","隠す")</f>
        <v/>
      </c>
    </row>
    <row r="638" hidden="1" ht="21" customHeight="1">
      <c r="A638" s="84" t="n"/>
      <c r="B638" s="46">
        <f>'設定'!$I$25</f>
        <v/>
      </c>
      <c r="C638" s="85" t="n"/>
      <c r="D638" s="85" t="n"/>
      <c r="E638" s="85" t="n"/>
      <c r="F638" s="85" t="n"/>
      <c r="G638" s="85" t="n"/>
      <c r="H638" s="85" t="n"/>
      <c r="S638">
        <f>IF(15&lt;='設定'!$B$6,"表示","隠す")</f>
        <v/>
      </c>
    </row>
    <row r="639" hidden="1" ht="21" customHeight="1">
      <c r="A639" s="84" t="n"/>
      <c r="B639" s="46">
        <f>'設定'!$I$26</f>
        <v/>
      </c>
      <c r="C639" s="85" t="n"/>
      <c r="D639" s="85" t="n"/>
      <c r="E639" s="85" t="n"/>
      <c r="F639" s="85" t="n"/>
      <c r="G639" s="85" t="n"/>
      <c r="H639" s="85" t="n"/>
      <c r="S639">
        <f>IF(16&lt;='設定'!$B$6,"表示","隠す")</f>
        <v/>
      </c>
    </row>
    <row r="640" hidden="1" ht="21" customHeight="1">
      <c r="A640" s="84" t="n"/>
      <c r="B640" s="46">
        <f>'設定'!$I$27</f>
        <v/>
      </c>
      <c r="C640" s="85" t="n"/>
      <c r="D640" s="85" t="n"/>
      <c r="E640" s="85" t="n"/>
      <c r="F640" s="85" t="n"/>
      <c r="G640" s="85" t="n"/>
      <c r="H640" s="85" t="n"/>
      <c r="S640">
        <f>IF(17&lt;='設定'!$B$6,"表示","隠す")</f>
        <v/>
      </c>
    </row>
    <row r="641" hidden="1" ht="21" customHeight="1">
      <c r="A641" s="84" t="n"/>
      <c r="B641" s="46">
        <f>'設定'!$I$28</f>
        <v/>
      </c>
      <c r="C641" s="85" t="n"/>
      <c r="D641" s="85" t="n"/>
      <c r="E641" s="85" t="n"/>
      <c r="F641" s="85" t="n"/>
      <c r="G641" s="85" t="n"/>
      <c r="H641" s="85" t="n"/>
      <c r="S641">
        <f>IF(18&lt;='設定'!$B$6,"表示","隠す")</f>
        <v/>
      </c>
    </row>
    <row r="642" hidden="1" ht="21" customHeight="1">
      <c r="A642" s="84" t="n"/>
      <c r="B642" s="46">
        <f>'設定'!$I$29</f>
        <v/>
      </c>
      <c r="C642" s="85" t="n"/>
      <c r="D642" s="85" t="n"/>
      <c r="E642" s="85" t="n"/>
      <c r="F642" s="85" t="n"/>
      <c r="G642" s="85" t="n"/>
      <c r="H642" s="85" t="n"/>
      <c r="S642">
        <f>IF(19&lt;='設定'!$B$6,"表示","隠す")</f>
        <v/>
      </c>
    </row>
    <row r="643" hidden="1" ht="21" customHeight="1">
      <c r="A643" s="84" t="n"/>
      <c r="B643" s="46">
        <f>'設定'!$I$30</f>
        <v/>
      </c>
      <c r="C643" s="85" t="n"/>
      <c r="D643" s="85" t="n"/>
      <c r="E643" s="85" t="n"/>
      <c r="F643" s="85" t="n"/>
      <c r="G643" s="85" t="n"/>
      <c r="H643" s="85" t="n"/>
      <c r="S643">
        <f>IF(20&lt;='設定'!$B$6,"表示","隠す")</f>
        <v/>
      </c>
    </row>
    <row r="644" hidden="1" ht="21" customHeight="1">
      <c r="A644" s="84" t="n"/>
      <c r="B644" s="46">
        <f>'設定'!$I$31</f>
        <v/>
      </c>
      <c r="C644" s="85" t="n"/>
      <c r="D644" s="85" t="n"/>
      <c r="E644" s="85" t="n"/>
      <c r="F644" s="85" t="n"/>
      <c r="G644" s="85" t="n"/>
      <c r="H644" s="85" t="n"/>
      <c r="S644">
        <f>IF(21&lt;='設定'!$B$6,"表示","隠す")</f>
        <v/>
      </c>
    </row>
    <row r="645" hidden="1" ht="21" customHeight="1">
      <c r="A645" s="84" t="n"/>
      <c r="B645" s="46">
        <f>'設定'!$I$32</f>
        <v/>
      </c>
      <c r="C645" s="85" t="n"/>
      <c r="D645" s="85" t="n"/>
      <c r="E645" s="85" t="n"/>
      <c r="F645" s="85" t="n"/>
      <c r="G645" s="85" t="n"/>
      <c r="H645" s="85" t="n"/>
      <c r="S645">
        <f>IF(22&lt;='設定'!$B$6,"表示","隠す")</f>
        <v/>
      </c>
    </row>
    <row r="646" hidden="1" ht="21" customHeight="1">
      <c r="A646" s="84" t="n"/>
      <c r="B646" s="46">
        <f>'設定'!$I$33</f>
        <v/>
      </c>
      <c r="C646" s="85" t="n"/>
      <c r="D646" s="85" t="n"/>
      <c r="E646" s="85" t="n"/>
      <c r="F646" s="85" t="n"/>
      <c r="G646" s="85" t="n"/>
      <c r="H646" s="85" t="n"/>
      <c r="S646">
        <f>IF(23&lt;='設定'!$B$6,"表示","隠す")</f>
        <v/>
      </c>
    </row>
    <row r="647" hidden="1" ht="21" customHeight="1">
      <c r="A647" s="84" t="n"/>
      <c r="B647" s="46">
        <f>'設定'!$I$34</f>
        <v/>
      </c>
      <c r="C647" s="85" t="n"/>
      <c r="D647" s="85" t="n"/>
      <c r="E647" s="85" t="n"/>
      <c r="F647" s="85" t="n"/>
      <c r="G647" s="85" t="n"/>
      <c r="H647" s="85" t="n"/>
      <c r="S647">
        <f>IF(24&lt;='設定'!$B$6,"表示","隠す")</f>
        <v/>
      </c>
    </row>
    <row r="648">
      <c r="S648" t="inlineStr">
        <is>
          <t>表示</t>
        </is>
      </c>
    </row>
    <row r="649" ht="26" customHeight="1">
      <c r="B649" s="78">
        <f>IF('名簿'!B28="","（名簿 24行目：なし）",'名簿'!P28)</f>
        <v/>
      </c>
      <c r="C649" s="5" t="n"/>
      <c r="D649" s="5" t="n"/>
      <c r="E649" s="79" t="inlineStr">
        <is>
          <t>提出状況 ▶</t>
        </is>
      </c>
      <c r="F649" s="42" t="n"/>
      <c r="G649" s="33" t="n"/>
      <c r="H649" s="80" t="inlineStr">
        <is>
          <t>状況：</t>
        </is>
      </c>
      <c r="I649" s="81">
        <f>'名簿'!Q28</f>
        <v/>
      </c>
      <c r="J649" s="80" t="inlineStr">
        <is>
          <t>×の数：</t>
        </is>
      </c>
      <c r="K649" s="82">
        <f>'名簿'!R28</f>
        <v/>
      </c>
      <c r="L649" s="83">
        <f>HYPERLINK("#'×入力'!B677","次の人へ ▼")</f>
        <v/>
      </c>
      <c r="S649" t="inlineStr">
        <is>
          <t>表示</t>
        </is>
      </c>
    </row>
    <row r="650" ht="22" customHeight="1">
      <c r="A650" s="34" t="inlineStr">
        <is>
          <t>この日全部 ▶</t>
        </is>
      </c>
      <c r="C650" s="84" t="n"/>
      <c r="D650" s="84" t="n"/>
      <c r="E650" s="84" t="n"/>
      <c r="F650" s="84" t="n"/>
      <c r="G650" s="84" t="n"/>
      <c r="H650" s="84" t="n"/>
      <c r="S650" t="inlineStr">
        <is>
          <t>表示</t>
        </is>
      </c>
    </row>
    <row r="651" ht="28" customHeight="1">
      <c r="A651" s="37" t="inlineStr">
        <is>
          <t>この時間
全部 ▼</t>
        </is>
      </c>
      <c r="B651" s="38" t="inlineStr"/>
      <c r="C651" s="39">
        <f>'設定'!$E$11</f>
        <v/>
      </c>
      <c r="D651" s="39">
        <f>'設定'!$E$12</f>
        <v/>
      </c>
      <c r="E651" s="39">
        <f>'設定'!$E$13</f>
        <v/>
      </c>
      <c r="F651" s="39">
        <f>'設定'!$E$14</f>
        <v/>
      </c>
      <c r="G651" s="39">
        <f>'設定'!$E$15</f>
        <v/>
      </c>
      <c r="H651" s="39">
        <f>'設定'!$E$16</f>
        <v/>
      </c>
      <c r="S651" t="inlineStr">
        <is>
          <t>表示</t>
        </is>
      </c>
    </row>
    <row r="652" ht="21" customHeight="1">
      <c r="A652" s="84" t="n"/>
      <c r="B652" s="46">
        <f>'設定'!$I$11</f>
        <v/>
      </c>
      <c r="C652" s="85" t="n"/>
      <c r="D652" s="85" t="n"/>
      <c r="E652" s="85" t="n"/>
      <c r="F652" s="85" t="inlineStr">
        <is>
          <t>×</t>
        </is>
      </c>
      <c r="G652" s="85" t="n"/>
      <c r="H652" s="85" t="n"/>
      <c r="S652">
        <f>IF(1&lt;='設定'!$B$6,"表示","隠す")</f>
        <v/>
      </c>
    </row>
    <row r="653" ht="21" customHeight="1">
      <c r="A653" s="84" t="n"/>
      <c r="B653" s="46">
        <f>'設定'!$I$12</f>
        <v/>
      </c>
      <c r="C653" s="85" t="n"/>
      <c r="D653" s="85" t="inlineStr">
        <is>
          <t>×</t>
        </is>
      </c>
      <c r="E653" s="85" t="n"/>
      <c r="F653" s="85" t="n"/>
      <c r="G653" s="85" t="n"/>
      <c r="H653" s="85" t="n"/>
      <c r="S653">
        <f>IF(2&lt;='設定'!$B$6,"表示","隠す")</f>
        <v/>
      </c>
    </row>
    <row r="654" ht="21" customHeight="1">
      <c r="A654" s="84" t="n"/>
      <c r="B654" s="46">
        <f>'設定'!$I$13</f>
        <v/>
      </c>
      <c r="C654" s="85" t="n"/>
      <c r="D654" s="85" t="inlineStr">
        <is>
          <t>×</t>
        </is>
      </c>
      <c r="E654" s="85" t="n"/>
      <c r="F654" s="85" t="inlineStr">
        <is>
          <t>×</t>
        </is>
      </c>
      <c r="G654" s="85" t="n"/>
      <c r="H654" s="85" t="n"/>
      <c r="S654">
        <f>IF(3&lt;='設定'!$B$6,"表示","隠す")</f>
        <v/>
      </c>
    </row>
    <row r="655" ht="21" customHeight="1">
      <c r="A655" s="84" t="n"/>
      <c r="B655" s="46">
        <f>'設定'!$I$14</f>
        <v/>
      </c>
      <c r="C655" s="85" t="n"/>
      <c r="D655" s="85" t="n"/>
      <c r="E655" s="85" t="n"/>
      <c r="F655" s="85" t="n"/>
      <c r="G655" s="85" t="n"/>
      <c r="H655" s="85" t="n"/>
      <c r="S655">
        <f>IF(4&lt;='設定'!$B$6,"表示","隠す")</f>
        <v/>
      </c>
    </row>
    <row r="656" ht="21" customHeight="1">
      <c r="A656" s="84" t="n"/>
      <c r="B656" s="46">
        <f>'設定'!$I$15</f>
        <v/>
      </c>
      <c r="C656" s="85" t="n"/>
      <c r="D656" s="85" t="n"/>
      <c r="E656" s="85" t="n"/>
      <c r="F656" s="85" t="inlineStr">
        <is>
          <t>×</t>
        </is>
      </c>
      <c r="G656" s="85" t="inlineStr">
        <is>
          <t>×</t>
        </is>
      </c>
      <c r="H656" s="85" t="n"/>
      <c r="S656">
        <f>IF(5&lt;='設定'!$B$6,"表示","隠す")</f>
        <v/>
      </c>
    </row>
    <row r="657" ht="21" customHeight="1">
      <c r="A657" s="84" t="n"/>
      <c r="B657" s="46">
        <f>'設定'!$I$16</f>
        <v/>
      </c>
      <c r="C657" s="85" t="n"/>
      <c r="D657" s="85" t="n"/>
      <c r="E657" s="85" t="inlineStr">
        <is>
          <t>×</t>
        </is>
      </c>
      <c r="F657" s="85" t="n"/>
      <c r="G657" s="85" t="n"/>
      <c r="H657" s="85" t="n"/>
      <c r="S657">
        <f>IF(6&lt;='設定'!$B$6,"表示","隠す")</f>
        <v/>
      </c>
    </row>
    <row r="658" ht="21" customHeight="1">
      <c r="A658" s="84" t="n"/>
      <c r="B658" s="46">
        <f>'設定'!$I$17</f>
        <v/>
      </c>
      <c r="C658" s="85" t="n"/>
      <c r="D658" s="85" t="n"/>
      <c r="E658" s="85" t="n"/>
      <c r="F658" s="85" t="n"/>
      <c r="G658" s="85" t="n"/>
      <c r="H658" s="85" t="n"/>
      <c r="S658">
        <f>IF(7&lt;='設定'!$B$6,"表示","隠す")</f>
        <v/>
      </c>
    </row>
    <row r="659" ht="21" customHeight="1">
      <c r="A659" s="84" t="n"/>
      <c r="B659" s="46">
        <f>'設定'!$I$18</f>
        <v/>
      </c>
      <c r="C659" s="85" t="n"/>
      <c r="D659" s="85" t="n"/>
      <c r="E659" s="85" t="n"/>
      <c r="F659" s="85" t="n"/>
      <c r="G659" s="85" t="n"/>
      <c r="H659" s="85" t="n"/>
      <c r="S659">
        <f>IF(8&lt;='設定'!$B$6,"表示","隠す")</f>
        <v/>
      </c>
    </row>
    <row r="660" ht="21" customHeight="1">
      <c r="A660" s="84" t="n"/>
      <c r="B660" s="46">
        <f>'設定'!$I$19</f>
        <v/>
      </c>
      <c r="C660" s="85" t="inlineStr">
        <is>
          <t>×</t>
        </is>
      </c>
      <c r="D660" s="85" t="n"/>
      <c r="E660" s="85" t="inlineStr">
        <is>
          <t>×</t>
        </is>
      </c>
      <c r="F660" s="85" t="n"/>
      <c r="G660" s="85" t="n"/>
      <c r="H660" s="85" t="n"/>
      <c r="S660">
        <f>IF(9&lt;='設定'!$B$6,"表示","隠す")</f>
        <v/>
      </c>
    </row>
    <row r="661" hidden="1" ht="21" customHeight="1">
      <c r="A661" s="84" t="n"/>
      <c r="B661" s="46">
        <f>'設定'!$I$20</f>
        <v/>
      </c>
      <c r="C661" s="85" t="n"/>
      <c r="D661" s="85" t="n"/>
      <c r="E661" s="85" t="n"/>
      <c r="F661" s="85" t="n"/>
      <c r="G661" s="85" t="n"/>
      <c r="H661" s="85" t="n"/>
      <c r="S661">
        <f>IF(10&lt;='設定'!$B$6,"表示","隠す")</f>
        <v/>
      </c>
    </row>
    <row r="662" hidden="1" ht="21" customHeight="1">
      <c r="A662" s="84" t="n"/>
      <c r="B662" s="46">
        <f>'設定'!$I$21</f>
        <v/>
      </c>
      <c r="C662" s="85" t="n"/>
      <c r="D662" s="85" t="n"/>
      <c r="E662" s="85" t="n"/>
      <c r="F662" s="85" t="n"/>
      <c r="G662" s="85" t="n"/>
      <c r="H662" s="85" t="n"/>
      <c r="S662">
        <f>IF(11&lt;='設定'!$B$6,"表示","隠す")</f>
        <v/>
      </c>
    </row>
    <row r="663" hidden="1" ht="21" customHeight="1">
      <c r="A663" s="84" t="n"/>
      <c r="B663" s="46">
        <f>'設定'!$I$22</f>
        <v/>
      </c>
      <c r="C663" s="85" t="n"/>
      <c r="D663" s="85" t="n"/>
      <c r="E663" s="85" t="n"/>
      <c r="F663" s="85" t="n"/>
      <c r="G663" s="85" t="n"/>
      <c r="H663" s="85" t="n"/>
      <c r="S663">
        <f>IF(12&lt;='設定'!$B$6,"表示","隠す")</f>
        <v/>
      </c>
    </row>
    <row r="664" hidden="1" ht="21" customHeight="1">
      <c r="A664" s="84" t="n"/>
      <c r="B664" s="46">
        <f>'設定'!$I$23</f>
        <v/>
      </c>
      <c r="C664" s="85" t="n"/>
      <c r="D664" s="85" t="n"/>
      <c r="E664" s="85" t="n"/>
      <c r="F664" s="85" t="n"/>
      <c r="G664" s="85" t="n"/>
      <c r="H664" s="85" t="n"/>
      <c r="S664">
        <f>IF(13&lt;='設定'!$B$6,"表示","隠す")</f>
        <v/>
      </c>
    </row>
    <row r="665" hidden="1" ht="21" customHeight="1">
      <c r="A665" s="84" t="n"/>
      <c r="B665" s="46">
        <f>'設定'!$I$24</f>
        <v/>
      </c>
      <c r="C665" s="85" t="n"/>
      <c r="D665" s="85" t="n"/>
      <c r="E665" s="85" t="n"/>
      <c r="F665" s="85" t="n"/>
      <c r="G665" s="85" t="n"/>
      <c r="H665" s="85" t="n"/>
      <c r="S665">
        <f>IF(14&lt;='設定'!$B$6,"表示","隠す")</f>
        <v/>
      </c>
    </row>
    <row r="666" hidden="1" ht="21" customHeight="1">
      <c r="A666" s="84" t="n"/>
      <c r="B666" s="46">
        <f>'設定'!$I$25</f>
        <v/>
      </c>
      <c r="C666" s="85" t="n"/>
      <c r="D666" s="85" t="n"/>
      <c r="E666" s="85" t="n"/>
      <c r="F666" s="85" t="n"/>
      <c r="G666" s="85" t="n"/>
      <c r="H666" s="85" t="n"/>
      <c r="S666">
        <f>IF(15&lt;='設定'!$B$6,"表示","隠す")</f>
        <v/>
      </c>
    </row>
    <row r="667" hidden="1" ht="21" customHeight="1">
      <c r="A667" s="84" t="n"/>
      <c r="B667" s="46">
        <f>'設定'!$I$26</f>
        <v/>
      </c>
      <c r="C667" s="85" t="n"/>
      <c r="D667" s="85" t="n"/>
      <c r="E667" s="85" t="n"/>
      <c r="F667" s="85" t="n"/>
      <c r="G667" s="85" t="n"/>
      <c r="H667" s="85" t="n"/>
      <c r="S667">
        <f>IF(16&lt;='設定'!$B$6,"表示","隠す")</f>
        <v/>
      </c>
    </row>
    <row r="668" hidden="1" ht="21" customHeight="1">
      <c r="A668" s="84" t="n"/>
      <c r="B668" s="46">
        <f>'設定'!$I$27</f>
        <v/>
      </c>
      <c r="C668" s="85" t="n"/>
      <c r="D668" s="85" t="n"/>
      <c r="E668" s="85" t="n"/>
      <c r="F668" s="85" t="n"/>
      <c r="G668" s="85" t="n"/>
      <c r="H668" s="85" t="n"/>
      <c r="S668">
        <f>IF(17&lt;='設定'!$B$6,"表示","隠す")</f>
        <v/>
      </c>
    </row>
    <row r="669" hidden="1" ht="21" customHeight="1">
      <c r="A669" s="84" t="n"/>
      <c r="B669" s="46">
        <f>'設定'!$I$28</f>
        <v/>
      </c>
      <c r="C669" s="85" t="n"/>
      <c r="D669" s="85" t="n"/>
      <c r="E669" s="85" t="n"/>
      <c r="F669" s="85" t="n"/>
      <c r="G669" s="85" t="n"/>
      <c r="H669" s="85" t="n"/>
      <c r="S669">
        <f>IF(18&lt;='設定'!$B$6,"表示","隠す")</f>
        <v/>
      </c>
    </row>
    <row r="670" hidden="1" ht="21" customHeight="1">
      <c r="A670" s="84" t="n"/>
      <c r="B670" s="46">
        <f>'設定'!$I$29</f>
        <v/>
      </c>
      <c r="C670" s="85" t="n"/>
      <c r="D670" s="85" t="n"/>
      <c r="E670" s="85" t="n"/>
      <c r="F670" s="85" t="n"/>
      <c r="G670" s="85" t="n"/>
      <c r="H670" s="85" t="n"/>
      <c r="S670">
        <f>IF(19&lt;='設定'!$B$6,"表示","隠す")</f>
        <v/>
      </c>
    </row>
    <row r="671" hidden="1" ht="21" customHeight="1">
      <c r="A671" s="84" t="n"/>
      <c r="B671" s="46">
        <f>'設定'!$I$30</f>
        <v/>
      </c>
      <c r="C671" s="85" t="n"/>
      <c r="D671" s="85" t="n"/>
      <c r="E671" s="85" t="n"/>
      <c r="F671" s="85" t="n"/>
      <c r="G671" s="85" t="n"/>
      <c r="H671" s="85" t="n"/>
      <c r="S671">
        <f>IF(20&lt;='設定'!$B$6,"表示","隠す")</f>
        <v/>
      </c>
    </row>
    <row r="672" hidden="1" ht="21" customHeight="1">
      <c r="A672" s="84" t="n"/>
      <c r="B672" s="46">
        <f>'設定'!$I$31</f>
        <v/>
      </c>
      <c r="C672" s="85" t="n"/>
      <c r="D672" s="85" t="n"/>
      <c r="E672" s="85" t="n"/>
      <c r="F672" s="85" t="n"/>
      <c r="G672" s="85" t="n"/>
      <c r="H672" s="85" t="n"/>
      <c r="S672">
        <f>IF(21&lt;='設定'!$B$6,"表示","隠す")</f>
        <v/>
      </c>
    </row>
    <row r="673" hidden="1" ht="21" customHeight="1">
      <c r="A673" s="84" t="n"/>
      <c r="B673" s="46">
        <f>'設定'!$I$32</f>
        <v/>
      </c>
      <c r="C673" s="85" t="n"/>
      <c r="D673" s="85" t="n"/>
      <c r="E673" s="85" t="n"/>
      <c r="F673" s="85" t="n"/>
      <c r="G673" s="85" t="n"/>
      <c r="H673" s="85" t="n"/>
      <c r="S673">
        <f>IF(22&lt;='設定'!$B$6,"表示","隠す")</f>
        <v/>
      </c>
    </row>
    <row r="674" hidden="1" ht="21" customHeight="1">
      <c r="A674" s="84" t="n"/>
      <c r="B674" s="46">
        <f>'設定'!$I$33</f>
        <v/>
      </c>
      <c r="C674" s="85" t="n"/>
      <c r="D674" s="85" t="n"/>
      <c r="E674" s="85" t="n"/>
      <c r="F674" s="85" t="n"/>
      <c r="G674" s="85" t="n"/>
      <c r="H674" s="85" t="n"/>
      <c r="S674">
        <f>IF(23&lt;='設定'!$B$6,"表示","隠す")</f>
        <v/>
      </c>
    </row>
    <row r="675" hidden="1" ht="21" customHeight="1">
      <c r="A675" s="84" t="n"/>
      <c r="B675" s="46">
        <f>'設定'!$I$34</f>
        <v/>
      </c>
      <c r="C675" s="85" t="n"/>
      <c r="D675" s="85" t="n"/>
      <c r="E675" s="85" t="n"/>
      <c r="F675" s="85" t="n"/>
      <c r="G675" s="85" t="n"/>
      <c r="H675" s="85" t="n"/>
      <c r="S675">
        <f>IF(24&lt;='設定'!$B$6,"表示","隠す")</f>
        <v/>
      </c>
    </row>
    <row r="676">
      <c r="S676" t="inlineStr">
        <is>
          <t>表示</t>
        </is>
      </c>
    </row>
    <row r="677" ht="26" customHeight="1">
      <c r="B677" s="78">
        <f>IF('名簿'!B29="","（名簿 25行目：なし）",'名簿'!P29)</f>
        <v/>
      </c>
      <c r="C677" s="5" t="n"/>
      <c r="D677" s="5" t="n"/>
      <c r="E677" s="79" t="inlineStr">
        <is>
          <t>提出状況 ▶</t>
        </is>
      </c>
      <c r="F677" s="42" t="inlineStr">
        <is>
          <t>×なし（どこでもOK）</t>
        </is>
      </c>
      <c r="G677" s="33" t="n"/>
      <c r="H677" s="80" t="inlineStr">
        <is>
          <t>状況：</t>
        </is>
      </c>
      <c r="I677" s="81">
        <f>'名簿'!Q29</f>
        <v/>
      </c>
      <c r="J677" s="80" t="inlineStr">
        <is>
          <t>×の数：</t>
        </is>
      </c>
      <c r="K677" s="82">
        <f>'名簿'!R29</f>
        <v/>
      </c>
      <c r="L677" s="83">
        <f>HYPERLINK("#'×入力'!B705","次の人へ ▼")</f>
        <v/>
      </c>
      <c r="S677" t="inlineStr">
        <is>
          <t>表示</t>
        </is>
      </c>
    </row>
    <row r="678" ht="22" customHeight="1">
      <c r="A678" s="34" t="inlineStr">
        <is>
          <t>この日全部 ▶</t>
        </is>
      </c>
      <c r="C678" s="84" t="n"/>
      <c r="D678" s="84" t="n"/>
      <c r="E678" s="84" t="n"/>
      <c r="F678" s="84" t="n"/>
      <c r="G678" s="84" t="n"/>
      <c r="H678" s="84" t="n"/>
      <c r="S678" t="inlineStr">
        <is>
          <t>表示</t>
        </is>
      </c>
    </row>
    <row r="679" ht="28" customHeight="1">
      <c r="A679" s="37" t="inlineStr">
        <is>
          <t>この時間
全部 ▼</t>
        </is>
      </c>
      <c r="B679" s="38" t="inlineStr"/>
      <c r="C679" s="39">
        <f>'設定'!$E$11</f>
        <v/>
      </c>
      <c r="D679" s="39">
        <f>'設定'!$E$12</f>
        <v/>
      </c>
      <c r="E679" s="39">
        <f>'設定'!$E$13</f>
        <v/>
      </c>
      <c r="F679" s="39">
        <f>'設定'!$E$14</f>
        <v/>
      </c>
      <c r="G679" s="39">
        <f>'設定'!$E$15</f>
        <v/>
      </c>
      <c r="H679" s="39">
        <f>'設定'!$E$16</f>
        <v/>
      </c>
      <c r="S679" t="inlineStr">
        <is>
          <t>表示</t>
        </is>
      </c>
    </row>
    <row r="680" ht="21" customHeight="1">
      <c r="A680" s="84" t="n"/>
      <c r="B680" s="46">
        <f>'設定'!$I$11</f>
        <v/>
      </c>
      <c r="C680" s="85" t="n"/>
      <c r="D680" s="85" t="n"/>
      <c r="E680" s="85" t="n"/>
      <c r="F680" s="85" t="n"/>
      <c r="G680" s="85" t="n"/>
      <c r="H680" s="85" t="n"/>
      <c r="S680">
        <f>IF(1&lt;='設定'!$B$6,"表示","隠す")</f>
        <v/>
      </c>
    </row>
    <row r="681" ht="21" customHeight="1">
      <c r="A681" s="84" t="n"/>
      <c r="B681" s="46">
        <f>'設定'!$I$12</f>
        <v/>
      </c>
      <c r="C681" s="85" t="n"/>
      <c r="D681" s="85" t="n"/>
      <c r="E681" s="85" t="n"/>
      <c r="F681" s="85" t="n"/>
      <c r="G681" s="85" t="n"/>
      <c r="H681" s="85" t="n"/>
      <c r="S681">
        <f>IF(2&lt;='設定'!$B$6,"表示","隠す")</f>
        <v/>
      </c>
    </row>
    <row r="682" ht="21" customHeight="1">
      <c r="A682" s="84" t="n"/>
      <c r="B682" s="46">
        <f>'設定'!$I$13</f>
        <v/>
      </c>
      <c r="C682" s="85" t="n"/>
      <c r="D682" s="85" t="n"/>
      <c r="E682" s="85" t="n"/>
      <c r="F682" s="85" t="n"/>
      <c r="G682" s="85" t="n"/>
      <c r="H682" s="85" t="n"/>
      <c r="S682">
        <f>IF(3&lt;='設定'!$B$6,"表示","隠す")</f>
        <v/>
      </c>
    </row>
    <row r="683" ht="21" customHeight="1">
      <c r="A683" s="84" t="n"/>
      <c r="B683" s="46">
        <f>'設定'!$I$14</f>
        <v/>
      </c>
      <c r="C683" s="85" t="n"/>
      <c r="D683" s="85" t="n"/>
      <c r="E683" s="85" t="n"/>
      <c r="F683" s="85" t="n"/>
      <c r="G683" s="85" t="n"/>
      <c r="H683" s="85" t="n"/>
      <c r="S683">
        <f>IF(4&lt;='設定'!$B$6,"表示","隠す")</f>
        <v/>
      </c>
    </row>
    <row r="684" ht="21" customHeight="1">
      <c r="A684" s="84" t="n"/>
      <c r="B684" s="46">
        <f>'設定'!$I$15</f>
        <v/>
      </c>
      <c r="C684" s="85" t="n"/>
      <c r="D684" s="85" t="n"/>
      <c r="E684" s="85" t="n"/>
      <c r="F684" s="85" t="n"/>
      <c r="G684" s="85" t="n"/>
      <c r="H684" s="85" t="n"/>
      <c r="S684">
        <f>IF(5&lt;='設定'!$B$6,"表示","隠す")</f>
        <v/>
      </c>
    </row>
    <row r="685" ht="21" customHeight="1">
      <c r="A685" s="84" t="n"/>
      <c r="B685" s="46">
        <f>'設定'!$I$16</f>
        <v/>
      </c>
      <c r="C685" s="85" t="n"/>
      <c r="D685" s="85" t="n"/>
      <c r="E685" s="85" t="n"/>
      <c r="F685" s="85" t="n"/>
      <c r="G685" s="85" t="n"/>
      <c r="H685" s="85" t="n"/>
      <c r="S685">
        <f>IF(6&lt;='設定'!$B$6,"表示","隠す")</f>
        <v/>
      </c>
    </row>
    <row r="686" ht="21" customHeight="1">
      <c r="A686" s="84" t="n"/>
      <c r="B686" s="46">
        <f>'設定'!$I$17</f>
        <v/>
      </c>
      <c r="C686" s="85" t="n"/>
      <c r="D686" s="85" t="n"/>
      <c r="E686" s="85" t="n"/>
      <c r="F686" s="85" t="n"/>
      <c r="G686" s="85" t="n"/>
      <c r="H686" s="85" t="n"/>
      <c r="S686">
        <f>IF(7&lt;='設定'!$B$6,"表示","隠す")</f>
        <v/>
      </c>
    </row>
    <row r="687" ht="21" customHeight="1">
      <c r="A687" s="84" t="n"/>
      <c r="B687" s="46">
        <f>'設定'!$I$18</f>
        <v/>
      </c>
      <c r="C687" s="85" t="n"/>
      <c r="D687" s="85" t="n"/>
      <c r="E687" s="85" t="n"/>
      <c r="F687" s="85" t="n"/>
      <c r="G687" s="85" t="n"/>
      <c r="H687" s="85" t="n"/>
      <c r="S687">
        <f>IF(8&lt;='設定'!$B$6,"表示","隠す")</f>
        <v/>
      </c>
    </row>
    <row r="688" ht="21" customHeight="1">
      <c r="A688" s="84" t="n"/>
      <c r="B688" s="46">
        <f>'設定'!$I$19</f>
        <v/>
      </c>
      <c r="C688" s="85" t="n"/>
      <c r="D688" s="85" t="n"/>
      <c r="E688" s="85" t="n"/>
      <c r="F688" s="85" t="n"/>
      <c r="G688" s="85" t="n"/>
      <c r="H688" s="85" t="n"/>
      <c r="S688">
        <f>IF(9&lt;='設定'!$B$6,"表示","隠す")</f>
        <v/>
      </c>
    </row>
    <row r="689" hidden="1" ht="21" customHeight="1">
      <c r="A689" s="84" t="n"/>
      <c r="B689" s="46">
        <f>'設定'!$I$20</f>
        <v/>
      </c>
      <c r="C689" s="85" t="n"/>
      <c r="D689" s="85" t="n"/>
      <c r="E689" s="85" t="n"/>
      <c r="F689" s="85" t="n"/>
      <c r="G689" s="85" t="n"/>
      <c r="H689" s="85" t="n"/>
      <c r="S689">
        <f>IF(10&lt;='設定'!$B$6,"表示","隠す")</f>
        <v/>
      </c>
    </row>
    <row r="690" hidden="1" ht="21" customHeight="1">
      <c r="A690" s="84" t="n"/>
      <c r="B690" s="46">
        <f>'設定'!$I$21</f>
        <v/>
      </c>
      <c r="C690" s="85" t="n"/>
      <c r="D690" s="85" t="n"/>
      <c r="E690" s="85" t="n"/>
      <c r="F690" s="85" t="n"/>
      <c r="G690" s="85" t="n"/>
      <c r="H690" s="85" t="n"/>
      <c r="S690">
        <f>IF(11&lt;='設定'!$B$6,"表示","隠す")</f>
        <v/>
      </c>
    </row>
    <row r="691" hidden="1" ht="21" customHeight="1">
      <c r="A691" s="84" t="n"/>
      <c r="B691" s="46">
        <f>'設定'!$I$22</f>
        <v/>
      </c>
      <c r="C691" s="85" t="n"/>
      <c r="D691" s="85" t="n"/>
      <c r="E691" s="85" t="n"/>
      <c r="F691" s="85" t="n"/>
      <c r="G691" s="85" t="n"/>
      <c r="H691" s="85" t="n"/>
      <c r="S691">
        <f>IF(12&lt;='設定'!$B$6,"表示","隠す")</f>
        <v/>
      </c>
    </row>
    <row r="692" hidden="1" ht="21" customHeight="1">
      <c r="A692" s="84" t="n"/>
      <c r="B692" s="46">
        <f>'設定'!$I$23</f>
        <v/>
      </c>
      <c r="C692" s="85" t="n"/>
      <c r="D692" s="85" t="n"/>
      <c r="E692" s="85" t="n"/>
      <c r="F692" s="85" t="n"/>
      <c r="G692" s="85" t="n"/>
      <c r="H692" s="85" t="n"/>
      <c r="S692">
        <f>IF(13&lt;='設定'!$B$6,"表示","隠す")</f>
        <v/>
      </c>
    </row>
    <row r="693" hidden="1" ht="21" customHeight="1">
      <c r="A693" s="84" t="n"/>
      <c r="B693" s="46">
        <f>'設定'!$I$24</f>
        <v/>
      </c>
      <c r="C693" s="85" t="n"/>
      <c r="D693" s="85" t="n"/>
      <c r="E693" s="85" t="n"/>
      <c r="F693" s="85" t="n"/>
      <c r="G693" s="85" t="n"/>
      <c r="H693" s="85" t="n"/>
      <c r="S693">
        <f>IF(14&lt;='設定'!$B$6,"表示","隠す")</f>
        <v/>
      </c>
    </row>
    <row r="694" hidden="1" ht="21" customHeight="1">
      <c r="A694" s="84" t="n"/>
      <c r="B694" s="46">
        <f>'設定'!$I$25</f>
        <v/>
      </c>
      <c r="C694" s="85" t="n"/>
      <c r="D694" s="85" t="n"/>
      <c r="E694" s="85" t="n"/>
      <c r="F694" s="85" t="n"/>
      <c r="G694" s="85" t="n"/>
      <c r="H694" s="85" t="n"/>
      <c r="S694">
        <f>IF(15&lt;='設定'!$B$6,"表示","隠す")</f>
        <v/>
      </c>
    </row>
    <row r="695" hidden="1" ht="21" customHeight="1">
      <c r="A695" s="84" t="n"/>
      <c r="B695" s="46">
        <f>'設定'!$I$26</f>
        <v/>
      </c>
      <c r="C695" s="85" t="n"/>
      <c r="D695" s="85" t="n"/>
      <c r="E695" s="85" t="n"/>
      <c r="F695" s="85" t="n"/>
      <c r="G695" s="85" t="n"/>
      <c r="H695" s="85" t="n"/>
      <c r="S695">
        <f>IF(16&lt;='設定'!$B$6,"表示","隠す")</f>
        <v/>
      </c>
    </row>
    <row r="696" hidden="1" ht="21" customHeight="1">
      <c r="A696" s="84" t="n"/>
      <c r="B696" s="46">
        <f>'設定'!$I$27</f>
        <v/>
      </c>
      <c r="C696" s="85" t="n"/>
      <c r="D696" s="85" t="n"/>
      <c r="E696" s="85" t="n"/>
      <c r="F696" s="85" t="n"/>
      <c r="G696" s="85" t="n"/>
      <c r="H696" s="85" t="n"/>
      <c r="S696">
        <f>IF(17&lt;='設定'!$B$6,"表示","隠す")</f>
        <v/>
      </c>
    </row>
    <row r="697" hidden="1" ht="21" customHeight="1">
      <c r="A697" s="84" t="n"/>
      <c r="B697" s="46">
        <f>'設定'!$I$28</f>
        <v/>
      </c>
      <c r="C697" s="85" t="n"/>
      <c r="D697" s="85" t="n"/>
      <c r="E697" s="85" t="n"/>
      <c r="F697" s="85" t="n"/>
      <c r="G697" s="85" t="n"/>
      <c r="H697" s="85" t="n"/>
      <c r="S697">
        <f>IF(18&lt;='設定'!$B$6,"表示","隠す")</f>
        <v/>
      </c>
    </row>
    <row r="698" hidden="1" ht="21" customHeight="1">
      <c r="A698" s="84" t="n"/>
      <c r="B698" s="46">
        <f>'設定'!$I$29</f>
        <v/>
      </c>
      <c r="C698" s="85" t="n"/>
      <c r="D698" s="85" t="n"/>
      <c r="E698" s="85" t="n"/>
      <c r="F698" s="85" t="n"/>
      <c r="G698" s="85" t="n"/>
      <c r="H698" s="85" t="n"/>
      <c r="S698">
        <f>IF(19&lt;='設定'!$B$6,"表示","隠す")</f>
        <v/>
      </c>
    </row>
    <row r="699" hidden="1" ht="21" customHeight="1">
      <c r="A699" s="84" t="n"/>
      <c r="B699" s="46">
        <f>'設定'!$I$30</f>
        <v/>
      </c>
      <c r="C699" s="85" t="n"/>
      <c r="D699" s="85" t="n"/>
      <c r="E699" s="85" t="n"/>
      <c r="F699" s="85" t="n"/>
      <c r="G699" s="85" t="n"/>
      <c r="H699" s="85" t="n"/>
      <c r="S699">
        <f>IF(20&lt;='設定'!$B$6,"表示","隠す")</f>
        <v/>
      </c>
    </row>
    <row r="700" hidden="1" ht="21" customHeight="1">
      <c r="A700" s="84" t="n"/>
      <c r="B700" s="46">
        <f>'設定'!$I$31</f>
        <v/>
      </c>
      <c r="C700" s="85" t="n"/>
      <c r="D700" s="85" t="n"/>
      <c r="E700" s="85" t="n"/>
      <c r="F700" s="85" t="n"/>
      <c r="G700" s="85" t="n"/>
      <c r="H700" s="85" t="n"/>
      <c r="S700">
        <f>IF(21&lt;='設定'!$B$6,"表示","隠す")</f>
        <v/>
      </c>
    </row>
    <row r="701" hidden="1" ht="21" customHeight="1">
      <c r="A701" s="84" t="n"/>
      <c r="B701" s="46">
        <f>'設定'!$I$32</f>
        <v/>
      </c>
      <c r="C701" s="85" t="n"/>
      <c r="D701" s="85" t="n"/>
      <c r="E701" s="85" t="n"/>
      <c r="F701" s="85" t="n"/>
      <c r="G701" s="85" t="n"/>
      <c r="H701" s="85" t="n"/>
      <c r="S701">
        <f>IF(22&lt;='設定'!$B$6,"表示","隠す")</f>
        <v/>
      </c>
    </row>
    <row r="702" hidden="1" ht="21" customHeight="1">
      <c r="A702" s="84" t="n"/>
      <c r="B702" s="46">
        <f>'設定'!$I$33</f>
        <v/>
      </c>
      <c r="C702" s="85" t="n"/>
      <c r="D702" s="85" t="n"/>
      <c r="E702" s="85" t="n"/>
      <c r="F702" s="85" t="n"/>
      <c r="G702" s="85" t="n"/>
      <c r="H702" s="85" t="n"/>
      <c r="S702">
        <f>IF(23&lt;='設定'!$B$6,"表示","隠す")</f>
        <v/>
      </c>
    </row>
    <row r="703" hidden="1" ht="21" customHeight="1">
      <c r="A703" s="84" t="n"/>
      <c r="B703" s="46">
        <f>'設定'!$I$34</f>
        <v/>
      </c>
      <c r="C703" s="85" t="n"/>
      <c r="D703" s="85" t="n"/>
      <c r="E703" s="85" t="n"/>
      <c r="F703" s="85" t="n"/>
      <c r="G703" s="85" t="n"/>
      <c r="H703" s="85" t="n"/>
      <c r="S703">
        <f>IF(24&lt;='設定'!$B$6,"表示","隠す")</f>
        <v/>
      </c>
    </row>
    <row r="704">
      <c r="S704" t="inlineStr">
        <is>
          <t>表示</t>
        </is>
      </c>
    </row>
    <row r="705" ht="26" customHeight="1">
      <c r="B705" s="78">
        <f>IF('名簿'!B30="","（名簿 26行目：なし）",'名簿'!P30)</f>
        <v/>
      </c>
      <c r="C705" s="5" t="n"/>
      <c r="D705" s="5" t="n"/>
      <c r="E705" s="79" t="inlineStr">
        <is>
          <t>提出状況 ▶</t>
        </is>
      </c>
      <c r="F705" s="42" t="n"/>
      <c r="G705" s="33" t="n"/>
      <c r="H705" s="80" t="inlineStr">
        <is>
          <t>状況：</t>
        </is>
      </c>
      <c r="I705" s="81">
        <f>'名簿'!Q30</f>
        <v/>
      </c>
      <c r="J705" s="80" t="inlineStr">
        <is>
          <t>×の数：</t>
        </is>
      </c>
      <c r="K705" s="82">
        <f>'名簿'!R30</f>
        <v/>
      </c>
      <c r="L705" s="83">
        <f>HYPERLINK("#'×入力'!B733","次の人へ ▼")</f>
        <v/>
      </c>
      <c r="S705" t="inlineStr">
        <is>
          <t>表示</t>
        </is>
      </c>
    </row>
    <row r="706" ht="22" customHeight="1">
      <c r="A706" s="34" t="inlineStr">
        <is>
          <t>この日全部 ▶</t>
        </is>
      </c>
      <c r="C706" s="84" t="n"/>
      <c r="D706" s="84" t="n"/>
      <c r="E706" s="84" t="n"/>
      <c r="F706" s="84" t="n"/>
      <c r="G706" s="84" t="n"/>
      <c r="H706" s="84" t="n"/>
      <c r="S706" t="inlineStr">
        <is>
          <t>表示</t>
        </is>
      </c>
    </row>
    <row r="707" ht="28" customHeight="1">
      <c r="A707" s="37" t="inlineStr">
        <is>
          <t>この時間
全部 ▼</t>
        </is>
      </c>
      <c r="B707" s="38" t="inlineStr"/>
      <c r="C707" s="39">
        <f>'設定'!$E$11</f>
        <v/>
      </c>
      <c r="D707" s="39">
        <f>'設定'!$E$12</f>
        <v/>
      </c>
      <c r="E707" s="39">
        <f>'設定'!$E$13</f>
        <v/>
      </c>
      <c r="F707" s="39">
        <f>'設定'!$E$14</f>
        <v/>
      </c>
      <c r="G707" s="39">
        <f>'設定'!$E$15</f>
        <v/>
      </c>
      <c r="H707" s="39">
        <f>'設定'!$E$16</f>
        <v/>
      </c>
      <c r="S707" t="inlineStr">
        <is>
          <t>表示</t>
        </is>
      </c>
    </row>
    <row r="708" ht="21" customHeight="1">
      <c r="A708" s="84" t="n"/>
      <c r="B708" s="46">
        <f>'設定'!$I$11</f>
        <v/>
      </c>
      <c r="C708" s="85" t="n"/>
      <c r="D708" s="85" t="n"/>
      <c r="E708" s="85" t="inlineStr">
        <is>
          <t>×</t>
        </is>
      </c>
      <c r="F708" s="85" t="inlineStr">
        <is>
          <t>×</t>
        </is>
      </c>
      <c r="G708" s="85" t="inlineStr">
        <is>
          <t>×</t>
        </is>
      </c>
      <c r="H708" s="85" t="n"/>
      <c r="S708">
        <f>IF(1&lt;='設定'!$B$6,"表示","隠す")</f>
        <v/>
      </c>
    </row>
    <row r="709" ht="21" customHeight="1">
      <c r="A709" s="84" t="n"/>
      <c r="B709" s="46">
        <f>'設定'!$I$12</f>
        <v/>
      </c>
      <c r="C709" s="85" t="n"/>
      <c r="D709" s="85" t="n"/>
      <c r="E709" s="85" t="inlineStr">
        <is>
          <t>×</t>
        </is>
      </c>
      <c r="F709" s="85" t="inlineStr">
        <is>
          <t>×</t>
        </is>
      </c>
      <c r="G709" s="85" t="inlineStr">
        <is>
          <t>×</t>
        </is>
      </c>
      <c r="H709" s="85" t="n"/>
      <c r="S709">
        <f>IF(2&lt;='設定'!$B$6,"表示","隠す")</f>
        <v/>
      </c>
    </row>
    <row r="710" ht="21" customHeight="1">
      <c r="A710" s="84" t="n"/>
      <c r="B710" s="46">
        <f>'設定'!$I$13</f>
        <v/>
      </c>
      <c r="C710" s="85" t="n"/>
      <c r="D710" s="85" t="n"/>
      <c r="E710" s="85" t="inlineStr">
        <is>
          <t>×</t>
        </is>
      </c>
      <c r="F710" s="85" t="inlineStr">
        <is>
          <t>×</t>
        </is>
      </c>
      <c r="G710" s="85" t="inlineStr">
        <is>
          <t>×</t>
        </is>
      </c>
      <c r="H710" s="85" t="n"/>
      <c r="S710">
        <f>IF(3&lt;='設定'!$B$6,"表示","隠す")</f>
        <v/>
      </c>
    </row>
    <row r="711" ht="21" customHeight="1">
      <c r="A711" s="84" t="n"/>
      <c r="B711" s="46">
        <f>'設定'!$I$14</f>
        <v/>
      </c>
      <c r="C711" s="85" t="n"/>
      <c r="D711" s="85" t="n"/>
      <c r="E711" s="85" t="inlineStr">
        <is>
          <t>×</t>
        </is>
      </c>
      <c r="F711" s="85" t="inlineStr">
        <is>
          <t>×</t>
        </is>
      </c>
      <c r="G711" s="85" t="inlineStr">
        <is>
          <t>×</t>
        </is>
      </c>
      <c r="H711" s="85" t="n"/>
      <c r="S711">
        <f>IF(4&lt;='設定'!$B$6,"表示","隠す")</f>
        <v/>
      </c>
    </row>
    <row r="712" ht="21" customHeight="1">
      <c r="A712" s="84" t="n"/>
      <c r="B712" s="46">
        <f>'設定'!$I$15</f>
        <v/>
      </c>
      <c r="C712" s="85" t="n"/>
      <c r="D712" s="85" t="n"/>
      <c r="E712" s="85" t="inlineStr">
        <is>
          <t>×</t>
        </is>
      </c>
      <c r="F712" s="85" t="inlineStr">
        <is>
          <t>×</t>
        </is>
      </c>
      <c r="G712" s="85" t="inlineStr">
        <is>
          <t>×</t>
        </is>
      </c>
      <c r="H712" s="85" t="n"/>
      <c r="S712">
        <f>IF(5&lt;='設定'!$B$6,"表示","隠す")</f>
        <v/>
      </c>
    </row>
    <row r="713" ht="21" customHeight="1">
      <c r="A713" s="84" t="n"/>
      <c r="B713" s="46">
        <f>'設定'!$I$16</f>
        <v/>
      </c>
      <c r="C713" s="85" t="n"/>
      <c r="D713" s="85" t="n"/>
      <c r="E713" s="85" t="inlineStr">
        <is>
          <t>×</t>
        </is>
      </c>
      <c r="F713" s="85" t="inlineStr">
        <is>
          <t>×</t>
        </is>
      </c>
      <c r="G713" s="85" t="inlineStr">
        <is>
          <t>×</t>
        </is>
      </c>
      <c r="H713" s="85" t="n"/>
      <c r="S713">
        <f>IF(6&lt;='設定'!$B$6,"表示","隠す")</f>
        <v/>
      </c>
    </row>
    <row r="714" ht="21" customHeight="1">
      <c r="A714" s="84" t="n"/>
      <c r="B714" s="46">
        <f>'設定'!$I$17</f>
        <v/>
      </c>
      <c r="C714" s="85" t="n"/>
      <c r="D714" s="85" t="n"/>
      <c r="E714" s="85" t="inlineStr">
        <is>
          <t>×</t>
        </is>
      </c>
      <c r="F714" s="85" t="inlineStr">
        <is>
          <t>×</t>
        </is>
      </c>
      <c r="G714" s="85" t="inlineStr">
        <is>
          <t>×</t>
        </is>
      </c>
      <c r="H714" s="85" t="n"/>
      <c r="S714">
        <f>IF(7&lt;='設定'!$B$6,"表示","隠す")</f>
        <v/>
      </c>
    </row>
    <row r="715" ht="21" customHeight="1">
      <c r="A715" s="84" t="n"/>
      <c r="B715" s="46">
        <f>'設定'!$I$18</f>
        <v/>
      </c>
      <c r="C715" s="85" t="n"/>
      <c r="D715" s="85" t="n"/>
      <c r="E715" s="85" t="inlineStr">
        <is>
          <t>×</t>
        </is>
      </c>
      <c r="F715" s="85" t="inlineStr">
        <is>
          <t>×</t>
        </is>
      </c>
      <c r="G715" s="85" t="inlineStr">
        <is>
          <t>×</t>
        </is>
      </c>
      <c r="H715" s="85" t="n"/>
      <c r="S715">
        <f>IF(8&lt;='設定'!$B$6,"表示","隠す")</f>
        <v/>
      </c>
    </row>
    <row r="716" ht="21" customHeight="1">
      <c r="A716" s="84" t="n"/>
      <c r="B716" s="46">
        <f>'設定'!$I$19</f>
        <v/>
      </c>
      <c r="C716" s="85" t="n"/>
      <c r="D716" s="85" t="inlineStr">
        <is>
          <t>×</t>
        </is>
      </c>
      <c r="E716" s="85" t="inlineStr">
        <is>
          <t>×</t>
        </is>
      </c>
      <c r="F716" s="85" t="inlineStr">
        <is>
          <t>×</t>
        </is>
      </c>
      <c r="G716" s="85" t="inlineStr">
        <is>
          <t>×</t>
        </is>
      </c>
      <c r="H716" s="85" t="n"/>
      <c r="S716">
        <f>IF(9&lt;='設定'!$B$6,"表示","隠す")</f>
        <v/>
      </c>
    </row>
    <row r="717" hidden="1" ht="21" customHeight="1">
      <c r="A717" s="84" t="n"/>
      <c r="B717" s="46">
        <f>'設定'!$I$20</f>
        <v/>
      </c>
      <c r="C717" s="85" t="n"/>
      <c r="D717" s="85" t="n"/>
      <c r="E717" s="85" t="n"/>
      <c r="F717" s="85" t="n"/>
      <c r="G717" s="85" t="n"/>
      <c r="H717" s="85" t="n"/>
      <c r="S717">
        <f>IF(10&lt;='設定'!$B$6,"表示","隠す")</f>
        <v/>
      </c>
    </row>
    <row r="718" hidden="1" ht="21" customHeight="1">
      <c r="A718" s="84" t="n"/>
      <c r="B718" s="46">
        <f>'設定'!$I$21</f>
        <v/>
      </c>
      <c r="C718" s="85" t="n"/>
      <c r="D718" s="85" t="n"/>
      <c r="E718" s="85" t="n"/>
      <c r="F718" s="85" t="n"/>
      <c r="G718" s="85" t="n"/>
      <c r="H718" s="85" t="n"/>
      <c r="S718">
        <f>IF(11&lt;='設定'!$B$6,"表示","隠す")</f>
        <v/>
      </c>
    </row>
    <row r="719" hidden="1" ht="21" customHeight="1">
      <c r="A719" s="84" t="n"/>
      <c r="B719" s="46">
        <f>'設定'!$I$22</f>
        <v/>
      </c>
      <c r="C719" s="85" t="n"/>
      <c r="D719" s="85" t="n"/>
      <c r="E719" s="85" t="n"/>
      <c r="F719" s="85" t="n"/>
      <c r="G719" s="85" t="n"/>
      <c r="H719" s="85" t="n"/>
      <c r="S719">
        <f>IF(12&lt;='設定'!$B$6,"表示","隠す")</f>
        <v/>
      </c>
    </row>
    <row r="720" hidden="1" ht="21" customHeight="1">
      <c r="A720" s="84" t="n"/>
      <c r="B720" s="46">
        <f>'設定'!$I$23</f>
        <v/>
      </c>
      <c r="C720" s="85" t="n"/>
      <c r="D720" s="85" t="n"/>
      <c r="E720" s="85" t="n"/>
      <c r="F720" s="85" t="n"/>
      <c r="G720" s="85" t="n"/>
      <c r="H720" s="85" t="n"/>
      <c r="S720">
        <f>IF(13&lt;='設定'!$B$6,"表示","隠す")</f>
        <v/>
      </c>
    </row>
    <row r="721" hidden="1" ht="21" customHeight="1">
      <c r="A721" s="84" t="n"/>
      <c r="B721" s="46">
        <f>'設定'!$I$24</f>
        <v/>
      </c>
      <c r="C721" s="85" t="n"/>
      <c r="D721" s="85" t="n"/>
      <c r="E721" s="85" t="n"/>
      <c r="F721" s="85" t="n"/>
      <c r="G721" s="85" t="n"/>
      <c r="H721" s="85" t="n"/>
      <c r="S721">
        <f>IF(14&lt;='設定'!$B$6,"表示","隠す")</f>
        <v/>
      </c>
    </row>
    <row r="722" hidden="1" ht="21" customHeight="1">
      <c r="A722" s="84" t="n"/>
      <c r="B722" s="46">
        <f>'設定'!$I$25</f>
        <v/>
      </c>
      <c r="C722" s="85" t="n"/>
      <c r="D722" s="85" t="n"/>
      <c r="E722" s="85" t="n"/>
      <c r="F722" s="85" t="n"/>
      <c r="G722" s="85" t="n"/>
      <c r="H722" s="85" t="n"/>
      <c r="S722">
        <f>IF(15&lt;='設定'!$B$6,"表示","隠す")</f>
        <v/>
      </c>
    </row>
    <row r="723" hidden="1" ht="21" customHeight="1">
      <c r="A723" s="84" t="n"/>
      <c r="B723" s="46">
        <f>'設定'!$I$26</f>
        <v/>
      </c>
      <c r="C723" s="85" t="n"/>
      <c r="D723" s="85" t="n"/>
      <c r="E723" s="85" t="n"/>
      <c r="F723" s="85" t="n"/>
      <c r="G723" s="85" t="n"/>
      <c r="H723" s="85" t="n"/>
      <c r="S723">
        <f>IF(16&lt;='設定'!$B$6,"表示","隠す")</f>
        <v/>
      </c>
    </row>
    <row r="724" hidden="1" ht="21" customHeight="1">
      <c r="A724" s="84" t="n"/>
      <c r="B724" s="46">
        <f>'設定'!$I$27</f>
        <v/>
      </c>
      <c r="C724" s="85" t="n"/>
      <c r="D724" s="85" t="n"/>
      <c r="E724" s="85" t="n"/>
      <c r="F724" s="85" t="n"/>
      <c r="G724" s="85" t="n"/>
      <c r="H724" s="85" t="n"/>
      <c r="S724">
        <f>IF(17&lt;='設定'!$B$6,"表示","隠す")</f>
        <v/>
      </c>
    </row>
    <row r="725" hidden="1" ht="21" customHeight="1">
      <c r="A725" s="84" t="n"/>
      <c r="B725" s="46">
        <f>'設定'!$I$28</f>
        <v/>
      </c>
      <c r="C725" s="85" t="n"/>
      <c r="D725" s="85" t="n"/>
      <c r="E725" s="85" t="n"/>
      <c r="F725" s="85" t="n"/>
      <c r="G725" s="85" t="n"/>
      <c r="H725" s="85" t="n"/>
      <c r="S725">
        <f>IF(18&lt;='設定'!$B$6,"表示","隠す")</f>
        <v/>
      </c>
    </row>
    <row r="726" hidden="1" ht="21" customHeight="1">
      <c r="A726" s="84" t="n"/>
      <c r="B726" s="46">
        <f>'設定'!$I$29</f>
        <v/>
      </c>
      <c r="C726" s="85" t="n"/>
      <c r="D726" s="85" t="n"/>
      <c r="E726" s="85" t="n"/>
      <c r="F726" s="85" t="n"/>
      <c r="G726" s="85" t="n"/>
      <c r="H726" s="85" t="n"/>
      <c r="S726">
        <f>IF(19&lt;='設定'!$B$6,"表示","隠す")</f>
        <v/>
      </c>
    </row>
    <row r="727" hidden="1" ht="21" customHeight="1">
      <c r="A727" s="84" t="n"/>
      <c r="B727" s="46">
        <f>'設定'!$I$30</f>
        <v/>
      </c>
      <c r="C727" s="85" t="n"/>
      <c r="D727" s="85" t="n"/>
      <c r="E727" s="85" t="n"/>
      <c r="F727" s="85" t="n"/>
      <c r="G727" s="85" t="n"/>
      <c r="H727" s="85" t="n"/>
      <c r="S727">
        <f>IF(20&lt;='設定'!$B$6,"表示","隠す")</f>
        <v/>
      </c>
    </row>
    <row r="728" hidden="1" ht="21" customHeight="1">
      <c r="A728" s="84" t="n"/>
      <c r="B728" s="46">
        <f>'設定'!$I$31</f>
        <v/>
      </c>
      <c r="C728" s="85" t="n"/>
      <c r="D728" s="85" t="n"/>
      <c r="E728" s="85" t="n"/>
      <c r="F728" s="85" t="n"/>
      <c r="G728" s="85" t="n"/>
      <c r="H728" s="85" t="n"/>
      <c r="S728">
        <f>IF(21&lt;='設定'!$B$6,"表示","隠す")</f>
        <v/>
      </c>
    </row>
    <row r="729" hidden="1" ht="21" customHeight="1">
      <c r="A729" s="84" t="n"/>
      <c r="B729" s="46">
        <f>'設定'!$I$32</f>
        <v/>
      </c>
      <c r="C729" s="85" t="n"/>
      <c r="D729" s="85" t="n"/>
      <c r="E729" s="85" t="n"/>
      <c r="F729" s="85" t="n"/>
      <c r="G729" s="85" t="n"/>
      <c r="H729" s="85" t="n"/>
      <c r="S729">
        <f>IF(22&lt;='設定'!$B$6,"表示","隠す")</f>
        <v/>
      </c>
    </row>
    <row r="730" hidden="1" ht="21" customHeight="1">
      <c r="A730" s="84" t="n"/>
      <c r="B730" s="46">
        <f>'設定'!$I$33</f>
        <v/>
      </c>
      <c r="C730" s="85" t="n"/>
      <c r="D730" s="85" t="n"/>
      <c r="E730" s="85" t="n"/>
      <c r="F730" s="85" t="n"/>
      <c r="G730" s="85" t="n"/>
      <c r="H730" s="85" t="n"/>
      <c r="S730">
        <f>IF(23&lt;='設定'!$B$6,"表示","隠す")</f>
        <v/>
      </c>
    </row>
    <row r="731" hidden="1" ht="21" customHeight="1">
      <c r="A731" s="84" t="n"/>
      <c r="B731" s="46">
        <f>'設定'!$I$34</f>
        <v/>
      </c>
      <c r="C731" s="85" t="n"/>
      <c r="D731" s="85" t="n"/>
      <c r="E731" s="85" t="n"/>
      <c r="F731" s="85" t="n"/>
      <c r="G731" s="85" t="n"/>
      <c r="H731" s="85" t="n"/>
      <c r="S731">
        <f>IF(24&lt;='設定'!$B$6,"表示","隠す")</f>
        <v/>
      </c>
    </row>
    <row r="732">
      <c r="S732" t="inlineStr">
        <is>
          <t>表示</t>
        </is>
      </c>
    </row>
    <row r="733" ht="26" customHeight="1">
      <c r="B733" s="78">
        <f>IF('名簿'!B31="","（名簿 27行目：なし）",'名簿'!P31)</f>
        <v/>
      </c>
      <c r="C733" s="5" t="n"/>
      <c r="D733" s="5" t="n"/>
      <c r="E733" s="79" t="inlineStr">
        <is>
          <t>提出状況 ▶</t>
        </is>
      </c>
      <c r="F733" s="42" t="n"/>
      <c r="G733" s="33" t="n"/>
      <c r="H733" s="80" t="inlineStr">
        <is>
          <t>状況：</t>
        </is>
      </c>
      <c r="I733" s="81">
        <f>'名簿'!Q31</f>
        <v/>
      </c>
      <c r="J733" s="80" t="inlineStr">
        <is>
          <t>×の数：</t>
        </is>
      </c>
      <c r="K733" s="82">
        <f>'名簿'!R31</f>
        <v/>
      </c>
      <c r="L733" s="83">
        <f>HYPERLINK("#'×入力'!B761","次の人へ ▼")</f>
        <v/>
      </c>
      <c r="S733" t="inlineStr">
        <is>
          <t>表示</t>
        </is>
      </c>
    </row>
    <row r="734" ht="22" customHeight="1">
      <c r="A734" s="34" t="inlineStr">
        <is>
          <t>この日全部 ▶</t>
        </is>
      </c>
      <c r="C734" s="84" t="n"/>
      <c r="D734" s="84" t="n"/>
      <c r="E734" s="84" t="n"/>
      <c r="F734" s="84" t="n"/>
      <c r="G734" s="84" t="n"/>
      <c r="H734" s="84" t="n"/>
      <c r="S734" t="inlineStr">
        <is>
          <t>表示</t>
        </is>
      </c>
    </row>
    <row r="735" ht="28" customHeight="1">
      <c r="A735" s="37" t="inlineStr">
        <is>
          <t>この時間
全部 ▼</t>
        </is>
      </c>
      <c r="B735" s="38" t="inlineStr"/>
      <c r="C735" s="39">
        <f>'設定'!$E$11</f>
        <v/>
      </c>
      <c r="D735" s="39">
        <f>'設定'!$E$12</f>
        <v/>
      </c>
      <c r="E735" s="39">
        <f>'設定'!$E$13</f>
        <v/>
      </c>
      <c r="F735" s="39">
        <f>'設定'!$E$14</f>
        <v/>
      </c>
      <c r="G735" s="39">
        <f>'設定'!$E$15</f>
        <v/>
      </c>
      <c r="H735" s="39">
        <f>'設定'!$E$16</f>
        <v/>
      </c>
      <c r="S735" t="inlineStr">
        <is>
          <t>表示</t>
        </is>
      </c>
    </row>
    <row r="736" ht="21" customHeight="1">
      <c r="A736" s="84" t="n"/>
      <c r="B736" s="46">
        <f>'設定'!$I$11</f>
        <v/>
      </c>
      <c r="C736" s="85" t="n"/>
      <c r="D736" s="85" t="inlineStr">
        <is>
          <t>×</t>
        </is>
      </c>
      <c r="E736" s="85" t="inlineStr">
        <is>
          <t>×</t>
        </is>
      </c>
      <c r="F736" s="85" t="inlineStr">
        <is>
          <t>×</t>
        </is>
      </c>
      <c r="G736" s="85" t="n"/>
      <c r="H736" s="85" t="n"/>
      <c r="S736">
        <f>IF(1&lt;='設定'!$B$6,"表示","隠す")</f>
        <v/>
      </c>
    </row>
    <row r="737" ht="21" customHeight="1">
      <c r="A737" s="84" t="n"/>
      <c r="B737" s="46">
        <f>'設定'!$I$12</f>
        <v/>
      </c>
      <c r="C737" s="85" t="n"/>
      <c r="D737" s="85" t="n"/>
      <c r="E737" s="85" t="n"/>
      <c r="F737" s="85" t="inlineStr">
        <is>
          <t>×</t>
        </is>
      </c>
      <c r="G737" s="85" t="n"/>
      <c r="H737" s="85" t="n"/>
      <c r="S737">
        <f>IF(2&lt;='設定'!$B$6,"表示","隠す")</f>
        <v/>
      </c>
    </row>
    <row r="738" ht="21" customHeight="1">
      <c r="A738" s="84" t="n"/>
      <c r="B738" s="46">
        <f>'設定'!$I$13</f>
        <v/>
      </c>
      <c r="C738" s="85" t="n"/>
      <c r="D738" s="85" t="n"/>
      <c r="E738" s="85" t="n"/>
      <c r="F738" s="85" t="inlineStr">
        <is>
          <t>×</t>
        </is>
      </c>
      <c r="G738" s="85" t="n"/>
      <c r="H738" s="85" t="n"/>
      <c r="S738">
        <f>IF(3&lt;='設定'!$B$6,"表示","隠す")</f>
        <v/>
      </c>
    </row>
    <row r="739" ht="21" customHeight="1">
      <c r="A739" s="84" t="n"/>
      <c r="B739" s="46">
        <f>'設定'!$I$14</f>
        <v/>
      </c>
      <c r="C739" s="85" t="n"/>
      <c r="D739" s="85" t="n"/>
      <c r="E739" s="85" t="n"/>
      <c r="F739" s="85" t="inlineStr">
        <is>
          <t>×</t>
        </is>
      </c>
      <c r="G739" s="85" t="inlineStr">
        <is>
          <t>×</t>
        </is>
      </c>
      <c r="H739" s="85" t="n"/>
      <c r="S739">
        <f>IF(4&lt;='設定'!$B$6,"表示","隠す")</f>
        <v/>
      </c>
    </row>
    <row r="740" ht="21" customHeight="1">
      <c r="A740" s="84" t="n"/>
      <c r="B740" s="46">
        <f>'設定'!$I$15</f>
        <v/>
      </c>
      <c r="C740" s="85" t="n"/>
      <c r="D740" s="85" t="inlineStr">
        <is>
          <t>×</t>
        </is>
      </c>
      <c r="E740" s="85" t="n"/>
      <c r="F740" s="85" t="inlineStr">
        <is>
          <t>×</t>
        </is>
      </c>
      <c r="G740" s="85" t="inlineStr">
        <is>
          <t>×</t>
        </is>
      </c>
      <c r="H740" s="85" t="n"/>
      <c r="S740">
        <f>IF(5&lt;='設定'!$B$6,"表示","隠す")</f>
        <v/>
      </c>
    </row>
    <row r="741" ht="21" customHeight="1">
      <c r="A741" s="84" t="n"/>
      <c r="B741" s="46">
        <f>'設定'!$I$16</f>
        <v/>
      </c>
      <c r="C741" s="85" t="n"/>
      <c r="D741" s="85" t="n"/>
      <c r="E741" s="85" t="inlineStr">
        <is>
          <t>×</t>
        </is>
      </c>
      <c r="F741" s="85" t="inlineStr">
        <is>
          <t>×</t>
        </is>
      </c>
      <c r="G741" s="85" t="n"/>
      <c r="H741" s="85" t="n"/>
      <c r="S741">
        <f>IF(6&lt;='設定'!$B$6,"表示","隠す")</f>
        <v/>
      </c>
    </row>
    <row r="742" ht="21" customHeight="1">
      <c r="A742" s="84" t="n"/>
      <c r="B742" s="46">
        <f>'設定'!$I$17</f>
        <v/>
      </c>
      <c r="C742" s="85" t="n"/>
      <c r="D742" s="85" t="inlineStr">
        <is>
          <t>×</t>
        </is>
      </c>
      <c r="E742" s="85" t="n"/>
      <c r="F742" s="85" t="inlineStr">
        <is>
          <t>×</t>
        </is>
      </c>
      <c r="G742" s="85" t="n"/>
      <c r="H742" s="85" t="n"/>
      <c r="S742">
        <f>IF(7&lt;='設定'!$B$6,"表示","隠す")</f>
        <v/>
      </c>
    </row>
    <row r="743" ht="21" customHeight="1">
      <c r="A743" s="84" t="n"/>
      <c r="B743" s="46">
        <f>'設定'!$I$18</f>
        <v/>
      </c>
      <c r="C743" s="85" t="n"/>
      <c r="D743" s="85" t="n"/>
      <c r="E743" s="85" t="n"/>
      <c r="F743" s="85" t="inlineStr">
        <is>
          <t>×</t>
        </is>
      </c>
      <c r="G743" s="85" t="n"/>
      <c r="H743" s="85" t="n"/>
      <c r="S743">
        <f>IF(8&lt;='設定'!$B$6,"表示","隠す")</f>
        <v/>
      </c>
    </row>
    <row r="744" ht="21" customHeight="1">
      <c r="A744" s="84" t="n"/>
      <c r="B744" s="46">
        <f>'設定'!$I$19</f>
        <v/>
      </c>
      <c r="C744" s="85" t="n"/>
      <c r="D744" s="85" t="n"/>
      <c r="E744" s="85" t="inlineStr">
        <is>
          <t>×</t>
        </is>
      </c>
      <c r="F744" s="85" t="inlineStr">
        <is>
          <t>×</t>
        </is>
      </c>
      <c r="G744" s="85" t="n"/>
      <c r="H744" s="85" t="n"/>
      <c r="S744">
        <f>IF(9&lt;='設定'!$B$6,"表示","隠す")</f>
        <v/>
      </c>
    </row>
    <row r="745" hidden="1" ht="21" customHeight="1">
      <c r="A745" s="84" t="n"/>
      <c r="B745" s="46">
        <f>'設定'!$I$20</f>
        <v/>
      </c>
      <c r="C745" s="85" t="n"/>
      <c r="D745" s="85" t="n"/>
      <c r="E745" s="85" t="n"/>
      <c r="F745" s="85" t="n"/>
      <c r="G745" s="85" t="n"/>
      <c r="H745" s="85" t="n"/>
      <c r="S745">
        <f>IF(10&lt;='設定'!$B$6,"表示","隠す")</f>
        <v/>
      </c>
    </row>
    <row r="746" hidden="1" ht="21" customHeight="1">
      <c r="A746" s="84" t="n"/>
      <c r="B746" s="46">
        <f>'設定'!$I$21</f>
        <v/>
      </c>
      <c r="C746" s="85" t="n"/>
      <c r="D746" s="85" t="n"/>
      <c r="E746" s="85" t="n"/>
      <c r="F746" s="85" t="n"/>
      <c r="G746" s="85" t="n"/>
      <c r="H746" s="85" t="n"/>
      <c r="S746">
        <f>IF(11&lt;='設定'!$B$6,"表示","隠す")</f>
        <v/>
      </c>
    </row>
    <row r="747" hidden="1" ht="21" customHeight="1">
      <c r="A747" s="84" t="n"/>
      <c r="B747" s="46">
        <f>'設定'!$I$22</f>
        <v/>
      </c>
      <c r="C747" s="85" t="n"/>
      <c r="D747" s="85" t="n"/>
      <c r="E747" s="85" t="n"/>
      <c r="F747" s="85" t="n"/>
      <c r="G747" s="85" t="n"/>
      <c r="H747" s="85" t="n"/>
      <c r="S747">
        <f>IF(12&lt;='設定'!$B$6,"表示","隠す")</f>
        <v/>
      </c>
    </row>
    <row r="748" hidden="1" ht="21" customHeight="1">
      <c r="A748" s="84" t="n"/>
      <c r="B748" s="46">
        <f>'設定'!$I$23</f>
        <v/>
      </c>
      <c r="C748" s="85" t="n"/>
      <c r="D748" s="85" t="n"/>
      <c r="E748" s="85" t="n"/>
      <c r="F748" s="85" t="n"/>
      <c r="G748" s="85" t="n"/>
      <c r="H748" s="85" t="n"/>
      <c r="S748">
        <f>IF(13&lt;='設定'!$B$6,"表示","隠す")</f>
        <v/>
      </c>
    </row>
    <row r="749" hidden="1" ht="21" customHeight="1">
      <c r="A749" s="84" t="n"/>
      <c r="B749" s="46">
        <f>'設定'!$I$24</f>
        <v/>
      </c>
      <c r="C749" s="85" t="n"/>
      <c r="D749" s="85" t="n"/>
      <c r="E749" s="85" t="n"/>
      <c r="F749" s="85" t="n"/>
      <c r="G749" s="85" t="n"/>
      <c r="H749" s="85" t="n"/>
      <c r="S749">
        <f>IF(14&lt;='設定'!$B$6,"表示","隠す")</f>
        <v/>
      </c>
    </row>
    <row r="750" hidden="1" ht="21" customHeight="1">
      <c r="A750" s="84" t="n"/>
      <c r="B750" s="46">
        <f>'設定'!$I$25</f>
        <v/>
      </c>
      <c r="C750" s="85" t="n"/>
      <c r="D750" s="85" t="n"/>
      <c r="E750" s="85" t="n"/>
      <c r="F750" s="85" t="n"/>
      <c r="G750" s="85" t="n"/>
      <c r="H750" s="85" t="n"/>
      <c r="S750">
        <f>IF(15&lt;='設定'!$B$6,"表示","隠す")</f>
        <v/>
      </c>
    </row>
    <row r="751" hidden="1" ht="21" customHeight="1">
      <c r="A751" s="84" t="n"/>
      <c r="B751" s="46">
        <f>'設定'!$I$26</f>
        <v/>
      </c>
      <c r="C751" s="85" t="n"/>
      <c r="D751" s="85" t="n"/>
      <c r="E751" s="85" t="n"/>
      <c r="F751" s="85" t="n"/>
      <c r="G751" s="85" t="n"/>
      <c r="H751" s="85" t="n"/>
      <c r="S751">
        <f>IF(16&lt;='設定'!$B$6,"表示","隠す")</f>
        <v/>
      </c>
    </row>
    <row r="752" hidden="1" ht="21" customHeight="1">
      <c r="A752" s="84" t="n"/>
      <c r="B752" s="46">
        <f>'設定'!$I$27</f>
        <v/>
      </c>
      <c r="C752" s="85" t="n"/>
      <c r="D752" s="85" t="n"/>
      <c r="E752" s="85" t="n"/>
      <c r="F752" s="85" t="n"/>
      <c r="G752" s="85" t="n"/>
      <c r="H752" s="85" t="n"/>
      <c r="S752">
        <f>IF(17&lt;='設定'!$B$6,"表示","隠す")</f>
        <v/>
      </c>
    </row>
    <row r="753" hidden="1" ht="21" customHeight="1">
      <c r="A753" s="84" t="n"/>
      <c r="B753" s="46">
        <f>'設定'!$I$28</f>
        <v/>
      </c>
      <c r="C753" s="85" t="n"/>
      <c r="D753" s="85" t="n"/>
      <c r="E753" s="85" t="n"/>
      <c r="F753" s="85" t="n"/>
      <c r="G753" s="85" t="n"/>
      <c r="H753" s="85" t="n"/>
      <c r="S753">
        <f>IF(18&lt;='設定'!$B$6,"表示","隠す")</f>
        <v/>
      </c>
    </row>
    <row r="754" hidden="1" ht="21" customHeight="1">
      <c r="A754" s="84" t="n"/>
      <c r="B754" s="46">
        <f>'設定'!$I$29</f>
        <v/>
      </c>
      <c r="C754" s="85" t="n"/>
      <c r="D754" s="85" t="n"/>
      <c r="E754" s="85" t="n"/>
      <c r="F754" s="85" t="n"/>
      <c r="G754" s="85" t="n"/>
      <c r="H754" s="85" t="n"/>
      <c r="S754">
        <f>IF(19&lt;='設定'!$B$6,"表示","隠す")</f>
        <v/>
      </c>
    </row>
    <row r="755" hidden="1" ht="21" customHeight="1">
      <c r="A755" s="84" t="n"/>
      <c r="B755" s="46">
        <f>'設定'!$I$30</f>
        <v/>
      </c>
      <c r="C755" s="85" t="n"/>
      <c r="D755" s="85" t="n"/>
      <c r="E755" s="85" t="n"/>
      <c r="F755" s="85" t="n"/>
      <c r="G755" s="85" t="n"/>
      <c r="H755" s="85" t="n"/>
      <c r="S755">
        <f>IF(20&lt;='設定'!$B$6,"表示","隠す")</f>
        <v/>
      </c>
    </row>
    <row r="756" hidden="1" ht="21" customHeight="1">
      <c r="A756" s="84" t="n"/>
      <c r="B756" s="46">
        <f>'設定'!$I$31</f>
        <v/>
      </c>
      <c r="C756" s="85" t="n"/>
      <c r="D756" s="85" t="n"/>
      <c r="E756" s="85" t="n"/>
      <c r="F756" s="85" t="n"/>
      <c r="G756" s="85" t="n"/>
      <c r="H756" s="85" t="n"/>
      <c r="S756">
        <f>IF(21&lt;='設定'!$B$6,"表示","隠す")</f>
        <v/>
      </c>
    </row>
    <row r="757" hidden="1" ht="21" customHeight="1">
      <c r="A757" s="84" t="n"/>
      <c r="B757" s="46">
        <f>'設定'!$I$32</f>
        <v/>
      </c>
      <c r="C757" s="85" t="n"/>
      <c r="D757" s="85" t="n"/>
      <c r="E757" s="85" t="n"/>
      <c r="F757" s="85" t="n"/>
      <c r="G757" s="85" t="n"/>
      <c r="H757" s="85" t="n"/>
      <c r="S757">
        <f>IF(22&lt;='設定'!$B$6,"表示","隠す")</f>
        <v/>
      </c>
    </row>
    <row r="758" hidden="1" ht="21" customHeight="1">
      <c r="A758" s="84" t="n"/>
      <c r="B758" s="46">
        <f>'設定'!$I$33</f>
        <v/>
      </c>
      <c r="C758" s="85" t="n"/>
      <c r="D758" s="85" t="n"/>
      <c r="E758" s="85" t="n"/>
      <c r="F758" s="85" t="n"/>
      <c r="G758" s="85" t="n"/>
      <c r="H758" s="85" t="n"/>
      <c r="S758">
        <f>IF(23&lt;='設定'!$B$6,"表示","隠す")</f>
        <v/>
      </c>
    </row>
    <row r="759" hidden="1" ht="21" customHeight="1">
      <c r="A759" s="84" t="n"/>
      <c r="B759" s="46">
        <f>'設定'!$I$34</f>
        <v/>
      </c>
      <c r="C759" s="85" t="n"/>
      <c r="D759" s="85" t="n"/>
      <c r="E759" s="85" t="n"/>
      <c r="F759" s="85" t="n"/>
      <c r="G759" s="85" t="n"/>
      <c r="H759" s="85" t="n"/>
      <c r="S759">
        <f>IF(24&lt;='設定'!$B$6,"表示","隠す")</f>
        <v/>
      </c>
    </row>
    <row r="760">
      <c r="S760" t="inlineStr">
        <is>
          <t>表示</t>
        </is>
      </c>
    </row>
    <row r="761" ht="26" customHeight="1">
      <c r="B761" s="78">
        <f>IF('名簿'!B32="","（名簿 28行目：なし）",'名簿'!P32)</f>
        <v/>
      </c>
      <c r="C761" s="5" t="n"/>
      <c r="D761" s="5" t="n"/>
      <c r="E761" s="79" t="inlineStr">
        <is>
          <t>提出状況 ▶</t>
        </is>
      </c>
      <c r="F761" s="42" t="n"/>
      <c r="G761" s="33" t="n"/>
      <c r="H761" s="80" t="inlineStr">
        <is>
          <t>状況：</t>
        </is>
      </c>
      <c r="I761" s="81">
        <f>'名簿'!Q32</f>
        <v/>
      </c>
      <c r="J761" s="80" t="inlineStr">
        <is>
          <t>×の数：</t>
        </is>
      </c>
      <c r="K761" s="82">
        <f>'名簿'!R32</f>
        <v/>
      </c>
      <c r="L761" s="83">
        <f>HYPERLINK("#'×入力'!B789","次の人へ ▼")</f>
        <v/>
      </c>
      <c r="S761" t="inlineStr">
        <is>
          <t>表示</t>
        </is>
      </c>
    </row>
    <row r="762" ht="22" customHeight="1">
      <c r="A762" s="34" t="inlineStr">
        <is>
          <t>この日全部 ▶</t>
        </is>
      </c>
      <c r="C762" s="84" t="n"/>
      <c r="D762" s="84" t="n"/>
      <c r="E762" s="84" t="n"/>
      <c r="F762" s="84" t="n"/>
      <c r="G762" s="84" t="n"/>
      <c r="H762" s="84" t="n"/>
      <c r="S762" t="inlineStr">
        <is>
          <t>表示</t>
        </is>
      </c>
    </row>
    <row r="763" ht="28" customHeight="1">
      <c r="A763" s="37" t="inlineStr">
        <is>
          <t>この時間
全部 ▼</t>
        </is>
      </c>
      <c r="B763" s="38" t="inlineStr"/>
      <c r="C763" s="39">
        <f>'設定'!$E$11</f>
        <v/>
      </c>
      <c r="D763" s="39">
        <f>'設定'!$E$12</f>
        <v/>
      </c>
      <c r="E763" s="39">
        <f>'設定'!$E$13</f>
        <v/>
      </c>
      <c r="F763" s="39">
        <f>'設定'!$E$14</f>
        <v/>
      </c>
      <c r="G763" s="39">
        <f>'設定'!$E$15</f>
        <v/>
      </c>
      <c r="H763" s="39">
        <f>'設定'!$E$16</f>
        <v/>
      </c>
      <c r="S763" t="inlineStr">
        <is>
          <t>表示</t>
        </is>
      </c>
    </row>
    <row r="764" ht="21" customHeight="1">
      <c r="A764" s="84" t="n"/>
      <c r="B764" s="46">
        <f>'設定'!$I$11</f>
        <v/>
      </c>
      <c r="C764" s="85" t="n"/>
      <c r="D764" s="85" t="inlineStr">
        <is>
          <t>×</t>
        </is>
      </c>
      <c r="E764" s="85" t="n"/>
      <c r="F764" s="85" t="n"/>
      <c r="G764" s="85" t="inlineStr">
        <is>
          <t>×</t>
        </is>
      </c>
      <c r="H764" s="85" t="n"/>
      <c r="S764">
        <f>IF(1&lt;='設定'!$B$6,"表示","隠す")</f>
        <v/>
      </c>
    </row>
    <row r="765" ht="21" customHeight="1">
      <c r="A765" s="84" t="n"/>
      <c r="B765" s="46">
        <f>'設定'!$I$12</f>
        <v/>
      </c>
      <c r="C765" s="85" t="n"/>
      <c r="D765" s="85" t="n"/>
      <c r="E765" s="85" t="n"/>
      <c r="F765" s="85" t="n"/>
      <c r="G765" s="85" t="n"/>
      <c r="H765" s="85" t="n"/>
      <c r="S765">
        <f>IF(2&lt;='設定'!$B$6,"表示","隠す")</f>
        <v/>
      </c>
    </row>
    <row r="766" ht="21" customHeight="1">
      <c r="A766" s="84" t="n"/>
      <c r="B766" s="46">
        <f>'設定'!$I$13</f>
        <v/>
      </c>
      <c r="C766" s="85" t="n"/>
      <c r="D766" s="85" t="n"/>
      <c r="E766" s="85" t="n"/>
      <c r="F766" s="85" t="n"/>
      <c r="G766" s="85" t="inlineStr">
        <is>
          <t>×</t>
        </is>
      </c>
      <c r="H766" s="85" t="n"/>
      <c r="S766">
        <f>IF(3&lt;='設定'!$B$6,"表示","隠す")</f>
        <v/>
      </c>
    </row>
    <row r="767" ht="21" customHeight="1">
      <c r="A767" s="84" t="n"/>
      <c r="B767" s="46">
        <f>'設定'!$I$14</f>
        <v/>
      </c>
      <c r="C767" s="85" t="n"/>
      <c r="D767" s="85" t="n"/>
      <c r="E767" s="85" t="inlineStr">
        <is>
          <t>×</t>
        </is>
      </c>
      <c r="F767" s="85" t="n"/>
      <c r="G767" s="85" t="n"/>
      <c r="H767" s="85" t="n"/>
      <c r="S767">
        <f>IF(4&lt;='設定'!$B$6,"表示","隠す")</f>
        <v/>
      </c>
    </row>
    <row r="768" ht="21" customHeight="1">
      <c r="A768" s="84" t="n"/>
      <c r="B768" s="46">
        <f>'設定'!$I$15</f>
        <v/>
      </c>
      <c r="C768" s="85" t="n"/>
      <c r="D768" s="85" t="n"/>
      <c r="E768" s="85" t="n"/>
      <c r="F768" s="85" t="n"/>
      <c r="G768" s="85" t="n"/>
      <c r="H768" s="85" t="n"/>
      <c r="S768">
        <f>IF(5&lt;='設定'!$B$6,"表示","隠す")</f>
        <v/>
      </c>
    </row>
    <row r="769" ht="21" customHeight="1">
      <c r="A769" s="84" t="n"/>
      <c r="B769" s="46">
        <f>'設定'!$I$16</f>
        <v/>
      </c>
      <c r="C769" s="85" t="inlineStr">
        <is>
          <t>×</t>
        </is>
      </c>
      <c r="D769" s="85" t="inlineStr">
        <is>
          <t>×</t>
        </is>
      </c>
      <c r="E769" s="85" t="n"/>
      <c r="F769" s="85" t="inlineStr">
        <is>
          <t>×</t>
        </is>
      </c>
      <c r="G769" s="85" t="n"/>
      <c r="H769" s="85" t="n"/>
      <c r="S769">
        <f>IF(6&lt;='設定'!$B$6,"表示","隠す")</f>
        <v/>
      </c>
    </row>
    <row r="770" ht="21" customHeight="1">
      <c r="A770" s="84" t="n"/>
      <c r="B770" s="46">
        <f>'設定'!$I$17</f>
        <v/>
      </c>
      <c r="C770" s="85" t="n"/>
      <c r="D770" s="85" t="n"/>
      <c r="E770" s="85" t="n"/>
      <c r="F770" s="85" t="n"/>
      <c r="G770" s="85" t="n"/>
      <c r="H770" s="85" t="n"/>
      <c r="S770">
        <f>IF(7&lt;='設定'!$B$6,"表示","隠す")</f>
        <v/>
      </c>
    </row>
    <row r="771" ht="21" customHeight="1">
      <c r="A771" s="84" t="n"/>
      <c r="B771" s="46">
        <f>'設定'!$I$18</f>
        <v/>
      </c>
      <c r="C771" s="85" t="n"/>
      <c r="D771" s="85" t="n"/>
      <c r="E771" s="85" t="n"/>
      <c r="F771" s="85" t="n"/>
      <c r="G771" s="85" t="n"/>
      <c r="H771" s="85" t="n"/>
      <c r="S771">
        <f>IF(8&lt;='設定'!$B$6,"表示","隠す")</f>
        <v/>
      </c>
    </row>
    <row r="772" ht="21" customHeight="1">
      <c r="A772" s="84" t="n"/>
      <c r="B772" s="46">
        <f>'設定'!$I$19</f>
        <v/>
      </c>
      <c r="C772" s="85" t="inlineStr">
        <is>
          <t>×</t>
        </is>
      </c>
      <c r="D772" s="85" t="n"/>
      <c r="E772" s="85" t="n"/>
      <c r="F772" s="85" t="n"/>
      <c r="G772" s="85" t="n"/>
      <c r="H772" s="85" t="n"/>
      <c r="S772">
        <f>IF(9&lt;='設定'!$B$6,"表示","隠す")</f>
        <v/>
      </c>
    </row>
    <row r="773" hidden="1" ht="21" customHeight="1">
      <c r="A773" s="84" t="n"/>
      <c r="B773" s="46">
        <f>'設定'!$I$20</f>
        <v/>
      </c>
      <c r="C773" s="85" t="n"/>
      <c r="D773" s="85" t="n"/>
      <c r="E773" s="85" t="n"/>
      <c r="F773" s="85" t="n"/>
      <c r="G773" s="85" t="n"/>
      <c r="H773" s="85" t="n"/>
      <c r="S773">
        <f>IF(10&lt;='設定'!$B$6,"表示","隠す")</f>
        <v/>
      </c>
    </row>
    <row r="774" hidden="1" ht="21" customHeight="1">
      <c r="A774" s="84" t="n"/>
      <c r="B774" s="46">
        <f>'設定'!$I$21</f>
        <v/>
      </c>
      <c r="C774" s="85" t="n"/>
      <c r="D774" s="85" t="n"/>
      <c r="E774" s="85" t="n"/>
      <c r="F774" s="85" t="n"/>
      <c r="G774" s="85" t="n"/>
      <c r="H774" s="85" t="n"/>
      <c r="S774">
        <f>IF(11&lt;='設定'!$B$6,"表示","隠す")</f>
        <v/>
      </c>
    </row>
    <row r="775" hidden="1" ht="21" customHeight="1">
      <c r="A775" s="84" t="n"/>
      <c r="B775" s="46">
        <f>'設定'!$I$22</f>
        <v/>
      </c>
      <c r="C775" s="85" t="n"/>
      <c r="D775" s="85" t="n"/>
      <c r="E775" s="85" t="n"/>
      <c r="F775" s="85" t="n"/>
      <c r="G775" s="85" t="n"/>
      <c r="H775" s="85" t="n"/>
      <c r="S775">
        <f>IF(12&lt;='設定'!$B$6,"表示","隠す")</f>
        <v/>
      </c>
    </row>
    <row r="776" hidden="1" ht="21" customHeight="1">
      <c r="A776" s="84" t="n"/>
      <c r="B776" s="46">
        <f>'設定'!$I$23</f>
        <v/>
      </c>
      <c r="C776" s="85" t="n"/>
      <c r="D776" s="85" t="n"/>
      <c r="E776" s="85" t="n"/>
      <c r="F776" s="85" t="n"/>
      <c r="G776" s="85" t="n"/>
      <c r="H776" s="85" t="n"/>
      <c r="S776">
        <f>IF(13&lt;='設定'!$B$6,"表示","隠す")</f>
        <v/>
      </c>
    </row>
    <row r="777" hidden="1" ht="21" customHeight="1">
      <c r="A777" s="84" t="n"/>
      <c r="B777" s="46">
        <f>'設定'!$I$24</f>
        <v/>
      </c>
      <c r="C777" s="85" t="n"/>
      <c r="D777" s="85" t="n"/>
      <c r="E777" s="85" t="n"/>
      <c r="F777" s="85" t="n"/>
      <c r="G777" s="85" t="n"/>
      <c r="H777" s="85" t="n"/>
      <c r="S777">
        <f>IF(14&lt;='設定'!$B$6,"表示","隠す")</f>
        <v/>
      </c>
    </row>
    <row r="778" hidden="1" ht="21" customHeight="1">
      <c r="A778" s="84" t="n"/>
      <c r="B778" s="46">
        <f>'設定'!$I$25</f>
        <v/>
      </c>
      <c r="C778" s="85" t="n"/>
      <c r="D778" s="85" t="n"/>
      <c r="E778" s="85" t="n"/>
      <c r="F778" s="85" t="n"/>
      <c r="G778" s="85" t="n"/>
      <c r="H778" s="85" t="n"/>
      <c r="S778">
        <f>IF(15&lt;='設定'!$B$6,"表示","隠す")</f>
        <v/>
      </c>
    </row>
    <row r="779" hidden="1" ht="21" customHeight="1">
      <c r="A779" s="84" t="n"/>
      <c r="B779" s="46">
        <f>'設定'!$I$26</f>
        <v/>
      </c>
      <c r="C779" s="85" t="n"/>
      <c r="D779" s="85" t="n"/>
      <c r="E779" s="85" t="n"/>
      <c r="F779" s="85" t="n"/>
      <c r="G779" s="85" t="n"/>
      <c r="H779" s="85" t="n"/>
      <c r="S779">
        <f>IF(16&lt;='設定'!$B$6,"表示","隠す")</f>
        <v/>
      </c>
    </row>
    <row r="780" hidden="1" ht="21" customHeight="1">
      <c r="A780" s="84" t="n"/>
      <c r="B780" s="46">
        <f>'設定'!$I$27</f>
        <v/>
      </c>
      <c r="C780" s="85" t="n"/>
      <c r="D780" s="85" t="n"/>
      <c r="E780" s="85" t="n"/>
      <c r="F780" s="85" t="n"/>
      <c r="G780" s="85" t="n"/>
      <c r="H780" s="85" t="n"/>
      <c r="S780">
        <f>IF(17&lt;='設定'!$B$6,"表示","隠す")</f>
        <v/>
      </c>
    </row>
    <row r="781" hidden="1" ht="21" customHeight="1">
      <c r="A781" s="84" t="n"/>
      <c r="B781" s="46">
        <f>'設定'!$I$28</f>
        <v/>
      </c>
      <c r="C781" s="85" t="n"/>
      <c r="D781" s="85" t="n"/>
      <c r="E781" s="85" t="n"/>
      <c r="F781" s="85" t="n"/>
      <c r="G781" s="85" t="n"/>
      <c r="H781" s="85" t="n"/>
      <c r="S781">
        <f>IF(18&lt;='設定'!$B$6,"表示","隠す")</f>
        <v/>
      </c>
    </row>
    <row r="782" hidden="1" ht="21" customHeight="1">
      <c r="A782" s="84" t="n"/>
      <c r="B782" s="46">
        <f>'設定'!$I$29</f>
        <v/>
      </c>
      <c r="C782" s="85" t="n"/>
      <c r="D782" s="85" t="n"/>
      <c r="E782" s="85" t="n"/>
      <c r="F782" s="85" t="n"/>
      <c r="G782" s="85" t="n"/>
      <c r="H782" s="85" t="n"/>
      <c r="S782">
        <f>IF(19&lt;='設定'!$B$6,"表示","隠す")</f>
        <v/>
      </c>
    </row>
    <row r="783" hidden="1" ht="21" customHeight="1">
      <c r="A783" s="84" t="n"/>
      <c r="B783" s="46">
        <f>'設定'!$I$30</f>
        <v/>
      </c>
      <c r="C783" s="85" t="n"/>
      <c r="D783" s="85" t="n"/>
      <c r="E783" s="85" t="n"/>
      <c r="F783" s="85" t="n"/>
      <c r="G783" s="85" t="n"/>
      <c r="H783" s="85" t="n"/>
      <c r="S783">
        <f>IF(20&lt;='設定'!$B$6,"表示","隠す")</f>
        <v/>
      </c>
    </row>
    <row r="784" hidden="1" ht="21" customHeight="1">
      <c r="A784" s="84" t="n"/>
      <c r="B784" s="46">
        <f>'設定'!$I$31</f>
        <v/>
      </c>
      <c r="C784" s="85" t="n"/>
      <c r="D784" s="85" t="n"/>
      <c r="E784" s="85" t="n"/>
      <c r="F784" s="85" t="n"/>
      <c r="G784" s="85" t="n"/>
      <c r="H784" s="85" t="n"/>
      <c r="S784">
        <f>IF(21&lt;='設定'!$B$6,"表示","隠す")</f>
        <v/>
      </c>
    </row>
    <row r="785" hidden="1" ht="21" customHeight="1">
      <c r="A785" s="84" t="n"/>
      <c r="B785" s="46">
        <f>'設定'!$I$32</f>
        <v/>
      </c>
      <c r="C785" s="85" t="n"/>
      <c r="D785" s="85" t="n"/>
      <c r="E785" s="85" t="n"/>
      <c r="F785" s="85" t="n"/>
      <c r="G785" s="85" t="n"/>
      <c r="H785" s="85" t="n"/>
      <c r="S785">
        <f>IF(22&lt;='設定'!$B$6,"表示","隠す")</f>
        <v/>
      </c>
    </row>
    <row r="786" hidden="1" ht="21" customHeight="1">
      <c r="A786" s="84" t="n"/>
      <c r="B786" s="46">
        <f>'設定'!$I$33</f>
        <v/>
      </c>
      <c r="C786" s="85" t="n"/>
      <c r="D786" s="85" t="n"/>
      <c r="E786" s="85" t="n"/>
      <c r="F786" s="85" t="n"/>
      <c r="G786" s="85" t="n"/>
      <c r="H786" s="85" t="n"/>
      <c r="S786">
        <f>IF(23&lt;='設定'!$B$6,"表示","隠す")</f>
        <v/>
      </c>
    </row>
    <row r="787" hidden="1" ht="21" customHeight="1">
      <c r="A787" s="84" t="n"/>
      <c r="B787" s="46">
        <f>'設定'!$I$34</f>
        <v/>
      </c>
      <c r="C787" s="85" t="n"/>
      <c r="D787" s="85" t="n"/>
      <c r="E787" s="85" t="n"/>
      <c r="F787" s="85" t="n"/>
      <c r="G787" s="85" t="n"/>
      <c r="H787" s="85" t="n"/>
      <c r="S787">
        <f>IF(24&lt;='設定'!$B$6,"表示","隠す")</f>
        <v/>
      </c>
    </row>
    <row r="788">
      <c r="S788" t="inlineStr">
        <is>
          <t>表示</t>
        </is>
      </c>
    </row>
    <row r="789" ht="26" customHeight="1">
      <c r="B789" s="78">
        <f>IF('名簿'!B33="","（名簿 29行目：なし）",'名簿'!P33)</f>
        <v/>
      </c>
      <c r="C789" s="5" t="n"/>
      <c r="D789" s="5" t="n"/>
      <c r="E789" s="79" t="inlineStr">
        <is>
          <t>提出状況 ▶</t>
        </is>
      </c>
      <c r="F789" s="42" t="n"/>
      <c r="G789" s="33" t="n"/>
      <c r="H789" s="80" t="inlineStr">
        <is>
          <t>状況：</t>
        </is>
      </c>
      <c r="I789" s="81">
        <f>'名簿'!Q33</f>
        <v/>
      </c>
      <c r="J789" s="80" t="inlineStr">
        <is>
          <t>×の数：</t>
        </is>
      </c>
      <c r="K789" s="82">
        <f>'名簿'!R33</f>
        <v/>
      </c>
      <c r="L789" s="83">
        <f>HYPERLINK("#'×入力'!B817","次の人へ ▼")</f>
        <v/>
      </c>
      <c r="S789" t="inlineStr">
        <is>
          <t>表示</t>
        </is>
      </c>
    </row>
    <row r="790" ht="22" customHeight="1">
      <c r="A790" s="34" t="inlineStr">
        <is>
          <t>この日全部 ▶</t>
        </is>
      </c>
      <c r="C790" s="84" t="n"/>
      <c r="D790" s="84" t="n"/>
      <c r="E790" s="84" t="n"/>
      <c r="F790" s="84" t="n"/>
      <c r="G790" s="84" t="n"/>
      <c r="H790" s="84" t="n"/>
      <c r="S790" t="inlineStr">
        <is>
          <t>表示</t>
        </is>
      </c>
    </row>
    <row r="791" ht="28" customHeight="1">
      <c r="A791" s="37" t="inlineStr">
        <is>
          <t>この時間
全部 ▼</t>
        </is>
      </c>
      <c r="B791" s="38" t="inlineStr"/>
      <c r="C791" s="39">
        <f>'設定'!$E$11</f>
        <v/>
      </c>
      <c r="D791" s="39">
        <f>'設定'!$E$12</f>
        <v/>
      </c>
      <c r="E791" s="39">
        <f>'設定'!$E$13</f>
        <v/>
      </c>
      <c r="F791" s="39">
        <f>'設定'!$E$14</f>
        <v/>
      </c>
      <c r="G791" s="39">
        <f>'設定'!$E$15</f>
        <v/>
      </c>
      <c r="H791" s="39">
        <f>'設定'!$E$16</f>
        <v/>
      </c>
      <c r="S791" t="inlineStr">
        <is>
          <t>表示</t>
        </is>
      </c>
    </row>
    <row r="792" ht="21" customHeight="1">
      <c r="A792" s="84" t="n"/>
      <c r="B792" s="46">
        <f>'設定'!$I$11</f>
        <v/>
      </c>
      <c r="C792" s="85" t="n"/>
      <c r="D792" s="85" t="n"/>
      <c r="E792" s="85" t="n"/>
      <c r="F792" s="85" t="n"/>
      <c r="G792" s="85" t="n"/>
      <c r="H792" s="85" t="n"/>
      <c r="S792">
        <f>IF(1&lt;='設定'!$B$6,"表示","隠す")</f>
        <v/>
      </c>
    </row>
    <row r="793" ht="21" customHeight="1">
      <c r="A793" s="84" t="n"/>
      <c r="B793" s="46">
        <f>'設定'!$I$12</f>
        <v/>
      </c>
      <c r="C793" s="85" t="n"/>
      <c r="D793" s="85" t="n"/>
      <c r="E793" s="85" t="n"/>
      <c r="F793" s="85" t="inlineStr">
        <is>
          <t>×</t>
        </is>
      </c>
      <c r="G793" s="85" t="n"/>
      <c r="H793" s="85" t="n"/>
      <c r="S793">
        <f>IF(2&lt;='設定'!$B$6,"表示","隠す")</f>
        <v/>
      </c>
    </row>
    <row r="794" ht="21" customHeight="1">
      <c r="A794" s="84" t="n"/>
      <c r="B794" s="46">
        <f>'設定'!$I$13</f>
        <v/>
      </c>
      <c r="C794" s="85" t="n"/>
      <c r="D794" s="85" t="n"/>
      <c r="E794" s="85" t="n"/>
      <c r="F794" s="85" t="n"/>
      <c r="G794" s="85" t="n"/>
      <c r="H794" s="85" t="n"/>
      <c r="S794">
        <f>IF(3&lt;='設定'!$B$6,"表示","隠す")</f>
        <v/>
      </c>
    </row>
    <row r="795" ht="21" customHeight="1">
      <c r="A795" s="84" t="n"/>
      <c r="B795" s="46">
        <f>'設定'!$I$14</f>
        <v/>
      </c>
      <c r="C795" s="85" t="n"/>
      <c r="D795" s="85" t="n"/>
      <c r="E795" s="85" t="n"/>
      <c r="F795" s="85" t="n"/>
      <c r="G795" s="85" t="n"/>
      <c r="H795" s="85" t="n"/>
      <c r="S795">
        <f>IF(4&lt;='設定'!$B$6,"表示","隠す")</f>
        <v/>
      </c>
    </row>
    <row r="796" ht="21" customHeight="1">
      <c r="A796" s="84" t="n"/>
      <c r="B796" s="46">
        <f>'設定'!$I$15</f>
        <v/>
      </c>
      <c r="C796" s="85" t="n"/>
      <c r="D796" s="85" t="n"/>
      <c r="E796" s="85" t="inlineStr">
        <is>
          <t>×</t>
        </is>
      </c>
      <c r="F796" s="85" t="n"/>
      <c r="G796" s="85" t="n"/>
      <c r="H796" s="85" t="n"/>
      <c r="S796">
        <f>IF(5&lt;='設定'!$B$6,"表示","隠す")</f>
        <v/>
      </c>
    </row>
    <row r="797" ht="21" customHeight="1">
      <c r="A797" s="84" t="n"/>
      <c r="B797" s="46">
        <f>'設定'!$I$16</f>
        <v/>
      </c>
      <c r="C797" s="85" t="inlineStr">
        <is>
          <t>×</t>
        </is>
      </c>
      <c r="D797" s="85" t="inlineStr">
        <is>
          <t>×</t>
        </is>
      </c>
      <c r="E797" s="85" t="inlineStr">
        <is>
          <t>×</t>
        </is>
      </c>
      <c r="F797" s="85" t="inlineStr">
        <is>
          <t>×</t>
        </is>
      </c>
      <c r="G797" s="85" t="inlineStr">
        <is>
          <t>×</t>
        </is>
      </c>
      <c r="H797" s="85" t="n"/>
      <c r="S797">
        <f>IF(6&lt;='設定'!$B$6,"表示","隠す")</f>
        <v/>
      </c>
    </row>
    <row r="798" ht="21" customHeight="1">
      <c r="A798" s="84" t="n"/>
      <c r="B798" s="46">
        <f>'設定'!$I$17</f>
        <v/>
      </c>
      <c r="C798" s="85" t="inlineStr">
        <is>
          <t>×</t>
        </is>
      </c>
      <c r="D798" s="85" t="inlineStr">
        <is>
          <t>×</t>
        </is>
      </c>
      <c r="E798" s="85" t="inlineStr">
        <is>
          <t>×</t>
        </is>
      </c>
      <c r="F798" s="85" t="inlineStr">
        <is>
          <t>×</t>
        </is>
      </c>
      <c r="G798" s="85" t="inlineStr">
        <is>
          <t>×</t>
        </is>
      </c>
      <c r="H798" s="85" t="n"/>
      <c r="S798">
        <f>IF(7&lt;='設定'!$B$6,"表示","隠す")</f>
        <v/>
      </c>
    </row>
    <row r="799" ht="21" customHeight="1">
      <c r="A799" s="84" t="n"/>
      <c r="B799" s="46">
        <f>'設定'!$I$18</f>
        <v/>
      </c>
      <c r="C799" s="85" t="inlineStr">
        <is>
          <t>×</t>
        </is>
      </c>
      <c r="D799" s="85" t="inlineStr">
        <is>
          <t>×</t>
        </is>
      </c>
      <c r="E799" s="85" t="inlineStr">
        <is>
          <t>×</t>
        </is>
      </c>
      <c r="F799" s="85" t="inlineStr">
        <is>
          <t>×</t>
        </is>
      </c>
      <c r="G799" s="85" t="inlineStr">
        <is>
          <t>×</t>
        </is>
      </c>
      <c r="H799" s="85" t="n"/>
      <c r="S799">
        <f>IF(8&lt;='設定'!$B$6,"表示","隠す")</f>
        <v/>
      </c>
    </row>
    <row r="800" ht="21" customHeight="1">
      <c r="A800" s="84" t="n"/>
      <c r="B800" s="46">
        <f>'設定'!$I$19</f>
        <v/>
      </c>
      <c r="C800" s="85" t="inlineStr">
        <is>
          <t>×</t>
        </is>
      </c>
      <c r="D800" s="85" t="inlineStr">
        <is>
          <t>×</t>
        </is>
      </c>
      <c r="E800" s="85" t="inlineStr">
        <is>
          <t>×</t>
        </is>
      </c>
      <c r="F800" s="85" t="inlineStr">
        <is>
          <t>×</t>
        </is>
      </c>
      <c r="G800" s="85" t="inlineStr">
        <is>
          <t>×</t>
        </is>
      </c>
      <c r="H800" s="85" t="n"/>
      <c r="S800">
        <f>IF(9&lt;='設定'!$B$6,"表示","隠す")</f>
        <v/>
      </c>
    </row>
    <row r="801" hidden="1" ht="21" customHeight="1">
      <c r="A801" s="84" t="n"/>
      <c r="B801" s="46">
        <f>'設定'!$I$20</f>
        <v/>
      </c>
      <c r="C801" s="85" t="n"/>
      <c r="D801" s="85" t="n"/>
      <c r="E801" s="85" t="n"/>
      <c r="F801" s="85" t="n"/>
      <c r="G801" s="85" t="n"/>
      <c r="H801" s="85" t="n"/>
      <c r="S801">
        <f>IF(10&lt;='設定'!$B$6,"表示","隠す")</f>
        <v/>
      </c>
    </row>
    <row r="802" hidden="1" ht="21" customHeight="1">
      <c r="A802" s="84" t="n"/>
      <c r="B802" s="46">
        <f>'設定'!$I$21</f>
        <v/>
      </c>
      <c r="C802" s="85" t="n"/>
      <c r="D802" s="85" t="n"/>
      <c r="E802" s="85" t="n"/>
      <c r="F802" s="85" t="n"/>
      <c r="G802" s="85" t="n"/>
      <c r="H802" s="85" t="n"/>
      <c r="S802">
        <f>IF(11&lt;='設定'!$B$6,"表示","隠す")</f>
        <v/>
      </c>
    </row>
    <row r="803" hidden="1" ht="21" customHeight="1">
      <c r="A803" s="84" t="n"/>
      <c r="B803" s="46">
        <f>'設定'!$I$22</f>
        <v/>
      </c>
      <c r="C803" s="85" t="n"/>
      <c r="D803" s="85" t="n"/>
      <c r="E803" s="85" t="n"/>
      <c r="F803" s="85" t="n"/>
      <c r="G803" s="85" t="n"/>
      <c r="H803" s="85" t="n"/>
      <c r="S803">
        <f>IF(12&lt;='設定'!$B$6,"表示","隠す")</f>
        <v/>
      </c>
    </row>
    <row r="804" hidden="1" ht="21" customHeight="1">
      <c r="A804" s="84" t="n"/>
      <c r="B804" s="46">
        <f>'設定'!$I$23</f>
        <v/>
      </c>
      <c r="C804" s="85" t="n"/>
      <c r="D804" s="85" t="n"/>
      <c r="E804" s="85" t="n"/>
      <c r="F804" s="85" t="n"/>
      <c r="G804" s="85" t="n"/>
      <c r="H804" s="85" t="n"/>
      <c r="S804">
        <f>IF(13&lt;='設定'!$B$6,"表示","隠す")</f>
        <v/>
      </c>
    </row>
    <row r="805" hidden="1" ht="21" customHeight="1">
      <c r="A805" s="84" t="n"/>
      <c r="B805" s="46">
        <f>'設定'!$I$24</f>
        <v/>
      </c>
      <c r="C805" s="85" t="n"/>
      <c r="D805" s="85" t="n"/>
      <c r="E805" s="85" t="n"/>
      <c r="F805" s="85" t="n"/>
      <c r="G805" s="85" t="n"/>
      <c r="H805" s="85" t="n"/>
      <c r="S805">
        <f>IF(14&lt;='設定'!$B$6,"表示","隠す")</f>
        <v/>
      </c>
    </row>
    <row r="806" hidden="1" ht="21" customHeight="1">
      <c r="A806" s="84" t="n"/>
      <c r="B806" s="46">
        <f>'設定'!$I$25</f>
        <v/>
      </c>
      <c r="C806" s="85" t="n"/>
      <c r="D806" s="85" t="n"/>
      <c r="E806" s="85" t="n"/>
      <c r="F806" s="85" t="n"/>
      <c r="G806" s="85" t="n"/>
      <c r="H806" s="85" t="n"/>
      <c r="S806">
        <f>IF(15&lt;='設定'!$B$6,"表示","隠す")</f>
        <v/>
      </c>
    </row>
    <row r="807" hidden="1" ht="21" customHeight="1">
      <c r="A807" s="84" t="n"/>
      <c r="B807" s="46">
        <f>'設定'!$I$26</f>
        <v/>
      </c>
      <c r="C807" s="85" t="n"/>
      <c r="D807" s="85" t="n"/>
      <c r="E807" s="85" t="n"/>
      <c r="F807" s="85" t="n"/>
      <c r="G807" s="85" t="n"/>
      <c r="H807" s="85" t="n"/>
      <c r="S807">
        <f>IF(16&lt;='設定'!$B$6,"表示","隠す")</f>
        <v/>
      </c>
    </row>
    <row r="808" hidden="1" ht="21" customHeight="1">
      <c r="A808" s="84" t="n"/>
      <c r="B808" s="46">
        <f>'設定'!$I$27</f>
        <v/>
      </c>
      <c r="C808" s="85" t="n"/>
      <c r="D808" s="85" t="n"/>
      <c r="E808" s="85" t="n"/>
      <c r="F808" s="85" t="n"/>
      <c r="G808" s="85" t="n"/>
      <c r="H808" s="85" t="n"/>
      <c r="S808">
        <f>IF(17&lt;='設定'!$B$6,"表示","隠す")</f>
        <v/>
      </c>
    </row>
    <row r="809" hidden="1" ht="21" customHeight="1">
      <c r="A809" s="84" t="n"/>
      <c r="B809" s="46">
        <f>'設定'!$I$28</f>
        <v/>
      </c>
      <c r="C809" s="85" t="n"/>
      <c r="D809" s="85" t="n"/>
      <c r="E809" s="85" t="n"/>
      <c r="F809" s="85" t="n"/>
      <c r="G809" s="85" t="n"/>
      <c r="H809" s="85" t="n"/>
      <c r="S809">
        <f>IF(18&lt;='設定'!$B$6,"表示","隠す")</f>
        <v/>
      </c>
    </row>
    <row r="810" hidden="1" ht="21" customHeight="1">
      <c r="A810" s="84" t="n"/>
      <c r="B810" s="46">
        <f>'設定'!$I$29</f>
        <v/>
      </c>
      <c r="C810" s="85" t="n"/>
      <c r="D810" s="85" t="n"/>
      <c r="E810" s="85" t="n"/>
      <c r="F810" s="85" t="n"/>
      <c r="G810" s="85" t="n"/>
      <c r="H810" s="85" t="n"/>
      <c r="S810">
        <f>IF(19&lt;='設定'!$B$6,"表示","隠す")</f>
        <v/>
      </c>
    </row>
    <row r="811" hidden="1" ht="21" customHeight="1">
      <c r="A811" s="84" t="n"/>
      <c r="B811" s="46">
        <f>'設定'!$I$30</f>
        <v/>
      </c>
      <c r="C811" s="85" t="n"/>
      <c r="D811" s="85" t="n"/>
      <c r="E811" s="85" t="n"/>
      <c r="F811" s="85" t="n"/>
      <c r="G811" s="85" t="n"/>
      <c r="H811" s="85" t="n"/>
      <c r="S811">
        <f>IF(20&lt;='設定'!$B$6,"表示","隠す")</f>
        <v/>
      </c>
    </row>
    <row r="812" hidden="1" ht="21" customHeight="1">
      <c r="A812" s="84" t="n"/>
      <c r="B812" s="46">
        <f>'設定'!$I$31</f>
        <v/>
      </c>
      <c r="C812" s="85" t="n"/>
      <c r="D812" s="85" t="n"/>
      <c r="E812" s="85" t="n"/>
      <c r="F812" s="85" t="n"/>
      <c r="G812" s="85" t="n"/>
      <c r="H812" s="85" t="n"/>
      <c r="S812">
        <f>IF(21&lt;='設定'!$B$6,"表示","隠す")</f>
        <v/>
      </c>
    </row>
    <row r="813" hidden="1" ht="21" customHeight="1">
      <c r="A813" s="84" t="n"/>
      <c r="B813" s="46">
        <f>'設定'!$I$32</f>
        <v/>
      </c>
      <c r="C813" s="85" t="n"/>
      <c r="D813" s="85" t="n"/>
      <c r="E813" s="85" t="n"/>
      <c r="F813" s="85" t="n"/>
      <c r="G813" s="85" t="n"/>
      <c r="H813" s="85" t="n"/>
      <c r="S813">
        <f>IF(22&lt;='設定'!$B$6,"表示","隠す")</f>
        <v/>
      </c>
    </row>
    <row r="814" hidden="1" ht="21" customHeight="1">
      <c r="A814" s="84" t="n"/>
      <c r="B814" s="46">
        <f>'設定'!$I$33</f>
        <v/>
      </c>
      <c r="C814" s="85" t="n"/>
      <c r="D814" s="85" t="n"/>
      <c r="E814" s="85" t="n"/>
      <c r="F814" s="85" t="n"/>
      <c r="G814" s="85" t="n"/>
      <c r="H814" s="85" t="n"/>
      <c r="S814">
        <f>IF(23&lt;='設定'!$B$6,"表示","隠す")</f>
        <v/>
      </c>
    </row>
    <row r="815" hidden="1" ht="21" customHeight="1">
      <c r="A815" s="84" t="n"/>
      <c r="B815" s="46">
        <f>'設定'!$I$34</f>
        <v/>
      </c>
      <c r="C815" s="85" t="n"/>
      <c r="D815" s="85" t="n"/>
      <c r="E815" s="85" t="n"/>
      <c r="F815" s="85" t="n"/>
      <c r="G815" s="85" t="n"/>
      <c r="H815" s="85" t="n"/>
      <c r="S815">
        <f>IF(24&lt;='設定'!$B$6,"表示","隠す")</f>
        <v/>
      </c>
    </row>
    <row r="816">
      <c r="S816" t="inlineStr">
        <is>
          <t>表示</t>
        </is>
      </c>
    </row>
    <row r="817" ht="26" customHeight="1">
      <c r="B817" s="78">
        <f>IF('名簿'!B34="","（名簿 30行目：なし）",'名簿'!P34)</f>
        <v/>
      </c>
      <c r="C817" s="5" t="n"/>
      <c r="D817" s="5" t="n"/>
      <c r="E817" s="79" t="inlineStr">
        <is>
          <t>提出状況 ▶</t>
        </is>
      </c>
      <c r="F817" s="42" t="n"/>
      <c r="G817" s="33" t="n"/>
      <c r="H817" s="80" t="inlineStr">
        <is>
          <t>状況：</t>
        </is>
      </c>
      <c r="I817" s="81">
        <f>'名簿'!Q34</f>
        <v/>
      </c>
      <c r="J817" s="80" t="inlineStr">
        <is>
          <t>×の数：</t>
        </is>
      </c>
      <c r="K817" s="82">
        <f>'名簿'!R34</f>
        <v/>
      </c>
      <c r="L817" s="83">
        <f>HYPERLINK("#'×入力'!B845","次の人へ ▼")</f>
        <v/>
      </c>
      <c r="S817" t="inlineStr">
        <is>
          <t>表示</t>
        </is>
      </c>
    </row>
    <row r="818" ht="22" customHeight="1">
      <c r="A818" s="34" t="inlineStr">
        <is>
          <t>この日全部 ▶</t>
        </is>
      </c>
      <c r="C818" s="84" t="n"/>
      <c r="D818" s="84" t="n"/>
      <c r="E818" s="84" t="n"/>
      <c r="F818" s="84" t="n"/>
      <c r="G818" s="84" t="n"/>
      <c r="H818" s="84" t="n"/>
      <c r="S818" t="inlineStr">
        <is>
          <t>表示</t>
        </is>
      </c>
    </row>
    <row r="819" ht="28" customHeight="1">
      <c r="A819" s="37" t="inlineStr">
        <is>
          <t>この時間
全部 ▼</t>
        </is>
      </c>
      <c r="B819" s="38" t="inlineStr"/>
      <c r="C819" s="39">
        <f>'設定'!$E$11</f>
        <v/>
      </c>
      <c r="D819" s="39">
        <f>'設定'!$E$12</f>
        <v/>
      </c>
      <c r="E819" s="39">
        <f>'設定'!$E$13</f>
        <v/>
      </c>
      <c r="F819" s="39">
        <f>'設定'!$E$14</f>
        <v/>
      </c>
      <c r="G819" s="39">
        <f>'設定'!$E$15</f>
        <v/>
      </c>
      <c r="H819" s="39">
        <f>'設定'!$E$16</f>
        <v/>
      </c>
      <c r="S819" t="inlineStr">
        <is>
          <t>表示</t>
        </is>
      </c>
    </row>
    <row r="820" ht="21" customHeight="1">
      <c r="A820" s="84" t="n"/>
      <c r="B820" s="46">
        <f>'設定'!$I$11</f>
        <v/>
      </c>
      <c r="C820" s="85" t="inlineStr">
        <is>
          <t>×</t>
        </is>
      </c>
      <c r="D820" s="85" t="inlineStr">
        <is>
          <t>×</t>
        </is>
      </c>
      <c r="E820" s="85" t="inlineStr">
        <is>
          <t>×</t>
        </is>
      </c>
      <c r="F820" s="85" t="inlineStr">
        <is>
          <t>×</t>
        </is>
      </c>
      <c r="G820" s="85" t="inlineStr">
        <is>
          <t>×</t>
        </is>
      </c>
      <c r="H820" s="85" t="n"/>
      <c r="S820">
        <f>IF(1&lt;='設定'!$B$6,"表示","隠す")</f>
        <v/>
      </c>
    </row>
    <row r="821" ht="21" customHeight="1">
      <c r="A821" s="84" t="n"/>
      <c r="B821" s="46">
        <f>'設定'!$I$12</f>
        <v/>
      </c>
      <c r="C821" s="85" t="inlineStr">
        <is>
          <t>×</t>
        </is>
      </c>
      <c r="D821" s="85" t="inlineStr">
        <is>
          <t>×</t>
        </is>
      </c>
      <c r="E821" s="85" t="inlineStr">
        <is>
          <t>×</t>
        </is>
      </c>
      <c r="F821" s="85" t="inlineStr">
        <is>
          <t>×</t>
        </is>
      </c>
      <c r="G821" s="85" t="inlineStr">
        <is>
          <t>×</t>
        </is>
      </c>
      <c r="H821" s="85" t="n"/>
      <c r="S821">
        <f>IF(2&lt;='設定'!$B$6,"表示","隠す")</f>
        <v/>
      </c>
    </row>
    <row r="822" ht="21" customHeight="1">
      <c r="A822" s="84" t="n"/>
      <c r="B822" s="46">
        <f>'設定'!$I$13</f>
        <v/>
      </c>
      <c r="C822" s="85" t="inlineStr">
        <is>
          <t>×</t>
        </is>
      </c>
      <c r="D822" s="85" t="inlineStr">
        <is>
          <t>×</t>
        </is>
      </c>
      <c r="E822" s="85" t="inlineStr">
        <is>
          <t>×</t>
        </is>
      </c>
      <c r="F822" s="85" t="inlineStr">
        <is>
          <t>×</t>
        </is>
      </c>
      <c r="G822" s="85" t="inlineStr">
        <is>
          <t>×</t>
        </is>
      </c>
      <c r="H822" s="85" t="n"/>
      <c r="S822">
        <f>IF(3&lt;='設定'!$B$6,"表示","隠す")</f>
        <v/>
      </c>
    </row>
    <row r="823" ht="21" customHeight="1">
      <c r="A823" s="84" t="n"/>
      <c r="B823" s="46">
        <f>'設定'!$I$14</f>
        <v/>
      </c>
      <c r="C823" s="85" t="inlineStr">
        <is>
          <t>×</t>
        </is>
      </c>
      <c r="D823" s="85" t="inlineStr">
        <is>
          <t>×</t>
        </is>
      </c>
      <c r="E823" s="85" t="inlineStr">
        <is>
          <t>×</t>
        </is>
      </c>
      <c r="F823" s="85" t="inlineStr">
        <is>
          <t>×</t>
        </is>
      </c>
      <c r="G823" s="85" t="inlineStr">
        <is>
          <t>×</t>
        </is>
      </c>
      <c r="H823" s="85" t="n"/>
      <c r="S823">
        <f>IF(4&lt;='設定'!$B$6,"表示","隠す")</f>
        <v/>
      </c>
    </row>
    <row r="824" ht="21" customHeight="1">
      <c r="A824" s="84" t="n"/>
      <c r="B824" s="46">
        <f>'設定'!$I$15</f>
        <v/>
      </c>
      <c r="C824" s="85" t="inlineStr">
        <is>
          <t>×</t>
        </is>
      </c>
      <c r="D824" s="85" t="inlineStr">
        <is>
          <t>×</t>
        </is>
      </c>
      <c r="E824" s="85" t="inlineStr">
        <is>
          <t>×</t>
        </is>
      </c>
      <c r="F824" s="85" t="inlineStr">
        <is>
          <t>×</t>
        </is>
      </c>
      <c r="G824" s="85" t="inlineStr">
        <is>
          <t>×</t>
        </is>
      </c>
      <c r="H824" s="85" t="n"/>
      <c r="S824">
        <f>IF(5&lt;='設定'!$B$6,"表示","隠す")</f>
        <v/>
      </c>
    </row>
    <row r="825" ht="21" customHeight="1">
      <c r="A825" s="84" t="n"/>
      <c r="B825" s="46">
        <f>'設定'!$I$16</f>
        <v/>
      </c>
      <c r="C825" s="85" t="n"/>
      <c r="D825" s="85" t="inlineStr">
        <is>
          <t>×</t>
        </is>
      </c>
      <c r="E825" s="85" t="n"/>
      <c r="F825" s="85" t="inlineStr">
        <is>
          <t>×</t>
        </is>
      </c>
      <c r="G825" s="85" t="n"/>
      <c r="H825" s="85" t="n"/>
      <c r="S825">
        <f>IF(6&lt;='設定'!$B$6,"表示","隠す")</f>
        <v/>
      </c>
    </row>
    <row r="826" ht="21" customHeight="1">
      <c r="A826" s="84" t="n"/>
      <c r="B826" s="46">
        <f>'設定'!$I$17</f>
        <v/>
      </c>
      <c r="C826" s="85" t="n"/>
      <c r="D826" s="85" t="n"/>
      <c r="E826" s="85" t="n"/>
      <c r="F826" s="85" t="n"/>
      <c r="G826" s="85" t="n"/>
      <c r="H826" s="85" t="n"/>
      <c r="S826">
        <f>IF(7&lt;='設定'!$B$6,"表示","隠す")</f>
        <v/>
      </c>
    </row>
    <row r="827" ht="21" customHeight="1">
      <c r="A827" s="84" t="n"/>
      <c r="B827" s="46">
        <f>'設定'!$I$18</f>
        <v/>
      </c>
      <c r="C827" s="85" t="n"/>
      <c r="D827" s="85" t="n"/>
      <c r="E827" s="85" t="n"/>
      <c r="F827" s="85" t="n"/>
      <c r="G827" s="85" t="n"/>
      <c r="H827" s="85" t="n"/>
      <c r="S827">
        <f>IF(8&lt;='設定'!$B$6,"表示","隠す")</f>
        <v/>
      </c>
    </row>
    <row r="828" ht="21" customHeight="1">
      <c r="A828" s="84" t="n"/>
      <c r="B828" s="46">
        <f>'設定'!$I$19</f>
        <v/>
      </c>
      <c r="C828" s="85" t="n"/>
      <c r="D828" s="85" t="n"/>
      <c r="E828" s="85" t="n"/>
      <c r="F828" s="85" t="n"/>
      <c r="G828" s="85" t="inlineStr">
        <is>
          <t>×</t>
        </is>
      </c>
      <c r="H828" s="85" t="n"/>
      <c r="S828">
        <f>IF(9&lt;='設定'!$B$6,"表示","隠す")</f>
        <v/>
      </c>
    </row>
    <row r="829" hidden="1" ht="21" customHeight="1">
      <c r="A829" s="84" t="n"/>
      <c r="B829" s="46">
        <f>'設定'!$I$20</f>
        <v/>
      </c>
      <c r="C829" s="85" t="n"/>
      <c r="D829" s="85" t="n"/>
      <c r="E829" s="85" t="n"/>
      <c r="F829" s="85" t="n"/>
      <c r="G829" s="85" t="n"/>
      <c r="H829" s="85" t="n"/>
      <c r="S829">
        <f>IF(10&lt;='設定'!$B$6,"表示","隠す")</f>
        <v/>
      </c>
    </row>
    <row r="830" hidden="1" ht="21" customHeight="1">
      <c r="A830" s="84" t="n"/>
      <c r="B830" s="46">
        <f>'設定'!$I$21</f>
        <v/>
      </c>
      <c r="C830" s="85" t="n"/>
      <c r="D830" s="85" t="n"/>
      <c r="E830" s="85" t="n"/>
      <c r="F830" s="85" t="n"/>
      <c r="G830" s="85" t="n"/>
      <c r="H830" s="85" t="n"/>
      <c r="S830">
        <f>IF(11&lt;='設定'!$B$6,"表示","隠す")</f>
        <v/>
      </c>
    </row>
    <row r="831" hidden="1" ht="21" customHeight="1">
      <c r="A831" s="84" t="n"/>
      <c r="B831" s="46">
        <f>'設定'!$I$22</f>
        <v/>
      </c>
      <c r="C831" s="85" t="n"/>
      <c r="D831" s="85" t="n"/>
      <c r="E831" s="85" t="n"/>
      <c r="F831" s="85" t="n"/>
      <c r="G831" s="85" t="n"/>
      <c r="H831" s="85" t="n"/>
      <c r="S831">
        <f>IF(12&lt;='設定'!$B$6,"表示","隠す")</f>
        <v/>
      </c>
    </row>
    <row r="832" hidden="1" ht="21" customHeight="1">
      <c r="A832" s="84" t="n"/>
      <c r="B832" s="46">
        <f>'設定'!$I$23</f>
        <v/>
      </c>
      <c r="C832" s="85" t="n"/>
      <c r="D832" s="85" t="n"/>
      <c r="E832" s="85" t="n"/>
      <c r="F832" s="85" t="n"/>
      <c r="G832" s="85" t="n"/>
      <c r="H832" s="85" t="n"/>
      <c r="S832">
        <f>IF(13&lt;='設定'!$B$6,"表示","隠す")</f>
        <v/>
      </c>
    </row>
    <row r="833" hidden="1" ht="21" customHeight="1">
      <c r="A833" s="84" t="n"/>
      <c r="B833" s="46">
        <f>'設定'!$I$24</f>
        <v/>
      </c>
      <c r="C833" s="85" t="n"/>
      <c r="D833" s="85" t="n"/>
      <c r="E833" s="85" t="n"/>
      <c r="F833" s="85" t="n"/>
      <c r="G833" s="85" t="n"/>
      <c r="H833" s="85" t="n"/>
      <c r="S833">
        <f>IF(14&lt;='設定'!$B$6,"表示","隠す")</f>
        <v/>
      </c>
    </row>
    <row r="834" hidden="1" ht="21" customHeight="1">
      <c r="A834" s="84" t="n"/>
      <c r="B834" s="46">
        <f>'設定'!$I$25</f>
        <v/>
      </c>
      <c r="C834" s="85" t="n"/>
      <c r="D834" s="85" t="n"/>
      <c r="E834" s="85" t="n"/>
      <c r="F834" s="85" t="n"/>
      <c r="G834" s="85" t="n"/>
      <c r="H834" s="85" t="n"/>
      <c r="S834">
        <f>IF(15&lt;='設定'!$B$6,"表示","隠す")</f>
        <v/>
      </c>
    </row>
    <row r="835" hidden="1" ht="21" customHeight="1">
      <c r="A835" s="84" t="n"/>
      <c r="B835" s="46">
        <f>'設定'!$I$26</f>
        <v/>
      </c>
      <c r="C835" s="85" t="n"/>
      <c r="D835" s="85" t="n"/>
      <c r="E835" s="85" t="n"/>
      <c r="F835" s="85" t="n"/>
      <c r="G835" s="85" t="n"/>
      <c r="H835" s="85" t="n"/>
      <c r="S835">
        <f>IF(16&lt;='設定'!$B$6,"表示","隠す")</f>
        <v/>
      </c>
    </row>
    <row r="836" hidden="1" ht="21" customHeight="1">
      <c r="A836" s="84" t="n"/>
      <c r="B836" s="46">
        <f>'設定'!$I$27</f>
        <v/>
      </c>
      <c r="C836" s="85" t="n"/>
      <c r="D836" s="85" t="n"/>
      <c r="E836" s="85" t="n"/>
      <c r="F836" s="85" t="n"/>
      <c r="G836" s="85" t="n"/>
      <c r="H836" s="85" t="n"/>
      <c r="S836">
        <f>IF(17&lt;='設定'!$B$6,"表示","隠す")</f>
        <v/>
      </c>
    </row>
    <row r="837" hidden="1" ht="21" customHeight="1">
      <c r="A837" s="84" t="n"/>
      <c r="B837" s="46">
        <f>'設定'!$I$28</f>
        <v/>
      </c>
      <c r="C837" s="85" t="n"/>
      <c r="D837" s="85" t="n"/>
      <c r="E837" s="85" t="n"/>
      <c r="F837" s="85" t="n"/>
      <c r="G837" s="85" t="n"/>
      <c r="H837" s="85" t="n"/>
      <c r="S837">
        <f>IF(18&lt;='設定'!$B$6,"表示","隠す")</f>
        <v/>
      </c>
    </row>
    <row r="838" hidden="1" ht="21" customHeight="1">
      <c r="A838" s="84" t="n"/>
      <c r="B838" s="46">
        <f>'設定'!$I$29</f>
        <v/>
      </c>
      <c r="C838" s="85" t="n"/>
      <c r="D838" s="85" t="n"/>
      <c r="E838" s="85" t="n"/>
      <c r="F838" s="85" t="n"/>
      <c r="G838" s="85" t="n"/>
      <c r="H838" s="85" t="n"/>
      <c r="S838">
        <f>IF(19&lt;='設定'!$B$6,"表示","隠す")</f>
        <v/>
      </c>
    </row>
    <row r="839" hidden="1" ht="21" customHeight="1">
      <c r="A839" s="84" t="n"/>
      <c r="B839" s="46">
        <f>'設定'!$I$30</f>
        <v/>
      </c>
      <c r="C839" s="85" t="n"/>
      <c r="D839" s="85" t="n"/>
      <c r="E839" s="85" t="n"/>
      <c r="F839" s="85" t="n"/>
      <c r="G839" s="85" t="n"/>
      <c r="H839" s="85" t="n"/>
      <c r="S839">
        <f>IF(20&lt;='設定'!$B$6,"表示","隠す")</f>
        <v/>
      </c>
    </row>
    <row r="840" hidden="1" ht="21" customHeight="1">
      <c r="A840" s="84" t="n"/>
      <c r="B840" s="46">
        <f>'設定'!$I$31</f>
        <v/>
      </c>
      <c r="C840" s="85" t="n"/>
      <c r="D840" s="85" t="n"/>
      <c r="E840" s="85" t="n"/>
      <c r="F840" s="85" t="n"/>
      <c r="G840" s="85" t="n"/>
      <c r="H840" s="85" t="n"/>
      <c r="S840">
        <f>IF(21&lt;='設定'!$B$6,"表示","隠す")</f>
        <v/>
      </c>
    </row>
    <row r="841" hidden="1" ht="21" customHeight="1">
      <c r="A841" s="84" t="n"/>
      <c r="B841" s="46">
        <f>'設定'!$I$32</f>
        <v/>
      </c>
      <c r="C841" s="85" t="n"/>
      <c r="D841" s="85" t="n"/>
      <c r="E841" s="85" t="n"/>
      <c r="F841" s="85" t="n"/>
      <c r="G841" s="85" t="n"/>
      <c r="H841" s="85" t="n"/>
      <c r="S841">
        <f>IF(22&lt;='設定'!$B$6,"表示","隠す")</f>
        <v/>
      </c>
    </row>
    <row r="842" hidden="1" ht="21" customHeight="1">
      <c r="A842" s="84" t="n"/>
      <c r="B842" s="46">
        <f>'設定'!$I$33</f>
        <v/>
      </c>
      <c r="C842" s="85" t="n"/>
      <c r="D842" s="85" t="n"/>
      <c r="E842" s="85" t="n"/>
      <c r="F842" s="85" t="n"/>
      <c r="G842" s="85" t="n"/>
      <c r="H842" s="85" t="n"/>
      <c r="S842">
        <f>IF(23&lt;='設定'!$B$6,"表示","隠す")</f>
        <v/>
      </c>
    </row>
    <row r="843" hidden="1" ht="21" customHeight="1">
      <c r="A843" s="84" t="n"/>
      <c r="B843" s="46">
        <f>'設定'!$I$34</f>
        <v/>
      </c>
      <c r="C843" s="85" t="n"/>
      <c r="D843" s="85" t="n"/>
      <c r="E843" s="85" t="n"/>
      <c r="F843" s="85" t="n"/>
      <c r="G843" s="85" t="n"/>
      <c r="H843" s="85" t="n"/>
      <c r="S843">
        <f>IF(24&lt;='設定'!$B$6,"表示","隠す")</f>
        <v/>
      </c>
    </row>
    <row r="844">
      <c r="S844" t="inlineStr">
        <is>
          <t>表示</t>
        </is>
      </c>
    </row>
    <row r="845" ht="26" customHeight="1">
      <c r="B845" s="78">
        <f>IF('名簿'!B35="","（名簿 31行目：なし）",'名簿'!P35)</f>
        <v/>
      </c>
      <c r="C845" s="5" t="n"/>
      <c r="D845" s="5" t="n"/>
      <c r="E845" s="79" t="inlineStr">
        <is>
          <t>提出状況 ▶</t>
        </is>
      </c>
      <c r="F845" s="42" t="inlineStr">
        <is>
          <t>未提出</t>
        </is>
      </c>
      <c r="G845" s="33" t="n"/>
      <c r="H845" s="80" t="inlineStr">
        <is>
          <t>状況：</t>
        </is>
      </c>
      <c r="I845" s="81">
        <f>'名簿'!Q35</f>
        <v/>
      </c>
      <c r="J845" s="80" t="inlineStr">
        <is>
          <t>×の数：</t>
        </is>
      </c>
      <c r="K845" s="82">
        <f>'名簿'!R35</f>
        <v/>
      </c>
      <c r="L845" s="83">
        <f>HYPERLINK("#'×入力'!B873","次の人へ ▼")</f>
        <v/>
      </c>
      <c r="S845" t="inlineStr">
        <is>
          <t>表示</t>
        </is>
      </c>
    </row>
    <row r="846" ht="22" customHeight="1">
      <c r="A846" s="34" t="inlineStr">
        <is>
          <t>この日全部 ▶</t>
        </is>
      </c>
      <c r="C846" s="84" t="n"/>
      <c r="D846" s="84" t="n"/>
      <c r="E846" s="84" t="n"/>
      <c r="F846" s="84" t="n"/>
      <c r="G846" s="84" t="n"/>
      <c r="H846" s="84" t="n"/>
      <c r="S846" t="inlineStr">
        <is>
          <t>表示</t>
        </is>
      </c>
    </row>
    <row r="847" ht="28" customHeight="1">
      <c r="A847" s="37" t="inlineStr">
        <is>
          <t>この時間
全部 ▼</t>
        </is>
      </c>
      <c r="B847" s="38" t="inlineStr"/>
      <c r="C847" s="39">
        <f>'設定'!$E$11</f>
        <v/>
      </c>
      <c r="D847" s="39">
        <f>'設定'!$E$12</f>
        <v/>
      </c>
      <c r="E847" s="39">
        <f>'設定'!$E$13</f>
        <v/>
      </c>
      <c r="F847" s="39">
        <f>'設定'!$E$14</f>
        <v/>
      </c>
      <c r="G847" s="39">
        <f>'設定'!$E$15</f>
        <v/>
      </c>
      <c r="H847" s="39">
        <f>'設定'!$E$16</f>
        <v/>
      </c>
      <c r="S847" t="inlineStr">
        <is>
          <t>表示</t>
        </is>
      </c>
    </row>
    <row r="848" ht="21" customHeight="1">
      <c r="A848" s="84" t="n"/>
      <c r="B848" s="46">
        <f>'設定'!$I$11</f>
        <v/>
      </c>
      <c r="C848" s="85" t="n"/>
      <c r="D848" s="85" t="n"/>
      <c r="E848" s="85" t="n"/>
      <c r="F848" s="85" t="n"/>
      <c r="G848" s="85" t="n"/>
      <c r="H848" s="85" t="n"/>
      <c r="S848">
        <f>IF(1&lt;='設定'!$B$6,"表示","隠す")</f>
        <v/>
      </c>
    </row>
    <row r="849" ht="21" customHeight="1">
      <c r="A849" s="84" t="n"/>
      <c r="B849" s="46">
        <f>'設定'!$I$12</f>
        <v/>
      </c>
      <c r="C849" s="85" t="n"/>
      <c r="D849" s="85" t="n"/>
      <c r="E849" s="85" t="n"/>
      <c r="F849" s="85" t="n"/>
      <c r="G849" s="85" t="n"/>
      <c r="H849" s="85" t="n"/>
      <c r="S849">
        <f>IF(2&lt;='設定'!$B$6,"表示","隠す")</f>
        <v/>
      </c>
    </row>
    <row r="850" ht="21" customHeight="1">
      <c r="A850" s="84" t="n"/>
      <c r="B850" s="46">
        <f>'設定'!$I$13</f>
        <v/>
      </c>
      <c r="C850" s="85" t="n"/>
      <c r="D850" s="85" t="n"/>
      <c r="E850" s="85" t="n"/>
      <c r="F850" s="85" t="n"/>
      <c r="G850" s="85" t="n"/>
      <c r="H850" s="85" t="n"/>
      <c r="S850">
        <f>IF(3&lt;='設定'!$B$6,"表示","隠す")</f>
        <v/>
      </c>
    </row>
    <row r="851" ht="21" customHeight="1">
      <c r="A851" s="84" t="n"/>
      <c r="B851" s="46">
        <f>'設定'!$I$14</f>
        <v/>
      </c>
      <c r="C851" s="85" t="n"/>
      <c r="D851" s="85" t="n"/>
      <c r="E851" s="85" t="n"/>
      <c r="F851" s="85" t="n"/>
      <c r="G851" s="85" t="n"/>
      <c r="H851" s="85" t="n"/>
      <c r="S851">
        <f>IF(4&lt;='設定'!$B$6,"表示","隠す")</f>
        <v/>
      </c>
    </row>
    <row r="852" ht="21" customHeight="1">
      <c r="A852" s="84" t="n"/>
      <c r="B852" s="46">
        <f>'設定'!$I$15</f>
        <v/>
      </c>
      <c r="C852" s="85" t="n"/>
      <c r="D852" s="85" t="n"/>
      <c r="E852" s="85" t="n"/>
      <c r="F852" s="85" t="n"/>
      <c r="G852" s="85" t="n"/>
      <c r="H852" s="85" t="n"/>
      <c r="S852">
        <f>IF(5&lt;='設定'!$B$6,"表示","隠す")</f>
        <v/>
      </c>
    </row>
    <row r="853" ht="21" customHeight="1">
      <c r="A853" s="84" t="n"/>
      <c r="B853" s="46">
        <f>'設定'!$I$16</f>
        <v/>
      </c>
      <c r="C853" s="85" t="n"/>
      <c r="D853" s="85" t="n"/>
      <c r="E853" s="85" t="n"/>
      <c r="F853" s="85" t="n"/>
      <c r="G853" s="85" t="n"/>
      <c r="H853" s="85" t="n"/>
      <c r="S853">
        <f>IF(6&lt;='設定'!$B$6,"表示","隠す")</f>
        <v/>
      </c>
    </row>
    <row r="854" ht="21" customHeight="1">
      <c r="A854" s="84" t="n"/>
      <c r="B854" s="46">
        <f>'設定'!$I$17</f>
        <v/>
      </c>
      <c r="C854" s="85" t="n"/>
      <c r="D854" s="85" t="n"/>
      <c r="E854" s="85" t="n"/>
      <c r="F854" s="85" t="n"/>
      <c r="G854" s="85" t="n"/>
      <c r="H854" s="85" t="n"/>
      <c r="S854">
        <f>IF(7&lt;='設定'!$B$6,"表示","隠す")</f>
        <v/>
      </c>
    </row>
    <row r="855" ht="21" customHeight="1">
      <c r="A855" s="84" t="n"/>
      <c r="B855" s="46">
        <f>'設定'!$I$18</f>
        <v/>
      </c>
      <c r="C855" s="85" t="n"/>
      <c r="D855" s="85" t="n"/>
      <c r="E855" s="85" t="n"/>
      <c r="F855" s="85" t="n"/>
      <c r="G855" s="85" t="n"/>
      <c r="H855" s="85" t="n"/>
      <c r="S855">
        <f>IF(8&lt;='設定'!$B$6,"表示","隠す")</f>
        <v/>
      </c>
    </row>
    <row r="856" ht="21" customHeight="1">
      <c r="A856" s="84" t="n"/>
      <c r="B856" s="46">
        <f>'設定'!$I$19</f>
        <v/>
      </c>
      <c r="C856" s="85" t="n"/>
      <c r="D856" s="85" t="n"/>
      <c r="E856" s="85" t="n"/>
      <c r="F856" s="85" t="n"/>
      <c r="G856" s="85" t="n"/>
      <c r="H856" s="85" t="n"/>
      <c r="S856">
        <f>IF(9&lt;='設定'!$B$6,"表示","隠す")</f>
        <v/>
      </c>
    </row>
    <row r="857" hidden="1" ht="21" customHeight="1">
      <c r="A857" s="84" t="n"/>
      <c r="B857" s="46">
        <f>'設定'!$I$20</f>
        <v/>
      </c>
      <c r="C857" s="85" t="n"/>
      <c r="D857" s="85" t="n"/>
      <c r="E857" s="85" t="n"/>
      <c r="F857" s="85" t="n"/>
      <c r="G857" s="85" t="n"/>
      <c r="H857" s="85" t="n"/>
      <c r="S857">
        <f>IF(10&lt;='設定'!$B$6,"表示","隠す")</f>
        <v/>
      </c>
    </row>
    <row r="858" hidden="1" ht="21" customHeight="1">
      <c r="A858" s="84" t="n"/>
      <c r="B858" s="46">
        <f>'設定'!$I$21</f>
        <v/>
      </c>
      <c r="C858" s="85" t="n"/>
      <c r="D858" s="85" t="n"/>
      <c r="E858" s="85" t="n"/>
      <c r="F858" s="85" t="n"/>
      <c r="G858" s="85" t="n"/>
      <c r="H858" s="85" t="n"/>
      <c r="S858">
        <f>IF(11&lt;='設定'!$B$6,"表示","隠す")</f>
        <v/>
      </c>
    </row>
    <row r="859" hidden="1" ht="21" customHeight="1">
      <c r="A859" s="84" t="n"/>
      <c r="B859" s="46">
        <f>'設定'!$I$22</f>
        <v/>
      </c>
      <c r="C859" s="85" t="n"/>
      <c r="D859" s="85" t="n"/>
      <c r="E859" s="85" t="n"/>
      <c r="F859" s="85" t="n"/>
      <c r="G859" s="85" t="n"/>
      <c r="H859" s="85" t="n"/>
      <c r="S859">
        <f>IF(12&lt;='設定'!$B$6,"表示","隠す")</f>
        <v/>
      </c>
    </row>
    <row r="860" hidden="1" ht="21" customHeight="1">
      <c r="A860" s="84" t="n"/>
      <c r="B860" s="46">
        <f>'設定'!$I$23</f>
        <v/>
      </c>
      <c r="C860" s="85" t="n"/>
      <c r="D860" s="85" t="n"/>
      <c r="E860" s="85" t="n"/>
      <c r="F860" s="85" t="n"/>
      <c r="G860" s="85" t="n"/>
      <c r="H860" s="85" t="n"/>
      <c r="S860">
        <f>IF(13&lt;='設定'!$B$6,"表示","隠す")</f>
        <v/>
      </c>
    </row>
    <row r="861" hidden="1" ht="21" customHeight="1">
      <c r="A861" s="84" t="n"/>
      <c r="B861" s="46">
        <f>'設定'!$I$24</f>
        <v/>
      </c>
      <c r="C861" s="85" t="n"/>
      <c r="D861" s="85" t="n"/>
      <c r="E861" s="85" t="n"/>
      <c r="F861" s="85" t="n"/>
      <c r="G861" s="85" t="n"/>
      <c r="H861" s="85" t="n"/>
      <c r="S861">
        <f>IF(14&lt;='設定'!$B$6,"表示","隠す")</f>
        <v/>
      </c>
    </row>
    <row r="862" hidden="1" ht="21" customHeight="1">
      <c r="A862" s="84" t="n"/>
      <c r="B862" s="46">
        <f>'設定'!$I$25</f>
        <v/>
      </c>
      <c r="C862" s="85" t="n"/>
      <c r="D862" s="85" t="n"/>
      <c r="E862" s="85" t="n"/>
      <c r="F862" s="85" t="n"/>
      <c r="G862" s="85" t="n"/>
      <c r="H862" s="85" t="n"/>
      <c r="S862">
        <f>IF(15&lt;='設定'!$B$6,"表示","隠す")</f>
        <v/>
      </c>
    </row>
    <row r="863" hidden="1" ht="21" customHeight="1">
      <c r="A863" s="84" t="n"/>
      <c r="B863" s="46">
        <f>'設定'!$I$26</f>
        <v/>
      </c>
      <c r="C863" s="85" t="n"/>
      <c r="D863" s="85" t="n"/>
      <c r="E863" s="85" t="n"/>
      <c r="F863" s="85" t="n"/>
      <c r="G863" s="85" t="n"/>
      <c r="H863" s="85" t="n"/>
      <c r="S863">
        <f>IF(16&lt;='設定'!$B$6,"表示","隠す")</f>
        <v/>
      </c>
    </row>
    <row r="864" hidden="1" ht="21" customHeight="1">
      <c r="A864" s="84" t="n"/>
      <c r="B864" s="46">
        <f>'設定'!$I$27</f>
        <v/>
      </c>
      <c r="C864" s="85" t="n"/>
      <c r="D864" s="85" t="n"/>
      <c r="E864" s="85" t="n"/>
      <c r="F864" s="85" t="n"/>
      <c r="G864" s="85" t="n"/>
      <c r="H864" s="85" t="n"/>
      <c r="S864">
        <f>IF(17&lt;='設定'!$B$6,"表示","隠す")</f>
        <v/>
      </c>
    </row>
    <row r="865" hidden="1" ht="21" customHeight="1">
      <c r="A865" s="84" t="n"/>
      <c r="B865" s="46">
        <f>'設定'!$I$28</f>
        <v/>
      </c>
      <c r="C865" s="85" t="n"/>
      <c r="D865" s="85" t="n"/>
      <c r="E865" s="85" t="n"/>
      <c r="F865" s="85" t="n"/>
      <c r="G865" s="85" t="n"/>
      <c r="H865" s="85" t="n"/>
      <c r="S865">
        <f>IF(18&lt;='設定'!$B$6,"表示","隠す")</f>
        <v/>
      </c>
    </row>
    <row r="866" hidden="1" ht="21" customHeight="1">
      <c r="A866" s="84" t="n"/>
      <c r="B866" s="46">
        <f>'設定'!$I$29</f>
        <v/>
      </c>
      <c r="C866" s="85" t="n"/>
      <c r="D866" s="85" t="n"/>
      <c r="E866" s="85" t="n"/>
      <c r="F866" s="85" t="n"/>
      <c r="G866" s="85" t="n"/>
      <c r="H866" s="85" t="n"/>
      <c r="S866">
        <f>IF(19&lt;='設定'!$B$6,"表示","隠す")</f>
        <v/>
      </c>
    </row>
    <row r="867" hidden="1" ht="21" customHeight="1">
      <c r="A867" s="84" t="n"/>
      <c r="B867" s="46">
        <f>'設定'!$I$30</f>
        <v/>
      </c>
      <c r="C867" s="85" t="n"/>
      <c r="D867" s="85" t="n"/>
      <c r="E867" s="85" t="n"/>
      <c r="F867" s="85" t="n"/>
      <c r="G867" s="85" t="n"/>
      <c r="H867" s="85" t="n"/>
      <c r="S867">
        <f>IF(20&lt;='設定'!$B$6,"表示","隠す")</f>
        <v/>
      </c>
    </row>
    <row r="868" hidden="1" ht="21" customHeight="1">
      <c r="A868" s="84" t="n"/>
      <c r="B868" s="46">
        <f>'設定'!$I$31</f>
        <v/>
      </c>
      <c r="C868" s="85" t="n"/>
      <c r="D868" s="85" t="n"/>
      <c r="E868" s="85" t="n"/>
      <c r="F868" s="85" t="n"/>
      <c r="G868" s="85" t="n"/>
      <c r="H868" s="85" t="n"/>
      <c r="S868">
        <f>IF(21&lt;='設定'!$B$6,"表示","隠す")</f>
        <v/>
      </c>
    </row>
    <row r="869" hidden="1" ht="21" customHeight="1">
      <c r="A869" s="84" t="n"/>
      <c r="B869" s="46">
        <f>'設定'!$I$32</f>
        <v/>
      </c>
      <c r="C869" s="85" t="n"/>
      <c r="D869" s="85" t="n"/>
      <c r="E869" s="85" t="n"/>
      <c r="F869" s="85" t="n"/>
      <c r="G869" s="85" t="n"/>
      <c r="H869" s="85" t="n"/>
      <c r="S869">
        <f>IF(22&lt;='設定'!$B$6,"表示","隠す")</f>
        <v/>
      </c>
    </row>
    <row r="870" hidden="1" ht="21" customHeight="1">
      <c r="A870" s="84" t="n"/>
      <c r="B870" s="46">
        <f>'設定'!$I$33</f>
        <v/>
      </c>
      <c r="C870" s="85" t="n"/>
      <c r="D870" s="85" t="n"/>
      <c r="E870" s="85" t="n"/>
      <c r="F870" s="85" t="n"/>
      <c r="G870" s="85" t="n"/>
      <c r="H870" s="85" t="n"/>
      <c r="S870">
        <f>IF(23&lt;='設定'!$B$6,"表示","隠す")</f>
        <v/>
      </c>
    </row>
    <row r="871" hidden="1" ht="21" customHeight="1">
      <c r="A871" s="84" t="n"/>
      <c r="B871" s="46">
        <f>'設定'!$I$34</f>
        <v/>
      </c>
      <c r="C871" s="85" t="n"/>
      <c r="D871" s="85" t="n"/>
      <c r="E871" s="85" t="n"/>
      <c r="F871" s="85" t="n"/>
      <c r="G871" s="85" t="n"/>
      <c r="H871" s="85" t="n"/>
      <c r="S871">
        <f>IF(24&lt;='設定'!$B$6,"表示","隠す")</f>
        <v/>
      </c>
    </row>
    <row r="872">
      <c r="S872" t="inlineStr">
        <is>
          <t>表示</t>
        </is>
      </c>
    </row>
    <row r="873" ht="26" customHeight="1">
      <c r="B873" s="78">
        <f>IF('名簿'!B36="","（名簿 32行目：なし）",'名簿'!P36)</f>
        <v/>
      </c>
      <c r="C873" s="5" t="n"/>
      <c r="D873" s="5" t="n"/>
      <c r="E873" s="79" t="inlineStr">
        <is>
          <t>提出状況 ▶</t>
        </is>
      </c>
      <c r="F873" s="42" t="n"/>
      <c r="G873" s="33" t="n"/>
      <c r="H873" s="80" t="inlineStr">
        <is>
          <t>状況：</t>
        </is>
      </c>
      <c r="I873" s="81">
        <f>'名簿'!Q36</f>
        <v/>
      </c>
      <c r="J873" s="80" t="inlineStr">
        <is>
          <t>×の数：</t>
        </is>
      </c>
      <c r="K873" s="82">
        <f>'名簿'!R36</f>
        <v/>
      </c>
      <c r="L873" s="83">
        <f>HYPERLINK("#'×入力'!B901","次の人へ ▼")</f>
        <v/>
      </c>
      <c r="S873" t="inlineStr">
        <is>
          <t>表示</t>
        </is>
      </c>
    </row>
    <row r="874" ht="22" customHeight="1">
      <c r="A874" s="34" t="inlineStr">
        <is>
          <t>この日全部 ▶</t>
        </is>
      </c>
      <c r="C874" s="84" t="n"/>
      <c r="D874" s="84" t="n"/>
      <c r="E874" s="84" t="n"/>
      <c r="F874" s="84" t="n"/>
      <c r="G874" s="84" t="n"/>
      <c r="H874" s="84" t="n"/>
      <c r="S874" t="inlineStr">
        <is>
          <t>表示</t>
        </is>
      </c>
    </row>
    <row r="875" ht="28" customHeight="1">
      <c r="A875" s="37" t="inlineStr">
        <is>
          <t>この時間
全部 ▼</t>
        </is>
      </c>
      <c r="B875" s="38" t="inlineStr"/>
      <c r="C875" s="39">
        <f>'設定'!$E$11</f>
        <v/>
      </c>
      <c r="D875" s="39">
        <f>'設定'!$E$12</f>
        <v/>
      </c>
      <c r="E875" s="39">
        <f>'設定'!$E$13</f>
        <v/>
      </c>
      <c r="F875" s="39">
        <f>'設定'!$E$14</f>
        <v/>
      </c>
      <c r="G875" s="39">
        <f>'設定'!$E$15</f>
        <v/>
      </c>
      <c r="H875" s="39">
        <f>'設定'!$E$16</f>
        <v/>
      </c>
      <c r="S875" t="inlineStr">
        <is>
          <t>表示</t>
        </is>
      </c>
    </row>
    <row r="876" ht="21" customHeight="1">
      <c r="A876" s="84" t="n"/>
      <c r="B876" s="46">
        <f>'設定'!$I$11</f>
        <v/>
      </c>
      <c r="C876" s="85" t="n"/>
      <c r="D876" s="85" t="n"/>
      <c r="E876" s="85" t="n"/>
      <c r="F876" s="85" t="n"/>
      <c r="G876" s="85" t="n"/>
      <c r="H876" s="85" t="n"/>
      <c r="S876">
        <f>IF(1&lt;='設定'!$B$6,"表示","隠す")</f>
        <v/>
      </c>
    </row>
    <row r="877" ht="21" customHeight="1">
      <c r="A877" s="84" t="n"/>
      <c r="B877" s="46">
        <f>'設定'!$I$12</f>
        <v/>
      </c>
      <c r="C877" s="85" t="n"/>
      <c r="D877" s="85" t="n"/>
      <c r="E877" s="85" t="n"/>
      <c r="F877" s="85" t="n"/>
      <c r="G877" s="85" t="n"/>
      <c r="H877" s="85" t="n"/>
      <c r="S877">
        <f>IF(2&lt;='設定'!$B$6,"表示","隠す")</f>
        <v/>
      </c>
    </row>
    <row r="878" ht="21" customHeight="1">
      <c r="A878" s="84" t="n"/>
      <c r="B878" s="46">
        <f>'設定'!$I$13</f>
        <v/>
      </c>
      <c r="C878" s="85" t="n"/>
      <c r="D878" s="85" t="n"/>
      <c r="E878" s="85" t="n"/>
      <c r="F878" s="85" t="n"/>
      <c r="G878" s="85" t="n"/>
      <c r="H878" s="85" t="n"/>
      <c r="S878">
        <f>IF(3&lt;='設定'!$B$6,"表示","隠す")</f>
        <v/>
      </c>
    </row>
    <row r="879" ht="21" customHeight="1">
      <c r="A879" s="84" t="n"/>
      <c r="B879" s="46">
        <f>'設定'!$I$14</f>
        <v/>
      </c>
      <c r="C879" s="85" t="n"/>
      <c r="D879" s="85" t="n"/>
      <c r="E879" s="85" t="inlineStr">
        <is>
          <t>×</t>
        </is>
      </c>
      <c r="F879" s="85" t="n"/>
      <c r="G879" s="85" t="n"/>
      <c r="H879" s="85" t="n"/>
      <c r="S879">
        <f>IF(4&lt;='設定'!$B$6,"表示","隠す")</f>
        <v/>
      </c>
    </row>
    <row r="880" ht="21" customHeight="1">
      <c r="A880" s="84" t="n"/>
      <c r="B880" s="46">
        <f>'設定'!$I$15</f>
        <v/>
      </c>
      <c r="C880" s="85" t="n"/>
      <c r="D880" s="85" t="n"/>
      <c r="E880" s="85" t="n"/>
      <c r="F880" s="85" t="inlineStr">
        <is>
          <t>×</t>
        </is>
      </c>
      <c r="G880" s="85" t="n"/>
      <c r="H880" s="85" t="n"/>
      <c r="S880">
        <f>IF(5&lt;='設定'!$B$6,"表示","隠す")</f>
        <v/>
      </c>
    </row>
    <row r="881" ht="21" customHeight="1">
      <c r="A881" s="84" t="n"/>
      <c r="B881" s="46">
        <f>'設定'!$I$16</f>
        <v/>
      </c>
      <c r="C881" s="85" t="n"/>
      <c r="D881" s="85" t="inlineStr">
        <is>
          <t>×</t>
        </is>
      </c>
      <c r="E881" s="85" t="n"/>
      <c r="F881" s="85" t="n"/>
      <c r="G881" s="85" t="n"/>
      <c r="H881" s="85" t="n"/>
      <c r="S881">
        <f>IF(6&lt;='設定'!$B$6,"表示","隠す")</f>
        <v/>
      </c>
    </row>
    <row r="882" ht="21" customHeight="1">
      <c r="A882" s="84" t="n"/>
      <c r="B882" s="46">
        <f>'設定'!$I$17</f>
        <v/>
      </c>
      <c r="C882" s="85" t="n"/>
      <c r="D882" s="85" t="n"/>
      <c r="E882" s="85" t="n"/>
      <c r="F882" s="85" t="n"/>
      <c r="G882" s="85" t="n"/>
      <c r="H882" s="85" t="n"/>
      <c r="S882">
        <f>IF(7&lt;='設定'!$B$6,"表示","隠す")</f>
        <v/>
      </c>
    </row>
    <row r="883" ht="21" customHeight="1">
      <c r="A883" s="84" t="n"/>
      <c r="B883" s="46">
        <f>'設定'!$I$18</f>
        <v/>
      </c>
      <c r="C883" s="85" t="n"/>
      <c r="D883" s="85" t="n"/>
      <c r="E883" s="85" t="n"/>
      <c r="F883" s="85" t="n"/>
      <c r="G883" s="85" t="n"/>
      <c r="H883" s="85" t="n"/>
      <c r="S883">
        <f>IF(8&lt;='設定'!$B$6,"表示","隠す")</f>
        <v/>
      </c>
    </row>
    <row r="884" ht="21" customHeight="1">
      <c r="A884" s="84" t="n"/>
      <c r="B884" s="46">
        <f>'設定'!$I$19</f>
        <v/>
      </c>
      <c r="C884" s="85" t="n"/>
      <c r="D884" s="85" t="n"/>
      <c r="E884" s="85" t="n"/>
      <c r="F884" s="85" t="inlineStr">
        <is>
          <t>×</t>
        </is>
      </c>
      <c r="G884" s="85" t="n"/>
      <c r="H884" s="85" t="n"/>
      <c r="S884">
        <f>IF(9&lt;='設定'!$B$6,"表示","隠す")</f>
        <v/>
      </c>
    </row>
    <row r="885" hidden="1" ht="21" customHeight="1">
      <c r="A885" s="84" t="n"/>
      <c r="B885" s="46">
        <f>'設定'!$I$20</f>
        <v/>
      </c>
      <c r="C885" s="85" t="n"/>
      <c r="D885" s="85" t="n"/>
      <c r="E885" s="85" t="n"/>
      <c r="F885" s="85" t="n"/>
      <c r="G885" s="85" t="n"/>
      <c r="H885" s="85" t="n"/>
      <c r="S885">
        <f>IF(10&lt;='設定'!$B$6,"表示","隠す")</f>
        <v/>
      </c>
    </row>
    <row r="886" hidden="1" ht="21" customHeight="1">
      <c r="A886" s="84" t="n"/>
      <c r="B886" s="46">
        <f>'設定'!$I$21</f>
        <v/>
      </c>
      <c r="C886" s="85" t="n"/>
      <c r="D886" s="85" t="n"/>
      <c r="E886" s="85" t="n"/>
      <c r="F886" s="85" t="n"/>
      <c r="G886" s="85" t="n"/>
      <c r="H886" s="85" t="n"/>
      <c r="S886">
        <f>IF(11&lt;='設定'!$B$6,"表示","隠す")</f>
        <v/>
      </c>
    </row>
    <row r="887" hidden="1" ht="21" customHeight="1">
      <c r="A887" s="84" t="n"/>
      <c r="B887" s="46">
        <f>'設定'!$I$22</f>
        <v/>
      </c>
      <c r="C887" s="85" t="n"/>
      <c r="D887" s="85" t="n"/>
      <c r="E887" s="85" t="n"/>
      <c r="F887" s="85" t="n"/>
      <c r="G887" s="85" t="n"/>
      <c r="H887" s="85" t="n"/>
      <c r="S887">
        <f>IF(12&lt;='設定'!$B$6,"表示","隠す")</f>
        <v/>
      </c>
    </row>
    <row r="888" hidden="1" ht="21" customHeight="1">
      <c r="A888" s="84" t="n"/>
      <c r="B888" s="46">
        <f>'設定'!$I$23</f>
        <v/>
      </c>
      <c r="C888" s="85" t="n"/>
      <c r="D888" s="85" t="n"/>
      <c r="E888" s="85" t="n"/>
      <c r="F888" s="85" t="n"/>
      <c r="G888" s="85" t="n"/>
      <c r="H888" s="85" t="n"/>
      <c r="S888">
        <f>IF(13&lt;='設定'!$B$6,"表示","隠す")</f>
        <v/>
      </c>
    </row>
    <row r="889" hidden="1" ht="21" customHeight="1">
      <c r="A889" s="84" t="n"/>
      <c r="B889" s="46">
        <f>'設定'!$I$24</f>
        <v/>
      </c>
      <c r="C889" s="85" t="n"/>
      <c r="D889" s="85" t="n"/>
      <c r="E889" s="85" t="n"/>
      <c r="F889" s="85" t="n"/>
      <c r="G889" s="85" t="n"/>
      <c r="H889" s="85" t="n"/>
      <c r="S889">
        <f>IF(14&lt;='設定'!$B$6,"表示","隠す")</f>
        <v/>
      </c>
    </row>
    <row r="890" hidden="1" ht="21" customHeight="1">
      <c r="A890" s="84" t="n"/>
      <c r="B890" s="46">
        <f>'設定'!$I$25</f>
        <v/>
      </c>
      <c r="C890" s="85" t="n"/>
      <c r="D890" s="85" t="n"/>
      <c r="E890" s="85" t="n"/>
      <c r="F890" s="85" t="n"/>
      <c r="G890" s="85" t="n"/>
      <c r="H890" s="85" t="n"/>
      <c r="S890">
        <f>IF(15&lt;='設定'!$B$6,"表示","隠す")</f>
        <v/>
      </c>
    </row>
    <row r="891" hidden="1" ht="21" customHeight="1">
      <c r="A891" s="84" t="n"/>
      <c r="B891" s="46">
        <f>'設定'!$I$26</f>
        <v/>
      </c>
      <c r="C891" s="85" t="n"/>
      <c r="D891" s="85" t="n"/>
      <c r="E891" s="85" t="n"/>
      <c r="F891" s="85" t="n"/>
      <c r="G891" s="85" t="n"/>
      <c r="H891" s="85" t="n"/>
      <c r="S891">
        <f>IF(16&lt;='設定'!$B$6,"表示","隠す")</f>
        <v/>
      </c>
    </row>
    <row r="892" hidden="1" ht="21" customHeight="1">
      <c r="A892" s="84" t="n"/>
      <c r="B892" s="46">
        <f>'設定'!$I$27</f>
        <v/>
      </c>
      <c r="C892" s="85" t="n"/>
      <c r="D892" s="85" t="n"/>
      <c r="E892" s="85" t="n"/>
      <c r="F892" s="85" t="n"/>
      <c r="G892" s="85" t="n"/>
      <c r="H892" s="85" t="n"/>
      <c r="S892">
        <f>IF(17&lt;='設定'!$B$6,"表示","隠す")</f>
        <v/>
      </c>
    </row>
    <row r="893" hidden="1" ht="21" customHeight="1">
      <c r="A893" s="84" t="n"/>
      <c r="B893" s="46">
        <f>'設定'!$I$28</f>
        <v/>
      </c>
      <c r="C893" s="85" t="n"/>
      <c r="D893" s="85" t="n"/>
      <c r="E893" s="85" t="n"/>
      <c r="F893" s="85" t="n"/>
      <c r="G893" s="85" t="n"/>
      <c r="H893" s="85" t="n"/>
      <c r="S893">
        <f>IF(18&lt;='設定'!$B$6,"表示","隠す")</f>
        <v/>
      </c>
    </row>
    <row r="894" hidden="1" ht="21" customHeight="1">
      <c r="A894" s="84" t="n"/>
      <c r="B894" s="46">
        <f>'設定'!$I$29</f>
        <v/>
      </c>
      <c r="C894" s="85" t="n"/>
      <c r="D894" s="85" t="n"/>
      <c r="E894" s="85" t="n"/>
      <c r="F894" s="85" t="n"/>
      <c r="G894" s="85" t="n"/>
      <c r="H894" s="85" t="n"/>
      <c r="S894">
        <f>IF(19&lt;='設定'!$B$6,"表示","隠す")</f>
        <v/>
      </c>
    </row>
    <row r="895" hidden="1" ht="21" customHeight="1">
      <c r="A895" s="84" t="n"/>
      <c r="B895" s="46">
        <f>'設定'!$I$30</f>
        <v/>
      </c>
      <c r="C895" s="85" t="n"/>
      <c r="D895" s="85" t="n"/>
      <c r="E895" s="85" t="n"/>
      <c r="F895" s="85" t="n"/>
      <c r="G895" s="85" t="n"/>
      <c r="H895" s="85" t="n"/>
      <c r="S895">
        <f>IF(20&lt;='設定'!$B$6,"表示","隠す")</f>
        <v/>
      </c>
    </row>
    <row r="896" hidden="1" ht="21" customHeight="1">
      <c r="A896" s="84" t="n"/>
      <c r="B896" s="46">
        <f>'設定'!$I$31</f>
        <v/>
      </c>
      <c r="C896" s="85" t="n"/>
      <c r="D896" s="85" t="n"/>
      <c r="E896" s="85" t="n"/>
      <c r="F896" s="85" t="n"/>
      <c r="G896" s="85" t="n"/>
      <c r="H896" s="85" t="n"/>
      <c r="S896">
        <f>IF(21&lt;='設定'!$B$6,"表示","隠す")</f>
        <v/>
      </c>
    </row>
    <row r="897" hidden="1" ht="21" customHeight="1">
      <c r="A897" s="84" t="n"/>
      <c r="B897" s="46">
        <f>'設定'!$I$32</f>
        <v/>
      </c>
      <c r="C897" s="85" t="n"/>
      <c r="D897" s="85" t="n"/>
      <c r="E897" s="85" t="n"/>
      <c r="F897" s="85" t="n"/>
      <c r="G897" s="85" t="n"/>
      <c r="H897" s="85" t="n"/>
      <c r="S897">
        <f>IF(22&lt;='設定'!$B$6,"表示","隠す")</f>
        <v/>
      </c>
    </row>
    <row r="898" hidden="1" ht="21" customHeight="1">
      <c r="A898" s="84" t="n"/>
      <c r="B898" s="46">
        <f>'設定'!$I$33</f>
        <v/>
      </c>
      <c r="C898" s="85" t="n"/>
      <c r="D898" s="85" t="n"/>
      <c r="E898" s="85" t="n"/>
      <c r="F898" s="85" t="n"/>
      <c r="G898" s="85" t="n"/>
      <c r="H898" s="85" t="n"/>
      <c r="S898">
        <f>IF(23&lt;='設定'!$B$6,"表示","隠す")</f>
        <v/>
      </c>
    </row>
    <row r="899" hidden="1" ht="21" customHeight="1">
      <c r="A899" s="84" t="n"/>
      <c r="B899" s="46">
        <f>'設定'!$I$34</f>
        <v/>
      </c>
      <c r="C899" s="85" t="n"/>
      <c r="D899" s="85" t="n"/>
      <c r="E899" s="85" t="n"/>
      <c r="F899" s="85" t="n"/>
      <c r="G899" s="85" t="n"/>
      <c r="H899" s="85" t="n"/>
      <c r="S899">
        <f>IF(24&lt;='設定'!$B$6,"表示","隠す")</f>
        <v/>
      </c>
    </row>
    <row r="900">
      <c r="S900" t="inlineStr">
        <is>
          <t>表示</t>
        </is>
      </c>
    </row>
    <row r="901" ht="26" customHeight="1">
      <c r="B901" s="78">
        <f>IF('名簿'!B37="","（名簿 33行目：なし）",'名簿'!P37)</f>
        <v/>
      </c>
      <c r="C901" s="5" t="n"/>
      <c r="D901" s="5" t="n"/>
      <c r="E901" s="79" t="inlineStr">
        <is>
          <t>提出状況 ▶</t>
        </is>
      </c>
      <c r="F901" s="42" t="n"/>
      <c r="G901" s="33" t="n"/>
      <c r="H901" s="80" t="inlineStr">
        <is>
          <t>状況：</t>
        </is>
      </c>
      <c r="I901" s="81">
        <f>'名簿'!Q37</f>
        <v/>
      </c>
      <c r="J901" s="80" t="inlineStr">
        <is>
          <t>×の数：</t>
        </is>
      </c>
      <c r="K901" s="82">
        <f>'名簿'!R37</f>
        <v/>
      </c>
      <c r="L901" s="83">
        <f>HYPERLINK("#'×入力'!B929","次の人へ ▼")</f>
        <v/>
      </c>
      <c r="S901" t="inlineStr">
        <is>
          <t>表示</t>
        </is>
      </c>
    </row>
    <row r="902" ht="22" customHeight="1">
      <c r="A902" s="34" t="inlineStr">
        <is>
          <t>この日全部 ▶</t>
        </is>
      </c>
      <c r="C902" s="84" t="n"/>
      <c r="D902" s="84" t="n"/>
      <c r="E902" s="84" t="n"/>
      <c r="F902" s="84" t="n"/>
      <c r="G902" s="84" t="n"/>
      <c r="H902" s="84" t="n"/>
      <c r="S902" t="inlineStr">
        <is>
          <t>表示</t>
        </is>
      </c>
    </row>
    <row r="903" ht="28" customHeight="1">
      <c r="A903" s="37" t="inlineStr">
        <is>
          <t>この時間
全部 ▼</t>
        </is>
      </c>
      <c r="B903" s="38" t="inlineStr"/>
      <c r="C903" s="39">
        <f>'設定'!$E$11</f>
        <v/>
      </c>
      <c r="D903" s="39">
        <f>'設定'!$E$12</f>
        <v/>
      </c>
      <c r="E903" s="39">
        <f>'設定'!$E$13</f>
        <v/>
      </c>
      <c r="F903" s="39">
        <f>'設定'!$E$14</f>
        <v/>
      </c>
      <c r="G903" s="39">
        <f>'設定'!$E$15</f>
        <v/>
      </c>
      <c r="H903" s="39">
        <f>'設定'!$E$16</f>
        <v/>
      </c>
      <c r="S903" t="inlineStr">
        <is>
          <t>表示</t>
        </is>
      </c>
    </row>
    <row r="904" ht="21" customHeight="1">
      <c r="A904" s="84" t="n"/>
      <c r="B904" s="46">
        <f>'設定'!$I$11</f>
        <v/>
      </c>
      <c r="C904" s="85" t="n"/>
      <c r="D904" s="85" t="n"/>
      <c r="E904" s="85" t="n"/>
      <c r="F904" s="85" t="n"/>
      <c r="G904" s="85" t="n"/>
      <c r="H904" s="85" t="n"/>
      <c r="S904">
        <f>IF(1&lt;='設定'!$B$6,"表示","隠す")</f>
        <v/>
      </c>
    </row>
    <row r="905" ht="21" customHeight="1">
      <c r="A905" s="84" t="n"/>
      <c r="B905" s="46">
        <f>'設定'!$I$12</f>
        <v/>
      </c>
      <c r="C905" s="85" t="n"/>
      <c r="D905" s="85" t="n"/>
      <c r="E905" s="85" t="inlineStr">
        <is>
          <t>×</t>
        </is>
      </c>
      <c r="F905" s="85" t="n"/>
      <c r="G905" s="85" t="n"/>
      <c r="H905" s="85" t="n"/>
      <c r="S905">
        <f>IF(2&lt;='設定'!$B$6,"表示","隠す")</f>
        <v/>
      </c>
    </row>
    <row r="906" ht="21" customHeight="1">
      <c r="A906" s="84" t="n"/>
      <c r="B906" s="46">
        <f>'設定'!$I$13</f>
        <v/>
      </c>
      <c r="C906" s="85" t="n"/>
      <c r="D906" s="85" t="inlineStr">
        <is>
          <t>×</t>
        </is>
      </c>
      <c r="E906" s="85" t="n"/>
      <c r="F906" s="85" t="inlineStr">
        <is>
          <t>×</t>
        </is>
      </c>
      <c r="G906" s="85" t="n"/>
      <c r="H906" s="85" t="n"/>
      <c r="S906">
        <f>IF(3&lt;='設定'!$B$6,"表示","隠す")</f>
        <v/>
      </c>
    </row>
    <row r="907" ht="21" customHeight="1">
      <c r="A907" s="84" t="n"/>
      <c r="B907" s="46">
        <f>'設定'!$I$14</f>
        <v/>
      </c>
      <c r="C907" s="85" t="n"/>
      <c r="D907" s="85" t="inlineStr">
        <is>
          <t>×</t>
        </is>
      </c>
      <c r="E907" s="85" t="n"/>
      <c r="F907" s="85" t="inlineStr">
        <is>
          <t>×</t>
        </is>
      </c>
      <c r="G907" s="85" t="n"/>
      <c r="H907" s="85" t="n"/>
      <c r="S907">
        <f>IF(4&lt;='設定'!$B$6,"表示","隠す")</f>
        <v/>
      </c>
    </row>
    <row r="908" ht="21" customHeight="1">
      <c r="A908" s="84" t="n"/>
      <c r="B908" s="46">
        <f>'設定'!$I$15</f>
        <v/>
      </c>
      <c r="C908" s="85" t="n"/>
      <c r="D908" s="85" t="n"/>
      <c r="E908" s="85" t="inlineStr">
        <is>
          <t>×</t>
        </is>
      </c>
      <c r="F908" s="85" t="inlineStr">
        <is>
          <t>×</t>
        </is>
      </c>
      <c r="G908" s="85" t="n"/>
      <c r="H908" s="85" t="n"/>
      <c r="S908">
        <f>IF(5&lt;='設定'!$B$6,"表示","隠す")</f>
        <v/>
      </c>
    </row>
    <row r="909" ht="21" customHeight="1">
      <c r="A909" s="84" t="n"/>
      <c r="B909" s="46">
        <f>'設定'!$I$16</f>
        <v/>
      </c>
      <c r="C909" s="85" t="n"/>
      <c r="D909" s="85" t="n"/>
      <c r="E909" s="85" t="inlineStr">
        <is>
          <t>×</t>
        </is>
      </c>
      <c r="F909" s="85" t="inlineStr">
        <is>
          <t>×</t>
        </is>
      </c>
      <c r="G909" s="85" t="n"/>
      <c r="H909" s="85" t="n"/>
      <c r="S909">
        <f>IF(6&lt;='設定'!$B$6,"表示","隠す")</f>
        <v/>
      </c>
    </row>
    <row r="910" ht="21" customHeight="1">
      <c r="A910" s="84" t="n"/>
      <c r="B910" s="46">
        <f>'設定'!$I$17</f>
        <v/>
      </c>
      <c r="C910" s="85" t="inlineStr">
        <is>
          <t>×</t>
        </is>
      </c>
      <c r="D910" s="85" t="inlineStr">
        <is>
          <t>×</t>
        </is>
      </c>
      <c r="E910" s="85" t="inlineStr">
        <is>
          <t>×</t>
        </is>
      </c>
      <c r="F910" s="85" t="inlineStr">
        <is>
          <t>×</t>
        </is>
      </c>
      <c r="G910" s="85" t="inlineStr">
        <is>
          <t>×</t>
        </is>
      </c>
      <c r="H910" s="85" t="n"/>
      <c r="S910">
        <f>IF(7&lt;='設定'!$B$6,"表示","隠す")</f>
        <v/>
      </c>
    </row>
    <row r="911" ht="21" customHeight="1">
      <c r="A911" s="84" t="n"/>
      <c r="B911" s="46">
        <f>'設定'!$I$18</f>
        <v/>
      </c>
      <c r="C911" s="85" t="inlineStr">
        <is>
          <t>×</t>
        </is>
      </c>
      <c r="D911" s="85" t="inlineStr">
        <is>
          <t>×</t>
        </is>
      </c>
      <c r="E911" s="85" t="inlineStr">
        <is>
          <t>×</t>
        </is>
      </c>
      <c r="F911" s="85" t="inlineStr">
        <is>
          <t>×</t>
        </is>
      </c>
      <c r="G911" s="85" t="inlineStr">
        <is>
          <t>×</t>
        </is>
      </c>
      <c r="H911" s="85" t="n"/>
      <c r="S911">
        <f>IF(8&lt;='設定'!$B$6,"表示","隠す")</f>
        <v/>
      </c>
    </row>
    <row r="912" ht="21" customHeight="1">
      <c r="A912" s="84" t="n"/>
      <c r="B912" s="46">
        <f>'設定'!$I$19</f>
        <v/>
      </c>
      <c r="C912" s="85" t="inlineStr">
        <is>
          <t>×</t>
        </is>
      </c>
      <c r="D912" s="85" t="inlineStr">
        <is>
          <t>×</t>
        </is>
      </c>
      <c r="E912" s="85" t="inlineStr">
        <is>
          <t>×</t>
        </is>
      </c>
      <c r="F912" s="85" t="inlineStr">
        <is>
          <t>×</t>
        </is>
      </c>
      <c r="G912" s="85" t="inlineStr">
        <is>
          <t>×</t>
        </is>
      </c>
      <c r="H912" s="85" t="n"/>
      <c r="S912">
        <f>IF(9&lt;='設定'!$B$6,"表示","隠す")</f>
        <v/>
      </c>
    </row>
    <row r="913" hidden="1" ht="21" customHeight="1">
      <c r="A913" s="84" t="n"/>
      <c r="B913" s="46">
        <f>'設定'!$I$20</f>
        <v/>
      </c>
      <c r="C913" s="85" t="n"/>
      <c r="D913" s="85" t="n"/>
      <c r="E913" s="85" t="n"/>
      <c r="F913" s="85" t="n"/>
      <c r="G913" s="85" t="n"/>
      <c r="H913" s="85" t="n"/>
      <c r="S913">
        <f>IF(10&lt;='設定'!$B$6,"表示","隠す")</f>
        <v/>
      </c>
    </row>
    <row r="914" hidden="1" ht="21" customHeight="1">
      <c r="A914" s="84" t="n"/>
      <c r="B914" s="46">
        <f>'設定'!$I$21</f>
        <v/>
      </c>
      <c r="C914" s="85" t="n"/>
      <c r="D914" s="85" t="n"/>
      <c r="E914" s="85" t="n"/>
      <c r="F914" s="85" t="n"/>
      <c r="G914" s="85" t="n"/>
      <c r="H914" s="85" t="n"/>
      <c r="S914">
        <f>IF(11&lt;='設定'!$B$6,"表示","隠す")</f>
        <v/>
      </c>
    </row>
    <row r="915" hidden="1" ht="21" customHeight="1">
      <c r="A915" s="84" t="n"/>
      <c r="B915" s="46">
        <f>'設定'!$I$22</f>
        <v/>
      </c>
      <c r="C915" s="85" t="n"/>
      <c r="D915" s="85" t="n"/>
      <c r="E915" s="85" t="n"/>
      <c r="F915" s="85" t="n"/>
      <c r="G915" s="85" t="n"/>
      <c r="H915" s="85" t="n"/>
      <c r="S915">
        <f>IF(12&lt;='設定'!$B$6,"表示","隠す")</f>
        <v/>
      </c>
    </row>
    <row r="916" hidden="1" ht="21" customHeight="1">
      <c r="A916" s="84" t="n"/>
      <c r="B916" s="46">
        <f>'設定'!$I$23</f>
        <v/>
      </c>
      <c r="C916" s="85" t="n"/>
      <c r="D916" s="85" t="n"/>
      <c r="E916" s="85" t="n"/>
      <c r="F916" s="85" t="n"/>
      <c r="G916" s="85" t="n"/>
      <c r="H916" s="85" t="n"/>
      <c r="S916">
        <f>IF(13&lt;='設定'!$B$6,"表示","隠す")</f>
        <v/>
      </c>
    </row>
    <row r="917" hidden="1" ht="21" customHeight="1">
      <c r="A917" s="84" t="n"/>
      <c r="B917" s="46">
        <f>'設定'!$I$24</f>
        <v/>
      </c>
      <c r="C917" s="85" t="n"/>
      <c r="D917" s="85" t="n"/>
      <c r="E917" s="85" t="n"/>
      <c r="F917" s="85" t="n"/>
      <c r="G917" s="85" t="n"/>
      <c r="H917" s="85" t="n"/>
      <c r="S917">
        <f>IF(14&lt;='設定'!$B$6,"表示","隠す")</f>
        <v/>
      </c>
    </row>
    <row r="918" hidden="1" ht="21" customHeight="1">
      <c r="A918" s="84" t="n"/>
      <c r="B918" s="46">
        <f>'設定'!$I$25</f>
        <v/>
      </c>
      <c r="C918" s="85" t="n"/>
      <c r="D918" s="85" t="n"/>
      <c r="E918" s="85" t="n"/>
      <c r="F918" s="85" t="n"/>
      <c r="G918" s="85" t="n"/>
      <c r="H918" s="85" t="n"/>
      <c r="S918">
        <f>IF(15&lt;='設定'!$B$6,"表示","隠す")</f>
        <v/>
      </c>
    </row>
    <row r="919" hidden="1" ht="21" customHeight="1">
      <c r="A919" s="84" t="n"/>
      <c r="B919" s="46">
        <f>'設定'!$I$26</f>
        <v/>
      </c>
      <c r="C919" s="85" t="n"/>
      <c r="D919" s="85" t="n"/>
      <c r="E919" s="85" t="n"/>
      <c r="F919" s="85" t="n"/>
      <c r="G919" s="85" t="n"/>
      <c r="H919" s="85" t="n"/>
      <c r="S919">
        <f>IF(16&lt;='設定'!$B$6,"表示","隠す")</f>
        <v/>
      </c>
    </row>
    <row r="920" hidden="1" ht="21" customHeight="1">
      <c r="A920" s="84" t="n"/>
      <c r="B920" s="46">
        <f>'設定'!$I$27</f>
        <v/>
      </c>
      <c r="C920" s="85" t="n"/>
      <c r="D920" s="85" t="n"/>
      <c r="E920" s="85" t="n"/>
      <c r="F920" s="85" t="n"/>
      <c r="G920" s="85" t="n"/>
      <c r="H920" s="85" t="n"/>
      <c r="S920">
        <f>IF(17&lt;='設定'!$B$6,"表示","隠す")</f>
        <v/>
      </c>
    </row>
    <row r="921" hidden="1" ht="21" customHeight="1">
      <c r="A921" s="84" t="n"/>
      <c r="B921" s="46">
        <f>'設定'!$I$28</f>
        <v/>
      </c>
      <c r="C921" s="85" t="n"/>
      <c r="D921" s="85" t="n"/>
      <c r="E921" s="85" t="n"/>
      <c r="F921" s="85" t="n"/>
      <c r="G921" s="85" t="n"/>
      <c r="H921" s="85" t="n"/>
      <c r="S921">
        <f>IF(18&lt;='設定'!$B$6,"表示","隠す")</f>
        <v/>
      </c>
    </row>
    <row r="922" hidden="1" ht="21" customHeight="1">
      <c r="A922" s="84" t="n"/>
      <c r="B922" s="46">
        <f>'設定'!$I$29</f>
        <v/>
      </c>
      <c r="C922" s="85" t="n"/>
      <c r="D922" s="85" t="n"/>
      <c r="E922" s="85" t="n"/>
      <c r="F922" s="85" t="n"/>
      <c r="G922" s="85" t="n"/>
      <c r="H922" s="85" t="n"/>
      <c r="S922">
        <f>IF(19&lt;='設定'!$B$6,"表示","隠す")</f>
        <v/>
      </c>
    </row>
    <row r="923" hidden="1" ht="21" customHeight="1">
      <c r="A923" s="84" t="n"/>
      <c r="B923" s="46">
        <f>'設定'!$I$30</f>
        <v/>
      </c>
      <c r="C923" s="85" t="n"/>
      <c r="D923" s="85" t="n"/>
      <c r="E923" s="85" t="n"/>
      <c r="F923" s="85" t="n"/>
      <c r="G923" s="85" t="n"/>
      <c r="H923" s="85" t="n"/>
      <c r="S923">
        <f>IF(20&lt;='設定'!$B$6,"表示","隠す")</f>
        <v/>
      </c>
    </row>
    <row r="924" hidden="1" ht="21" customHeight="1">
      <c r="A924" s="84" t="n"/>
      <c r="B924" s="46">
        <f>'設定'!$I$31</f>
        <v/>
      </c>
      <c r="C924" s="85" t="n"/>
      <c r="D924" s="85" t="n"/>
      <c r="E924" s="85" t="n"/>
      <c r="F924" s="85" t="n"/>
      <c r="G924" s="85" t="n"/>
      <c r="H924" s="85" t="n"/>
      <c r="S924">
        <f>IF(21&lt;='設定'!$B$6,"表示","隠す")</f>
        <v/>
      </c>
    </row>
    <row r="925" hidden="1" ht="21" customHeight="1">
      <c r="A925" s="84" t="n"/>
      <c r="B925" s="46">
        <f>'設定'!$I$32</f>
        <v/>
      </c>
      <c r="C925" s="85" t="n"/>
      <c r="D925" s="85" t="n"/>
      <c r="E925" s="85" t="n"/>
      <c r="F925" s="85" t="n"/>
      <c r="G925" s="85" t="n"/>
      <c r="H925" s="85" t="n"/>
      <c r="S925">
        <f>IF(22&lt;='設定'!$B$6,"表示","隠す")</f>
        <v/>
      </c>
    </row>
    <row r="926" hidden="1" ht="21" customHeight="1">
      <c r="A926" s="84" t="n"/>
      <c r="B926" s="46">
        <f>'設定'!$I$33</f>
        <v/>
      </c>
      <c r="C926" s="85" t="n"/>
      <c r="D926" s="85" t="n"/>
      <c r="E926" s="85" t="n"/>
      <c r="F926" s="85" t="n"/>
      <c r="G926" s="85" t="n"/>
      <c r="H926" s="85" t="n"/>
      <c r="S926">
        <f>IF(23&lt;='設定'!$B$6,"表示","隠す")</f>
        <v/>
      </c>
    </row>
    <row r="927" hidden="1" ht="21" customHeight="1">
      <c r="A927" s="84" t="n"/>
      <c r="B927" s="46">
        <f>'設定'!$I$34</f>
        <v/>
      </c>
      <c r="C927" s="85" t="n"/>
      <c r="D927" s="85" t="n"/>
      <c r="E927" s="85" t="n"/>
      <c r="F927" s="85" t="n"/>
      <c r="G927" s="85" t="n"/>
      <c r="H927" s="85" t="n"/>
      <c r="S927">
        <f>IF(24&lt;='設定'!$B$6,"表示","隠す")</f>
        <v/>
      </c>
    </row>
    <row r="928">
      <c r="S928" t="inlineStr">
        <is>
          <t>表示</t>
        </is>
      </c>
    </row>
    <row r="929" ht="26" customHeight="1">
      <c r="B929" s="78">
        <f>IF('名簿'!B38="","（名簿 34行目：なし）",'名簿'!P38)</f>
        <v/>
      </c>
      <c r="C929" s="5" t="n"/>
      <c r="D929" s="5" t="n"/>
      <c r="E929" s="79" t="inlineStr">
        <is>
          <t>提出状況 ▶</t>
        </is>
      </c>
      <c r="F929" s="42" t="n"/>
      <c r="G929" s="33" t="n"/>
      <c r="H929" s="80" t="inlineStr">
        <is>
          <t>状況：</t>
        </is>
      </c>
      <c r="I929" s="81">
        <f>'名簿'!Q38</f>
        <v/>
      </c>
      <c r="J929" s="80" t="inlineStr">
        <is>
          <t>×の数：</t>
        </is>
      </c>
      <c r="K929" s="82">
        <f>'名簿'!R38</f>
        <v/>
      </c>
      <c r="L929" s="83">
        <f>HYPERLINK("#'×入力'!B957","次の人へ ▼")</f>
        <v/>
      </c>
      <c r="S929" t="inlineStr">
        <is>
          <t>表示</t>
        </is>
      </c>
    </row>
    <row r="930" ht="22" customHeight="1">
      <c r="A930" s="34" t="inlineStr">
        <is>
          <t>この日全部 ▶</t>
        </is>
      </c>
      <c r="C930" s="84" t="n"/>
      <c r="D930" s="84" t="n"/>
      <c r="E930" s="84" t="n"/>
      <c r="F930" s="84" t="n"/>
      <c r="G930" s="84" t="n"/>
      <c r="H930" s="84" t="n"/>
      <c r="S930" t="inlineStr">
        <is>
          <t>表示</t>
        </is>
      </c>
    </row>
    <row r="931" ht="28" customHeight="1">
      <c r="A931" s="37" t="inlineStr">
        <is>
          <t>この時間
全部 ▼</t>
        </is>
      </c>
      <c r="B931" s="38" t="inlineStr"/>
      <c r="C931" s="39">
        <f>'設定'!$E$11</f>
        <v/>
      </c>
      <c r="D931" s="39">
        <f>'設定'!$E$12</f>
        <v/>
      </c>
      <c r="E931" s="39">
        <f>'設定'!$E$13</f>
        <v/>
      </c>
      <c r="F931" s="39">
        <f>'設定'!$E$14</f>
        <v/>
      </c>
      <c r="G931" s="39">
        <f>'設定'!$E$15</f>
        <v/>
      </c>
      <c r="H931" s="39">
        <f>'設定'!$E$16</f>
        <v/>
      </c>
      <c r="S931" t="inlineStr">
        <is>
          <t>表示</t>
        </is>
      </c>
    </row>
    <row r="932" ht="21" customHeight="1">
      <c r="A932" s="84" t="n"/>
      <c r="B932" s="46">
        <f>'設定'!$I$11</f>
        <v/>
      </c>
      <c r="C932" s="85" t="n"/>
      <c r="D932" s="85" t="n"/>
      <c r="E932" s="85" t="n"/>
      <c r="F932" s="85" t="n"/>
      <c r="G932" s="85" t="n"/>
      <c r="H932" s="85" t="n"/>
      <c r="S932">
        <f>IF(1&lt;='設定'!$B$6,"表示","隠す")</f>
        <v/>
      </c>
    </row>
    <row r="933" ht="21" customHeight="1">
      <c r="A933" s="84" t="n"/>
      <c r="B933" s="46">
        <f>'設定'!$I$12</f>
        <v/>
      </c>
      <c r="C933" s="85" t="n"/>
      <c r="D933" s="85" t="n"/>
      <c r="E933" s="85" t="inlineStr">
        <is>
          <t>×</t>
        </is>
      </c>
      <c r="F933" s="85" t="n"/>
      <c r="G933" s="85" t="n"/>
      <c r="H933" s="85" t="n"/>
      <c r="S933">
        <f>IF(2&lt;='設定'!$B$6,"表示","隠す")</f>
        <v/>
      </c>
    </row>
    <row r="934" ht="21" customHeight="1">
      <c r="A934" s="84" t="n"/>
      <c r="B934" s="46">
        <f>'設定'!$I$13</f>
        <v/>
      </c>
      <c r="C934" s="85" t="n"/>
      <c r="D934" s="85" t="n"/>
      <c r="E934" s="85" t="inlineStr">
        <is>
          <t>×</t>
        </is>
      </c>
      <c r="F934" s="85" t="n"/>
      <c r="G934" s="85" t="n"/>
      <c r="H934" s="85" t="n"/>
      <c r="S934">
        <f>IF(3&lt;='設定'!$B$6,"表示","隠す")</f>
        <v/>
      </c>
    </row>
    <row r="935" ht="21" customHeight="1">
      <c r="A935" s="84" t="n"/>
      <c r="B935" s="46">
        <f>'設定'!$I$14</f>
        <v/>
      </c>
      <c r="C935" s="85" t="n"/>
      <c r="D935" s="85" t="n"/>
      <c r="E935" s="85" t="n"/>
      <c r="F935" s="85" t="n"/>
      <c r="G935" s="85" t="n"/>
      <c r="H935" s="85" t="n"/>
      <c r="S935">
        <f>IF(4&lt;='設定'!$B$6,"表示","隠す")</f>
        <v/>
      </c>
    </row>
    <row r="936" ht="21" customHeight="1">
      <c r="A936" s="84" t="n"/>
      <c r="B936" s="46">
        <f>'設定'!$I$15</f>
        <v/>
      </c>
      <c r="C936" s="85" t="inlineStr">
        <is>
          <t>×</t>
        </is>
      </c>
      <c r="D936" s="85" t="n"/>
      <c r="E936" s="85" t="n"/>
      <c r="F936" s="85" t="n"/>
      <c r="G936" s="85" t="inlineStr">
        <is>
          <t>×</t>
        </is>
      </c>
      <c r="H936" s="85" t="n"/>
      <c r="S936">
        <f>IF(5&lt;='設定'!$B$6,"表示","隠す")</f>
        <v/>
      </c>
    </row>
    <row r="937" ht="21" customHeight="1">
      <c r="A937" s="84" t="n"/>
      <c r="B937" s="46">
        <f>'設定'!$I$16</f>
        <v/>
      </c>
      <c r="C937" s="85" t="n"/>
      <c r="D937" s="85" t="inlineStr">
        <is>
          <t>×</t>
        </is>
      </c>
      <c r="E937" s="85" t="n"/>
      <c r="F937" s="85" t="n"/>
      <c r="G937" s="85" t="n"/>
      <c r="H937" s="85" t="n"/>
      <c r="S937">
        <f>IF(6&lt;='設定'!$B$6,"表示","隠す")</f>
        <v/>
      </c>
    </row>
    <row r="938" ht="21" customHeight="1">
      <c r="A938" s="84" t="n"/>
      <c r="B938" s="46">
        <f>'設定'!$I$17</f>
        <v/>
      </c>
      <c r="C938" s="85" t="n"/>
      <c r="D938" s="85" t="n"/>
      <c r="E938" s="85" t="inlineStr">
        <is>
          <t>×</t>
        </is>
      </c>
      <c r="F938" s="85" t="inlineStr">
        <is>
          <t>×</t>
        </is>
      </c>
      <c r="G938" s="85" t="n"/>
      <c r="H938" s="85" t="n"/>
      <c r="S938">
        <f>IF(7&lt;='設定'!$B$6,"表示","隠す")</f>
        <v/>
      </c>
    </row>
    <row r="939" ht="21" customHeight="1">
      <c r="A939" s="84" t="n"/>
      <c r="B939" s="46">
        <f>'設定'!$I$18</f>
        <v/>
      </c>
      <c r="C939" s="85" t="n"/>
      <c r="D939" s="85" t="n"/>
      <c r="E939" s="85" t="inlineStr">
        <is>
          <t>×</t>
        </is>
      </c>
      <c r="F939" s="85" t="n"/>
      <c r="G939" s="85" t="n"/>
      <c r="H939" s="85" t="n"/>
      <c r="S939">
        <f>IF(8&lt;='設定'!$B$6,"表示","隠す")</f>
        <v/>
      </c>
    </row>
    <row r="940" ht="21" customHeight="1">
      <c r="A940" s="84" t="n"/>
      <c r="B940" s="46">
        <f>'設定'!$I$19</f>
        <v/>
      </c>
      <c r="C940" s="85" t="inlineStr">
        <is>
          <t>×</t>
        </is>
      </c>
      <c r="D940" s="85" t="inlineStr">
        <is>
          <t>×</t>
        </is>
      </c>
      <c r="E940" s="85" t="n"/>
      <c r="F940" s="85" t="n"/>
      <c r="G940" s="85" t="n"/>
      <c r="H940" s="85" t="n"/>
      <c r="S940">
        <f>IF(9&lt;='設定'!$B$6,"表示","隠す")</f>
        <v/>
      </c>
    </row>
    <row r="941" hidden="1" ht="21" customHeight="1">
      <c r="A941" s="84" t="n"/>
      <c r="B941" s="46">
        <f>'設定'!$I$20</f>
        <v/>
      </c>
      <c r="C941" s="85" t="n"/>
      <c r="D941" s="85" t="n"/>
      <c r="E941" s="85" t="n"/>
      <c r="F941" s="85" t="n"/>
      <c r="G941" s="85" t="n"/>
      <c r="H941" s="85" t="n"/>
      <c r="S941">
        <f>IF(10&lt;='設定'!$B$6,"表示","隠す")</f>
        <v/>
      </c>
    </row>
    <row r="942" hidden="1" ht="21" customHeight="1">
      <c r="A942" s="84" t="n"/>
      <c r="B942" s="46">
        <f>'設定'!$I$21</f>
        <v/>
      </c>
      <c r="C942" s="85" t="n"/>
      <c r="D942" s="85" t="n"/>
      <c r="E942" s="85" t="n"/>
      <c r="F942" s="85" t="n"/>
      <c r="G942" s="85" t="n"/>
      <c r="H942" s="85" t="n"/>
      <c r="S942">
        <f>IF(11&lt;='設定'!$B$6,"表示","隠す")</f>
        <v/>
      </c>
    </row>
    <row r="943" hidden="1" ht="21" customHeight="1">
      <c r="A943" s="84" t="n"/>
      <c r="B943" s="46">
        <f>'設定'!$I$22</f>
        <v/>
      </c>
      <c r="C943" s="85" t="n"/>
      <c r="D943" s="85" t="n"/>
      <c r="E943" s="85" t="n"/>
      <c r="F943" s="85" t="n"/>
      <c r="G943" s="85" t="n"/>
      <c r="H943" s="85" t="n"/>
      <c r="S943">
        <f>IF(12&lt;='設定'!$B$6,"表示","隠す")</f>
        <v/>
      </c>
    </row>
    <row r="944" hidden="1" ht="21" customHeight="1">
      <c r="A944" s="84" t="n"/>
      <c r="B944" s="46">
        <f>'設定'!$I$23</f>
        <v/>
      </c>
      <c r="C944" s="85" t="n"/>
      <c r="D944" s="85" t="n"/>
      <c r="E944" s="85" t="n"/>
      <c r="F944" s="85" t="n"/>
      <c r="G944" s="85" t="n"/>
      <c r="H944" s="85" t="n"/>
      <c r="S944">
        <f>IF(13&lt;='設定'!$B$6,"表示","隠す")</f>
        <v/>
      </c>
    </row>
    <row r="945" hidden="1" ht="21" customHeight="1">
      <c r="A945" s="84" t="n"/>
      <c r="B945" s="46">
        <f>'設定'!$I$24</f>
        <v/>
      </c>
      <c r="C945" s="85" t="n"/>
      <c r="D945" s="85" t="n"/>
      <c r="E945" s="85" t="n"/>
      <c r="F945" s="85" t="n"/>
      <c r="G945" s="85" t="n"/>
      <c r="H945" s="85" t="n"/>
      <c r="S945">
        <f>IF(14&lt;='設定'!$B$6,"表示","隠す")</f>
        <v/>
      </c>
    </row>
    <row r="946" hidden="1" ht="21" customHeight="1">
      <c r="A946" s="84" t="n"/>
      <c r="B946" s="46">
        <f>'設定'!$I$25</f>
        <v/>
      </c>
      <c r="C946" s="85" t="n"/>
      <c r="D946" s="85" t="n"/>
      <c r="E946" s="85" t="n"/>
      <c r="F946" s="85" t="n"/>
      <c r="G946" s="85" t="n"/>
      <c r="H946" s="85" t="n"/>
      <c r="S946">
        <f>IF(15&lt;='設定'!$B$6,"表示","隠す")</f>
        <v/>
      </c>
    </row>
    <row r="947" hidden="1" ht="21" customHeight="1">
      <c r="A947" s="84" t="n"/>
      <c r="B947" s="46">
        <f>'設定'!$I$26</f>
        <v/>
      </c>
      <c r="C947" s="85" t="n"/>
      <c r="D947" s="85" t="n"/>
      <c r="E947" s="85" t="n"/>
      <c r="F947" s="85" t="n"/>
      <c r="G947" s="85" t="n"/>
      <c r="H947" s="85" t="n"/>
      <c r="S947">
        <f>IF(16&lt;='設定'!$B$6,"表示","隠す")</f>
        <v/>
      </c>
    </row>
    <row r="948" hidden="1" ht="21" customHeight="1">
      <c r="A948" s="84" t="n"/>
      <c r="B948" s="46">
        <f>'設定'!$I$27</f>
        <v/>
      </c>
      <c r="C948" s="85" t="n"/>
      <c r="D948" s="85" t="n"/>
      <c r="E948" s="85" t="n"/>
      <c r="F948" s="85" t="n"/>
      <c r="G948" s="85" t="n"/>
      <c r="H948" s="85" t="n"/>
      <c r="S948">
        <f>IF(17&lt;='設定'!$B$6,"表示","隠す")</f>
        <v/>
      </c>
    </row>
    <row r="949" hidden="1" ht="21" customHeight="1">
      <c r="A949" s="84" t="n"/>
      <c r="B949" s="46">
        <f>'設定'!$I$28</f>
        <v/>
      </c>
      <c r="C949" s="85" t="n"/>
      <c r="D949" s="85" t="n"/>
      <c r="E949" s="85" t="n"/>
      <c r="F949" s="85" t="n"/>
      <c r="G949" s="85" t="n"/>
      <c r="H949" s="85" t="n"/>
      <c r="S949">
        <f>IF(18&lt;='設定'!$B$6,"表示","隠す")</f>
        <v/>
      </c>
    </row>
    <row r="950" hidden="1" ht="21" customHeight="1">
      <c r="A950" s="84" t="n"/>
      <c r="B950" s="46">
        <f>'設定'!$I$29</f>
        <v/>
      </c>
      <c r="C950" s="85" t="n"/>
      <c r="D950" s="85" t="n"/>
      <c r="E950" s="85" t="n"/>
      <c r="F950" s="85" t="n"/>
      <c r="G950" s="85" t="n"/>
      <c r="H950" s="85" t="n"/>
      <c r="S950">
        <f>IF(19&lt;='設定'!$B$6,"表示","隠す")</f>
        <v/>
      </c>
    </row>
    <row r="951" hidden="1" ht="21" customHeight="1">
      <c r="A951" s="84" t="n"/>
      <c r="B951" s="46">
        <f>'設定'!$I$30</f>
        <v/>
      </c>
      <c r="C951" s="85" t="n"/>
      <c r="D951" s="85" t="n"/>
      <c r="E951" s="85" t="n"/>
      <c r="F951" s="85" t="n"/>
      <c r="G951" s="85" t="n"/>
      <c r="H951" s="85" t="n"/>
      <c r="S951">
        <f>IF(20&lt;='設定'!$B$6,"表示","隠す")</f>
        <v/>
      </c>
    </row>
    <row r="952" hidden="1" ht="21" customHeight="1">
      <c r="A952" s="84" t="n"/>
      <c r="B952" s="46">
        <f>'設定'!$I$31</f>
        <v/>
      </c>
      <c r="C952" s="85" t="n"/>
      <c r="D952" s="85" t="n"/>
      <c r="E952" s="85" t="n"/>
      <c r="F952" s="85" t="n"/>
      <c r="G952" s="85" t="n"/>
      <c r="H952" s="85" t="n"/>
      <c r="S952">
        <f>IF(21&lt;='設定'!$B$6,"表示","隠す")</f>
        <v/>
      </c>
    </row>
    <row r="953" hidden="1" ht="21" customHeight="1">
      <c r="A953" s="84" t="n"/>
      <c r="B953" s="46">
        <f>'設定'!$I$32</f>
        <v/>
      </c>
      <c r="C953" s="85" t="n"/>
      <c r="D953" s="85" t="n"/>
      <c r="E953" s="85" t="n"/>
      <c r="F953" s="85" t="n"/>
      <c r="G953" s="85" t="n"/>
      <c r="H953" s="85" t="n"/>
      <c r="S953">
        <f>IF(22&lt;='設定'!$B$6,"表示","隠す")</f>
        <v/>
      </c>
    </row>
    <row r="954" hidden="1" ht="21" customHeight="1">
      <c r="A954" s="84" t="n"/>
      <c r="B954" s="46">
        <f>'設定'!$I$33</f>
        <v/>
      </c>
      <c r="C954" s="85" t="n"/>
      <c r="D954" s="85" t="n"/>
      <c r="E954" s="85" t="n"/>
      <c r="F954" s="85" t="n"/>
      <c r="G954" s="85" t="n"/>
      <c r="H954" s="85" t="n"/>
      <c r="S954">
        <f>IF(23&lt;='設定'!$B$6,"表示","隠す")</f>
        <v/>
      </c>
    </row>
    <row r="955" hidden="1" ht="21" customHeight="1">
      <c r="A955" s="84" t="n"/>
      <c r="B955" s="46">
        <f>'設定'!$I$34</f>
        <v/>
      </c>
      <c r="C955" s="85" t="n"/>
      <c r="D955" s="85" t="n"/>
      <c r="E955" s="85" t="n"/>
      <c r="F955" s="85" t="n"/>
      <c r="G955" s="85" t="n"/>
      <c r="H955" s="85" t="n"/>
      <c r="S955">
        <f>IF(24&lt;='設定'!$B$6,"表示","隠す")</f>
        <v/>
      </c>
    </row>
    <row r="956">
      <c r="S956" t="inlineStr">
        <is>
          <t>表示</t>
        </is>
      </c>
    </row>
    <row r="957" ht="26" customHeight="1">
      <c r="B957" s="78">
        <f>IF('名簿'!B39="","（名簿 35行目：なし）",'名簿'!P39)</f>
        <v/>
      </c>
      <c r="C957" s="5" t="n"/>
      <c r="D957" s="5" t="n"/>
      <c r="E957" s="79" t="inlineStr">
        <is>
          <t>提出状況 ▶</t>
        </is>
      </c>
      <c r="F957" s="42" t="n"/>
      <c r="G957" s="33" t="n"/>
      <c r="H957" s="80" t="inlineStr">
        <is>
          <t>状況：</t>
        </is>
      </c>
      <c r="I957" s="81">
        <f>'名簿'!Q39</f>
        <v/>
      </c>
      <c r="J957" s="80" t="inlineStr">
        <is>
          <t>×の数：</t>
        </is>
      </c>
      <c r="K957" s="82">
        <f>'名簿'!R39</f>
        <v/>
      </c>
      <c r="L957" s="83">
        <f>HYPERLINK("#'×入力'!B985","次の人へ ▼")</f>
        <v/>
      </c>
      <c r="S957" t="inlineStr">
        <is>
          <t>表示</t>
        </is>
      </c>
    </row>
    <row r="958" ht="22" customHeight="1">
      <c r="A958" s="34" t="inlineStr">
        <is>
          <t>この日全部 ▶</t>
        </is>
      </c>
      <c r="C958" s="84" t="n"/>
      <c r="D958" s="84" t="n"/>
      <c r="E958" s="84" t="n"/>
      <c r="F958" s="84" t="n"/>
      <c r="G958" s="84" t="n"/>
      <c r="H958" s="84" t="n"/>
      <c r="S958" t="inlineStr">
        <is>
          <t>表示</t>
        </is>
      </c>
    </row>
    <row r="959" ht="28" customHeight="1">
      <c r="A959" s="37" t="inlineStr">
        <is>
          <t>この時間
全部 ▼</t>
        </is>
      </c>
      <c r="B959" s="38" t="inlineStr"/>
      <c r="C959" s="39">
        <f>'設定'!$E$11</f>
        <v/>
      </c>
      <c r="D959" s="39">
        <f>'設定'!$E$12</f>
        <v/>
      </c>
      <c r="E959" s="39">
        <f>'設定'!$E$13</f>
        <v/>
      </c>
      <c r="F959" s="39">
        <f>'設定'!$E$14</f>
        <v/>
      </c>
      <c r="G959" s="39">
        <f>'設定'!$E$15</f>
        <v/>
      </c>
      <c r="H959" s="39">
        <f>'設定'!$E$16</f>
        <v/>
      </c>
      <c r="S959" t="inlineStr">
        <is>
          <t>表示</t>
        </is>
      </c>
    </row>
    <row r="960" ht="21" customHeight="1">
      <c r="A960" s="84" t="n"/>
      <c r="B960" s="46">
        <f>'設定'!$I$11</f>
        <v/>
      </c>
      <c r="C960" s="85" t="n"/>
      <c r="D960" s="85" t="n"/>
      <c r="E960" s="85" t="n"/>
      <c r="F960" s="85" t="n"/>
      <c r="G960" s="85" t="n"/>
      <c r="H960" s="85" t="n"/>
      <c r="S960">
        <f>IF(1&lt;='設定'!$B$6,"表示","隠す")</f>
        <v/>
      </c>
    </row>
    <row r="961" ht="21" customHeight="1">
      <c r="A961" s="84" t="n"/>
      <c r="B961" s="46">
        <f>'設定'!$I$12</f>
        <v/>
      </c>
      <c r="C961" s="85" t="n"/>
      <c r="D961" s="85" t="n"/>
      <c r="E961" s="85" t="n"/>
      <c r="F961" s="85" t="n"/>
      <c r="G961" s="85" t="n"/>
      <c r="H961" s="85" t="n"/>
      <c r="S961">
        <f>IF(2&lt;='設定'!$B$6,"表示","隠す")</f>
        <v/>
      </c>
    </row>
    <row r="962" ht="21" customHeight="1">
      <c r="A962" s="84" t="n"/>
      <c r="B962" s="46">
        <f>'設定'!$I$13</f>
        <v/>
      </c>
      <c r="C962" s="85" t="n"/>
      <c r="D962" s="85" t="n"/>
      <c r="E962" s="85" t="n"/>
      <c r="F962" s="85" t="n"/>
      <c r="G962" s="85" t="n"/>
      <c r="H962" s="85" t="n"/>
      <c r="S962">
        <f>IF(3&lt;='設定'!$B$6,"表示","隠す")</f>
        <v/>
      </c>
    </row>
    <row r="963" ht="21" customHeight="1">
      <c r="A963" s="84" t="n"/>
      <c r="B963" s="46">
        <f>'設定'!$I$14</f>
        <v/>
      </c>
      <c r="C963" s="85" t="n"/>
      <c r="D963" s="85" t="n"/>
      <c r="E963" s="85" t="n"/>
      <c r="F963" s="85" t="n"/>
      <c r="G963" s="85" t="n"/>
      <c r="H963" s="85" t="n"/>
      <c r="S963">
        <f>IF(4&lt;='設定'!$B$6,"表示","隠す")</f>
        <v/>
      </c>
    </row>
    <row r="964" ht="21" customHeight="1">
      <c r="A964" s="84" t="n"/>
      <c r="B964" s="46">
        <f>'設定'!$I$15</f>
        <v/>
      </c>
      <c r="C964" s="85" t="n"/>
      <c r="D964" s="85" t="n"/>
      <c r="E964" s="85" t="n"/>
      <c r="F964" s="85" t="n"/>
      <c r="G964" s="85" t="n"/>
      <c r="H964" s="85" t="n"/>
      <c r="S964">
        <f>IF(5&lt;='設定'!$B$6,"表示","隠す")</f>
        <v/>
      </c>
    </row>
    <row r="965" ht="21" customHeight="1">
      <c r="A965" s="84" t="n"/>
      <c r="B965" s="46">
        <f>'設定'!$I$16</f>
        <v/>
      </c>
      <c r="C965" s="85" t="n"/>
      <c r="D965" s="85" t="n"/>
      <c r="E965" s="85" t="n"/>
      <c r="F965" s="85" t="n"/>
      <c r="G965" s="85" t="n"/>
      <c r="H965" s="85" t="n"/>
      <c r="S965">
        <f>IF(6&lt;='設定'!$B$6,"表示","隠す")</f>
        <v/>
      </c>
    </row>
    <row r="966" ht="21" customHeight="1">
      <c r="A966" s="84" t="n"/>
      <c r="B966" s="46">
        <f>'設定'!$I$17</f>
        <v/>
      </c>
      <c r="C966" s="85" t="n"/>
      <c r="D966" s="85" t="n"/>
      <c r="E966" s="85" t="n"/>
      <c r="F966" s="85" t="n"/>
      <c r="G966" s="85" t="n"/>
      <c r="H966" s="85" t="n"/>
      <c r="S966">
        <f>IF(7&lt;='設定'!$B$6,"表示","隠す")</f>
        <v/>
      </c>
    </row>
    <row r="967" ht="21" customHeight="1">
      <c r="A967" s="84" t="n"/>
      <c r="B967" s="46">
        <f>'設定'!$I$18</f>
        <v/>
      </c>
      <c r="C967" s="85" t="n"/>
      <c r="D967" s="85" t="n"/>
      <c r="E967" s="85" t="n"/>
      <c r="F967" s="85" t="n"/>
      <c r="G967" s="85" t="n"/>
      <c r="H967" s="85" t="n"/>
      <c r="S967">
        <f>IF(8&lt;='設定'!$B$6,"表示","隠す")</f>
        <v/>
      </c>
    </row>
    <row r="968" ht="21" customHeight="1">
      <c r="A968" s="84" t="n"/>
      <c r="B968" s="46">
        <f>'設定'!$I$19</f>
        <v/>
      </c>
      <c r="C968" s="85" t="n"/>
      <c r="D968" s="85" t="n"/>
      <c r="E968" s="85" t="n"/>
      <c r="F968" s="85" t="n"/>
      <c r="G968" s="85" t="n"/>
      <c r="H968" s="85" t="n"/>
      <c r="S968">
        <f>IF(9&lt;='設定'!$B$6,"表示","隠す")</f>
        <v/>
      </c>
    </row>
    <row r="969" hidden="1" ht="21" customHeight="1">
      <c r="A969" s="84" t="n"/>
      <c r="B969" s="46">
        <f>'設定'!$I$20</f>
        <v/>
      </c>
      <c r="C969" s="85" t="n"/>
      <c r="D969" s="85" t="n"/>
      <c r="E969" s="85" t="n"/>
      <c r="F969" s="85" t="n"/>
      <c r="G969" s="85" t="n"/>
      <c r="H969" s="85" t="n"/>
      <c r="S969">
        <f>IF(10&lt;='設定'!$B$6,"表示","隠す")</f>
        <v/>
      </c>
    </row>
    <row r="970" hidden="1" ht="21" customHeight="1">
      <c r="A970" s="84" t="n"/>
      <c r="B970" s="46">
        <f>'設定'!$I$21</f>
        <v/>
      </c>
      <c r="C970" s="85" t="n"/>
      <c r="D970" s="85" t="n"/>
      <c r="E970" s="85" t="n"/>
      <c r="F970" s="85" t="n"/>
      <c r="G970" s="85" t="n"/>
      <c r="H970" s="85" t="n"/>
      <c r="S970">
        <f>IF(11&lt;='設定'!$B$6,"表示","隠す")</f>
        <v/>
      </c>
    </row>
    <row r="971" hidden="1" ht="21" customHeight="1">
      <c r="A971" s="84" t="n"/>
      <c r="B971" s="46">
        <f>'設定'!$I$22</f>
        <v/>
      </c>
      <c r="C971" s="85" t="n"/>
      <c r="D971" s="85" t="n"/>
      <c r="E971" s="85" t="n"/>
      <c r="F971" s="85" t="n"/>
      <c r="G971" s="85" t="n"/>
      <c r="H971" s="85" t="n"/>
      <c r="S971">
        <f>IF(12&lt;='設定'!$B$6,"表示","隠す")</f>
        <v/>
      </c>
    </row>
    <row r="972" hidden="1" ht="21" customHeight="1">
      <c r="A972" s="84" t="n"/>
      <c r="B972" s="46">
        <f>'設定'!$I$23</f>
        <v/>
      </c>
      <c r="C972" s="85" t="n"/>
      <c r="D972" s="85" t="n"/>
      <c r="E972" s="85" t="n"/>
      <c r="F972" s="85" t="n"/>
      <c r="G972" s="85" t="n"/>
      <c r="H972" s="85" t="n"/>
      <c r="S972">
        <f>IF(13&lt;='設定'!$B$6,"表示","隠す")</f>
        <v/>
      </c>
    </row>
    <row r="973" hidden="1" ht="21" customHeight="1">
      <c r="A973" s="84" t="n"/>
      <c r="B973" s="46">
        <f>'設定'!$I$24</f>
        <v/>
      </c>
      <c r="C973" s="85" t="n"/>
      <c r="D973" s="85" t="n"/>
      <c r="E973" s="85" t="n"/>
      <c r="F973" s="85" t="n"/>
      <c r="G973" s="85" t="n"/>
      <c r="H973" s="85" t="n"/>
      <c r="S973">
        <f>IF(14&lt;='設定'!$B$6,"表示","隠す")</f>
        <v/>
      </c>
    </row>
    <row r="974" hidden="1" ht="21" customHeight="1">
      <c r="A974" s="84" t="n"/>
      <c r="B974" s="46">
        <f>'設定'!$I$25</f>
        <v/>
      </c>
      <c r="C974" s="85" t="n"/>
      <c r="D974" s="85" t="n"/>
      <c r="E974" s="85" t="n"/>
      <c r="F974" s="85" t="n"/>
      <c r="G974" s="85" t="n"/>
      <c r="H974" s="85" t="n"/>
      <c r="S974">
        <f>IF(15&lt;='設定'!$B$6,"表示","隠す")</f>
        <v/>
      </c>
    </row>
    <row r="975" hidden="1" ht="21" customHeight="1">
      <c r="A975" s="84" t="n"/>
      <c r="B975" s="46">
        <f>'設定'!$I$26</f>
        <v/>
      </c>
      <c r="C975" s="85" t="n"/>
      <c r="D975" s="85" t="n"/>
      <c r="E975" s="85" t="n"/>
      <c r="F975" s="85" t="n"/>
      <c r="G975" s="85" t="n"/>
      <c r="H975" s="85" t="n"/>
      <c r="S975">
        <f>IF(16&lt;='設定'!$B$6,"表示","隠す")</f>
        <v/>
      </c>
    </row>
    <row r="976" hidden="1" ht="21" customHeight="1">
      <c r="A976" s="84" t="n"/>
      <c r="B976" s="46">
        <f>'設定'!$I$27</f>
        <v/>
      </c>
      <c r="C976" s="85" t="n"/>
      <c r="D976" s="85" t="n"/>
      <c r="E976" s="85" t="n"/>
      <c r="F976" s="85" t="n"/>
      <c r="G976" s="85" t="n"/>
      <c r="H976" s="85" t="n"/>
      <c r="S976">
        <f>IF(17&lt;='設定'!$B$6,"表示","隠す")</f>
        <v/>
      </c>
    </row>
    <row r="977" hidden="1" ht="21" customHeight="1">
      <c r="A977" s="84" t="n"/>
      <c r="B977" s="46">
        <f>'設定'!$I$28</f>
        <v/>
      </c>
      <c r="C977" s="85" t="n"/>
      <c r="D977" s="85" t="n"/>
      <c r="E977" s="85" t="n"/>
      <c r="F977" s="85" t="n"/>
      <c r="G977" s="85" t="n"/>
      <c r="H977" s="85" t="n"/>
      <c r="S977">
        <f>IF(18&lt;='設定'!$B$6,"表示","隠す")</f>
        <v/>
      </c>
    </row>
    <row r="978" hidden="1" ht="21" customHeight="1">
      <c r="A978" s="84" t="n"/>
      <c r="B978" s="46">
        <f>'設定'!$I$29</f>
        <v/>
      </c>
      <c r="C978" s="85" t="n"/>
      <c r="D978" s="85" t="n"/>
      <c r="E978" s="85" t="n"/>
      <c r="F978" s="85" t="n"/>
      <c r="G978" s="85" t="n"/>
      <c r="H978" s="85" t="n"/>
      <c r="S978">
        <f>IF(19&lt;='設定'!$B$6,"表示","隠す")</f>
        <v/>
      </c>
    </row>
    <row r="979" hidden="1" ht="21" customHeight="1">
      <c r="A979" s="84" t="n"/>
      <c r="B979" s="46">
        <f>'設定'!$I$30</f>
        <v/>
      </c>
      <c r="C979" s="85" t="n"/>
      <c r="D979" s="85" t="n"/>
      <c r="E979" s="85" t="n"/>
      <c r="F979" s="85" t="n"/>
      <c r="G979" s="85" t="n"/>
      <c r="H979" s="85" t="n"/>
      <c r="S979">
        <f>IF(20&lt;='設定'!$B$6,"表示","隠す")</f>
        <v/>
      </c>
    </row>
    <row r="980" hidden="1" ht="21" customHeight="1">
      <c r="A980" s="84" t="n"/>
      <c r="B980" s="46">
        <f>'設定'!$I$31</f>
        <v/>
      </c>
      <c r="C980" s="85" t="n"/>
      <c r="D980" s="85" t="n"/>
      <c r="E980" s="85" t="n"/>
      <c r="F980" s="85" t="n"/>
      <c r="G980" s="85" t="n"/>
      <c r="H980" s="85" t="n"/>
      <c r="S980">
        <f>IF(21&lt;='設定'!$B$6,"表示","隠す")</f>
        <v/>
      </c>
    </row>
    <row r="981" hidden="1" ht="21" customHeight="1">
      <c r="A981" s="84" t="n"/>
      <c r="B981" s="46">
        <f>'設定'!$I$32</f>
        <v/>
      </c>
      <c r="C981" s="85" t="n"/>
      <c r="D981" s="85" t="n"/>
      <c r="E981" s="85" t="n"/>
      <c r="F981" s="85" t="n"/>
      <c r="G981" s="85" t="n"/>
      <c r="H981" s="85" t="n"/>
      <c r="S981">
        <f>IF(22&lt;='設定'!$B$6,"表示","隠す")</f>
        <v/>
      </c>
    </row>
    <row r="982" hidden="1" ht="21" customHeight="1">
      <c r="A982" s="84" t="n"/>
      <c r="B982" s="46">
        <f>'設定'!$I$33</f>
        <v/>
      </c>
      <c r="C982" s="85" t="n"/>
      <c r="D982" s="85" t="n"/>
      <c r="E982" s="85" t="n"/>
      <c r="F982" s="85" t="n"/>
      <c r="G982" s="85" t="n"/>
      <c r="H982" s="85" t="n"/>
      <c r="S982">
        <f>IF(23&lt;='設定'!$B$6,"表示","隠す")</f>
        <v/>
      </c>
    </row>
    <row r="983" hidden="1" ht="21" customHeight="1">
      <c r="A983" s="84" t="n"/>
      <c r="B983" s="46">
        <f>'設定'!$I$34</f>
        <v/>
      </c>
      <c r="C983" s="85" t="n"/>
      <c r="D983" s="85" t="n"/>
      <c r="E983" s="85" t="n"/>
      <c r="F983" s="85" t="n"/>
      <c r="G983" s="85" t="n"/>
      <c r="H983" s="85" t="n"/>
      <c r="S983">
        <f>IF(24&lt;='設定'!$B$6,"表示","隠す")</f>
        <v/>
      </c>
    </row>
    <row r="984">
      <c r="S984" t="inlineStr">
        <is>
          <t>表示</t>
        </is>
      </c>
    </row>
    <row r="985" ht="26" customHeight="1">
      <c r="B985" s="78">
        <f>IF('名簿'!B40="","（名簿 36行目：なし）",'名簿'!P40)</f>
        <v/>
      </c>
      <c r="C985" s="5" t="n"/>
      <c r="D985" s="5" t="n"/>
      <c r="E985" s="79" t="inlineStr">
        <is>
          <t>提出状況 ▶</t>
        </is>
      </c>
      <c r="F985" s="42" t="n"/>
      <c r="G985" s="33" t="n"/>
      <c r="H985" s="80" t="inlineStr">
        <is>
          <t>状況：</t>
        </is>
      </c>
      <c r="I985" s="81">
        <f>'名簿'!Q40</f>
        <v/>
      </c>
      <c r="J985" s="80" t="inlineStr">
        <is>
          <t>×の数：</t>
        </is>
      </c>
      <c r="K985" s="82">
        <f>'名簿'!R40</f>
        <v/>
      </c>
      <c r="L985" s="83">
        <f>HYPERLINK("#'×入力'!B1013","次の人へ ▼")</f>
        <v/>
      </c>
      <c r="S985" t="inlineStr">
        <is>
          <t>表示</t>
        </is>
      </c>
    </row>
    <row r="986" ht="22" customHeight="1">
      <c r="A986" s="34" t="inlineStr">
        <is>
          <t>この日全部 ▶</t>
        </is>
      </c>
      <c r="C986" s="84" t="n"/>
      <c r="D986" s="84" t="n"/>
      <c r="E986" s="84" t="n"/>
      <c r="F986" s="84" t="n"/>
      <c r="G986" s="84" t="n"/>
      <c r="H986" s="84" t="n"/>
      <c r="S986" t="inlineStr">
        <is>
          <t>表示</t>
        </is>
      </c>
    </row>
    <row r="987" ht="28" customHeight="1">
      <c r="A987" s="37" t="inlineStr">
        <is>
          <t>この時間
全部 ▼</t>
        </is>
      </c>
      <c r="B987" s="38" t="inlineStr"/>
      <c r="C987" s="39">
        <f>'設定'!$E$11</f>
        <v/>
      </c>
      <c r="D987" s="39">
        <f>'設定'!$E$12</f>
        <v/>
      </c>
      <c r="E987" s="39">
        <f>'設定'!$E$13</f>
        <v/>
      </c>
      <c r="F987" s="39">
        <f>'設定'!$E$14</f>
        <v/>
      </c>
      <c r="G987" s="39">
        <f>'設定'!$E$15</f>
        <v/>
      </c>
      <c r="H987" s="39">
        <f>'設定'!$E$16</f>
        <v/>
      </c>
      <c r="S987" t="inlineStr">
        <is>
          <t>表示</t>
        </is>
      </c>
    </row>
    <row r="988" ht="21" customHeight="1">
      <c r="A988" s="84" t="n"/>
      <c r="B988" s="46">
        <f>'設定'!$I$11</f>
        <v/>
      </c>
      <c r="C988" s="85" t="n"/>
      <c r="D988" s="85" t="n"/>
      <c r="E988" s="85" t="n"/>
      <c r="F988" s="85" t="n"/>
      <c r="G988" s="85" t="n"/>
      <c r="H988" s="85" t="n"/>
      <c r="S988">
        <f>IF(1&lt;='設定'!$B$6,"表示","隠す")</f>
        <v/>
      </c>
    </row>
    <row r="989" ht="21" customHeight="1">
      <c r="A989" s="84" t="n"/>
      <c r="B989" s="46">
        <f>'設定'!$I$12</f>
        <v/>
      </c>
      <c r="C989" s="85" t="n"/>
      <c r="D989" s="85" t="n"/>
      <c r="E989" s="85" t="n"/>
      <c r="F989" s="85" t="n"/>
      <c r="G989" s="85" t="n"/>
      <c r="H989" s="85" t="n"/>
      <c r="S989">
        <f>IF(2&lt;='設定'!$B$6,"表示","隠す")</f>
        <v/>
      </c>
    </row>
    <row r="990" ht="21" customHeight="1">
      <c r="A990" s="84" t="n"/>
      <c r="B990" s="46">
        <f>'設定'!$I$13</f>
        <v/>
      </c>
      <c r="C990" s="85" t="n"/>
      <c r="D990" s="85" t="n"/>
      <c r="E990" s="85" t="n"/>
      <c r="F990" s="85" t="n"/>
      <c r="G990" s="85" t="n"/>
      <c r="H990" s="85" t="n"/>
      <c r="S990">
        <f>IF(3&lt;='設定'!$B$6,"表示","隠す")</f>
        <v/>
      </c>
    </row>
    <row r="991" ht="21" customHeight="1">
      <c r="A991" s="84" t="n"/>
      <c r="B991" s="46">
        <f>'設定'!$I$14</f>
        <v/>
      </c>
      <c r="C991" s="85" t="n"/>
      <c r="D991" s="85" t="n"/>
      <c r="E991" s="85" t="n"/>
      <c r="F991" s="85" t="n"/>
      <c r="G991" s="85" t="n"/>
      <c r="H991" s="85" t="n"/>
      <c r="S991">
        <f>IF(4&lt;='設定'!$B$6,"表示","隠す")</f>
        <v/>
      </c>
    </row>
    <row r="992" ht="21" customHeight="1">
      <c r="A992" s="84" t="n"/>
      <c r="B992" s="46">
        <f>'設定'!$I$15</f>
        <v/>
      </c>
      <c r="C992" s="85" t="n"/>
      <c r="D992" s="85" t="n"/>
      <c r="E992" s="85" t="n"/>
      <c r="F992" s="85" t="n"/>
      <c r="G992" s="85" t="n"/>
      <c r="H992" s="85" t="n"/>
      <c r="S992">
        <f>IF(5&lt;='設定'!$B$6,"表示","隠す")</f>
        <v/>
      </c>
    </row>
    <row r="993" ht="21" customHeight="1">
      <c r="A993" s="84" t="n"/>
      <c r="B993" s="46">
        <f>'設定'!$I$16</f>
        <v/>
      </c>
      <c r="C993" s="85" t="n"/>
      <c r="D993" s="85" t="n"/>
      <c r="E993" s="85" t="n"/>
      <c r="F993" s="85" t="n"/>
      <c r="G993" s="85" t="n"/>
      <c r="H993" s="85" t="n"/>
      <c r="S993">
        <f>IF(6&lt;='設定'!$B$6,"表示","隠す")</f>
        <v/>
      </c>
    </row>
    <row r="994" ht="21" customHeight="1">
      <c r="A994" s="84" t="n"/>
      <c r="B994" s="46">
        <f>'設定'!$I$17</f>
        <v/>
      </c>
      <c r="C994" s="85" t="n"/>
      <c r="D994" s="85" t="n"/>
      <c r="E994" s="85" t="n"/>
      <c r="F994" s="85" t="n"/>
      <c r="G994" s="85" t="n"/>
      <c r="H994" s="85" t="n"/>
      <c r="S994">
        <f>IF(7&lt;='設定'!$B$6,"表示","隠す")</f>
        <v/>
      </c>
    </row>
    <row r="995" ht="21" customHeight="1">
      <c r="A995" s="84" t="n"/>
      <c r="B995" s="46">
        <f>'設定'!$I$18</f>
        <v/>
      </c>
      <c r="C995" s="85" t="n"/>
      <c r="D995" s="85" t="n"/>
      <c r="E995" s="85" t="n"/>
      <c r="F995" s="85" t="n"/>
      <c r="G995" s="85" t="n"/>
      <c r="H995" s="85" t="n"/>
      <c r="S995">
        <f>IF(8&lt;='設定'!$B$6,"表示","隠す")</f>
        <v/>
      </c>
    </row>
    <row r="996" ht="21" customHeight="1">
      <c r="A996" s="84" t="n"/>
      <c r="B996" s="46">
        <f>'設定'!$I$19</f>
        <v/>
      </c>
      <c r="C996" s="85" t="n"/>
      <c r="D996" s="85" t="n"/>
      <c r="E996" s="85" t="n"/>
      <c r="F996" s="85" t="n"/>
      <c r="G996" s="85" t="n"/>
      <c r="H996" s="85" t="n"/>
      <c r="S996">
        <f>IF(9&lt;='設定'!$B$6,"表示","隠す")</f>
        <v/>
      </c>
    </row>
    <row r="997" hidden="1" ht="21" customHeight="1">
      <c r="A997" s="84" t="n"/>
      <c r="B997" s="46">
        <f>'設定'!$I$20</f>
        <v/>
      </c>
      <c r="C997" s="85" t="n"/>
      <c r="D997" s="85" t="n"/>
      <c r="E997" s="85" t="n"/>
      <c r="F997" s="85" t="n"/>
      <c r="G997" s="85" t="n"/>
      <c r="H997" s="85" t="n"/>
      <c r="S997">
        <f>IF(10&lt;='設定'!$B$6,"表示","隠す")</f>
        <v/>
      </c>
    </row>
    <row r="998" hidden="1" ht="21" customHeight="1">
      <c r="A998" s="84" t="n"/>
      <c r="B998" s="46">
        <f>'設定'!$I$21</f>
        <v/>
      </c>
      <c r="C998" s="85" t="n"/>
      <c r="D998" s="85" t="n"/>
      <c r="E998" s="85" t="n"/>
      <c r="F998" s="85" t="n"/>
      <c r="G998" s="85" t="n"/>
      <c r="H998" s="85" t="n"/>
      <c r="S998">
        <f>IF(11&lt;='設定'!$B$6,"表示","隠す")</f>
        <v/>
      </c>
    </row>
    <row r="999" hidden="1" ht="21" customHeight="1">
      <c r="A999" s="84" t="n"/>
      <c r="B999" s="46">
        <f>'設定'!$I$22</f>
        <v/>
      </c>
      <c r="C999" s="85" t="n"/>
      <c r="D999" s="85" t="n"/>
      <c r="E999" s="85" t="n"/>
      <c r="F999" s="85" t="n"/>
      <c r="G999" s="85" t="n"/>
      <c r="H999" s="85" t="n"/>
      <c r="S999">
        <f>IF(12&lt;='設定'!$B$6,"表示","隠す")</f>
        <v/>
      </c>
    </row>
    <row r="1000" hidden="1" ht="21" customHeight="1">
      <c r="A1000" s="84" t="n"/>
      <c r="B1000" s="46">
        <f>'設定'!$I$23</f>
        <v/>
      </c>
      <c r="C1000" s="85" t="n"/>
      <c r="D1000" s="85" t="n"/>
      <c r="E1000" s="85" t="n"/>
      <c r="F1000" s="85" t="n"/>
      <c r="G1000" s="85" t="n"/>
      <c r="H1000" s="85" t="n"/>
      <c r="S1000">
        <f>IF(13&lt;='設定'!$B$6,"表示","隠す")</f>
        <v/>
      </c>
    </row>
    <row r="1001" hidden="1" ht="21" customHeight="1">
      <c r="A1001" s="84" t="n"/>
      <c r="B1001" s="46">
        <f>'設定'!$I$24</f>
        <v/>
      </c>
      <c r="C1001" s="85" t="n"/>
      <c r="D1001" s="85" t="n"/>
      <c r="E1001" s="85" t="n"/>
      <c r="F1001" s="85" t="n"/>
      <c r="G1001" s="85" t="n"/>
      <c r="H1001" s="85" t="n"/>
      <c r="S1001">
        <f>IF(14&lt;='設定'!$B$6,"表示","隠す")</f>
        <v/>
      </c>
    </row>
    <row r="1002" hidden="1" ht="21" customHeight="1">
      <c r="A1002" s="84" t="n"/>
      <c r="B1002" s="46">
        <f>'設定'!$I$25</f>
        <v/>
      </c>
      <c r="C1002" s="85" t="n"/>
      <c r="D1002" s="85" t="n"/>
      <c r="E1002" s="85" t="n"/>
      <c r="F1002" s="85" t="n"/>
      <c r="G1002" s="85" t="n"/>
      <c r="H1002" s="85" t="n"/>
      <c r="S1002">
        <f>IF(15&lt;='設定'!$B$6,"表示","隠す")</f>
        <v/>
      </c>
    </row>
    <row r="1003" hidden="1" ht="21" customHeight="1">
      <c r="A1003" s="84" t="n"/>
      <c r="B1003" s="46">
        <f>'設定'!$I$26</f>
        <v/>
      </c>
      <c r="C1003" s="85" t="n"/>
      <c r="D1003" s="85" t="n"/>
      <c r="E1003" s="85" t="n"/>
      <c r="F1003" s="85" t="n"/>
      <c r="G1003" s="85" t="n"/>
      <c r="H1003" s="85" t="n"/>
      <c r="S1003">
        <f>IF(16&lt;='設定'!$B$6,"表示","隠す")</f>
        <v/>
      </c>
    </row>
    <row r="1004" hidden="1" ht="21" customHeight="1">
      <c r="A1004" s="84" t="n"/>
      <c r="B1004" s="46">
        <f>'設定'!$I$27</f>
        <v/>
      </c>
      <c r="C1004" s="85" t="n"/>
      <c r="D1004" s="85" t="n"/>
      <c r="E1004" s="85" t="n"/>
      <c r="F1004" s="85" t="n"/>
      <c r="G1004" s="85" t="n"/>
      <c r="H1004" s="85" t="n"/>
      <c r="S1004">
        <f>IF(17&lt;='設定'!$B$6,"表示","隠す")</f>
        <v/>
      </c>
    </row>
    <row r="1005" hidden="1" ht="21" customHeight="1">
      <c r="A1005" s="84" t="n"/>
      <c r="B1005" s="46">
        <f>'設定'!$I$28</f>
        <v/>
      </c>
      <c r="C1005" s="85" t="n"/>
      <c r="D1005" s="85" t="n"/>
      <c r="E1005" s="85" t="n"/>
      <c r="F1005" s="85" t="n"/>
      <c r="G1005" s="85" t="n"/>
      <c r="H1005" s="85" t="n"/>
      <c r="S1005">
        <f>IF(18&lt;='設定'!$B$6,"表示","隠す")</f>
        <v/>
      </c>
    </row>
    <row r="1006" hidden="1" ht="21" customHeight="1">
      <c r="A1006" s="84" t="n"/>
      <c r="B1006" s="46">
        <f>'設定'!$I$29</f>
        <v/>
      </c>
      <c r="C1006" s="85" t="n"/>
      <c r="D1006" s="85" t="n"/>
      <c r="E1006" s="85" t="n"/>
      <c r="F1006" s="85" t="n"/>
      <c r="G1006" s="85" t="n"/>
      <c r="H1006" s="85" t="n"/>
      <c r="S1006">
        <f>IF(19&lt;='設定'!$B$6,"表示","隠す")</f>
        <v/>
      </c>
    </row>
    <row r="1007" hidden="1" ht="21" customHeight="1">
      <c r="A1007" s="84" t="n"/>
      <c r="B1007" s="46">
        <f>'設定'!$I$30</f>
        <v/>
      </c>
      <c r="C1007" s="85" t="n"/>
      <c r="D1007" s="85" t="n"/>
      <c r="E1007" s="85" t="n"/>
      <c r="F1007" s="85" t="n"/>
      <c r="G1007" s="85" t="n"/>
      <c r="H1007" s="85" t="n"/>
      <c r="S1007">
        <f>IF(20&lt;='設定'!$B$6,"表示","隠す")</f>
        <v/>
      </c>
    </row>
    <row r="1008" hidden="1" ht="21" customHeight="1">
      <c r="A1008" s="84" t="n"/>
      <c r="B1008" s="46">
        <f>'設定'!$I$31</f>
        <v/>
      </c>
      <c r="C1008" s="85" t="n"/>
      <c r="D1008" s="85" t="n"/>
      <c r="E1008" s="85" t="n"/>
      <c r="F1008" s="85" t="n"/>
      <c r="G1008" s="85" t="n"/>
      <c r="H1008" s="85" t="n"/>
      <c r="S1008">
        <f>IF(21&lt;='設定'!$B$6,"表示","隠す")</f>
        <v/>
      </c>
    </row>
    <row r="1009" hidden="1" ht="21" customHeight="1">
      <c r="A1009" s="84" t="n"/>
      <c r="B1009" s="46">
        <f>'設定'!$I$32</f>
        <v/>
      </c>
      <c r="C1009" s="85" t="n"/>
      <c r="D1009" s="85" t="n"/>
      <c r="E1009" s="85" t="n"/>
      <c r="F1009" s="85" t="n"/>
      <c r="G1009" s="85" t="n"/>
      <c r="H1009" s="85" t="n"/>
      <c r="S1009">
        <f>IF(22&lt;='設定'!$B$6,"表示","隠す")</f>
        <v/>
      </c>
    </row>
    <row r="1010" hidden="1" ht="21" customHeight="1">
      <c r="A1010" s="84" t="n"/>
      <c r="B1010" s="46">
        <f>'設定'!$I$33</f>
        <v/>
      </c>
      <c r="C1010" s="85" t="n"/>
      <c r="D1010" s="85" t="n"/>
      <c r="E1010" s="85" t="n"/>
      <c r="F1010" s="85" t="n"/>
      <c r="G1010" s="85" t="n"/>
      <c r="H1010" s="85" t="n"/>
      <c r="S1010">
        <f>IF(23&lt;='設定'!$B$6,"表示","隠す")</f>
        <v/>
      </c>
    </row>
    <row r="1011" hidden="1" ht="21" customHeight="1">
      <c r="A1011" s="84" t="n"/>
      <c r="B1011" s="46">
        <f>'設定'!$I$34</f>
        <v/>
      </c>
      <c r="C1011" s="85" t="n"/>
      <c r="D1011" s="85" t="n"/>
      <c r="E1011" s="85" t="n"/>
      <c r="F1011" s="85" t="n"/>
      <c r="G1011" s="85" t="n"/>
      <c r="H1011" s="85" t="n"/>
      <c r="S1011">
        <f>IF(24&lt;='設定'!$B$6,"表示","隠す")</f>
        <v/>
      </c>
    </row>
    <row r="1012">
      <c r="S1012" t="inlineStr">
        <is>
          <t>表示</t>
        </is>
      </c>
    </row>
    <row r="1013" ht="26" customHeight="1">
      <c r="B1013" s="78">
        <f>IF('名簿'!B41="","（名簿 37行目：なし）",'名簿'!P41)</f>
        <v/>
      </c>
      <c r="C1013" s="5" t="n"/>
      <c r="D1013" s="5" t="n"/>
      <c r="E1013" s="79" t="inlineStr">
        <is>
          <t>提出状況 ▶</t>
        </is>
      </c>
      <c r="F1013" s="42" t="n"/>
      <c r="G1013" s="33" t="n"/>
      <c r="H1013" s="80" t="inlineStr">
        <is>
          <t>状況：</t>
        </is>
      </c>
      <c r="I1013" s="81">
        <f>'名簿'!Q41</f>
        <v/>
      </c>
      <c r="J1013" s="80" t="inlineStr">
        <is>
          <t>×の数：</t>
        </is>
      </c>
      <c r="K1013" s="82">
        <f>'名簿'!R41</f>
        <v/>
      </c>
      <c r="L1013" s="83">
        <f>HYPERLINK("#'×入力'!B1041","次の人へ ▼")</f>
        <v/>
      </c>
      <c r="S1013" t="inlineStr">
        <is>
          <t>表示</t>
        </is>
      </c>
    </row>
    <row r="1014" ht="22" customHeight="1">
      <c r="A1014" s="34" t="inlineStr">
        <is>
          <t>この日全部 ▶</t>
        </is>
      </c>
      <c r="C1014" s="84" t="n"/>
      <c r="D1014" s="84" t="n"/>
      <c r="E1014" s="84" t="n"/>
      <c r="F1014" s="84" t="n"/>
      <c r="G1014" s="84" t="n"/>
      <c r="H1014" s="84" t="n"/>
      <c r="S1014" t="inlineStr">
        <is>
          <t>表示</t>
        </is>
      </c>
    </row>
    <row r="1015" ht="28" customHeight="1">
      <c r="A1015" s="37" t="inlineStr">
        <is>
          <t>この時間
全部 ▼</t>
        </is>
      </c>
      <c r="B1015" s="38" t="inlineStr"/>
      <c r="C1015" s="39">
        <f>'設定'!$E$11</f>
        <v/>
      </c>
      <c r="D1015" s="39">
        <f>'設定'!$E$12</f>
        <v/>
      </c>
      <c r="E1015" s="39">
        <f>'設定'!$E$13</f>
        <v/>
      </c>
      <c r="F1015" s="39">
        <f>'設定'!$E$14</f>
        <v/>
      </c>
      <c r="G1015" s="39">
        <f>'設定'!$E$15</f>
        <v/>
      </c>
      <c r="H1015" s="39">
        <f>'設定'!$E$16</f>
        <v/>
      </c>
      <c r="S1015" t="inlineStr">
        <is>
          <t>表示</t>
        </is>
      </c>
    </row>
    <row r="1016" ht="21" customHeight="1">
      <c r="A1016" s="84" t="n"/>
      <c r="B1016" s="46">
        <f>'設定'!$I$11</f>
        <v/>
      </c>
      <c r="C1016" s="85" t="n"/>
      <c r="D1016" s="85" t="n"/>
      <c r="E1016" s="85" t="n"/>
      <c r="F1016" s="85" t="n"/>
      <c r="G1016" s="85" t="n"/>
      <c r="H1016" s="85" t="n"/>
      <c r="S1016">
        <f>IF(1&lt;='設定'!$B$6,"表示","隠す")</f>
        <v/>
      </c>
    </row>
    <row r="1017" ht="21" customHeight="1">
      <c r="A1017" s="84" t="n"/>
      <c r="B1017" s="46">
        <f>'設定'!$I$12</f>
        <v/>
      </c>
      <c r="C1017" s="85" t="n"/>
      <c r="D1017" s="85" t="n"/>
      <c r="E1017" s="85" t="n"/>
      <c r="F1017" s="85" t="n"/>
      <c r="G1017" s="85" t="n"/>
      <c r="H1017" s="85" t="n"/>
      <c r="S1017">
        <f>IF(2&lt;='設定'!$B$6,"表示","隠す")</f>
        <v/>
      </c>
    </row>
    <row r="1018" ht="21" customHeight="1">
      <c r="A1018" s="84" t="n"/>
      <c r="B1018" s="46">
        <f>'設定'!$I$13</f>
        <v/>
      </c>
      <c r="C1018" s="85" t="n"/>
      <c r="D1018" s="85" t="n"/>
      <c r="E1018" s="85" t="n"/>
      <c r="F1018" s="85" t="n"/>
      <c r="G1018" s="85" t="n"/>
      <c r="H1018" s="85" t="n"/>
      <c r="S1018">
        <f>IF(3&lt;='設定'!$B$6,"表示","隠す")</f>
        <v/>
      </c>
    </row>
    <row r="1019" ht="21" customHeight="1">
      <c r="A1019" s="84" t="n"/>
      <c r="B1019" s="46">
        <f>'設定'!$I$14</f>
        <v/>
      </c>
      <c r="C1019" s="85" t="n"/>
      <c r="D1019" s="85" t="n"/>
      <c r="E1019" s="85" t="n"/>
      <c r="F1019" s="85" t="n"/>
      <c r="G1019" s="85" t="n"/>
      <c r="H1019" s="85" t="n"/>
      <c r="S1019">
        <f>IF(4&lt;='設定'!$B$6,"表示","隠す")</f>
        <v/>
      </c>
    </row>
    <row r="1020" ht="21" customHeight="1">
      <c r="A1020" s="84" t="n"/>
      <c r="B1020" s="46">
        <f>'設定'!$I$15</f>
        <v/>
      </c>
      <c r="C1020" s="85" t="n"/>
      <c r="D1020" s="85" t="n"/>
      <c r="E1020" s="85" t="n"/>
      <c r="F1020" s="85" t="n"/>
      <c r="G1020" s="85" t="n"/>
      <c r="H1020" s="85" t="n"/>
      <c r="S1020">
        <f>IF(5&lt;='設定'!$B$6,"表示","隠す")</f>
        <v/>
      </c>
    </row>
    <row r="1021" ht="21" customHeight="1">
      <c r="A1021" s="84" t="n"/>
      <c r="B1021" s="46">
        <f>'設定'!$I$16</f>
        <v/>
      </c>
      <c r="C1021" s="85" t="n"/>
      <c r="D1021" s="85" t="n"/>
      <c r="E1021" s="85" t="n"/>
      <c r="F1021" s="85" t="n"/>
      <c r="G1021" s="85" t="n"/>
      <c r="H1021" s="85" t="n"/>
      <c r="S1021">
        <f>IF(6&lt;='設定'!$B$6,"表示","隠す")</f>
        <v/>
      </c>
    </row>
    <row r="1022" ht="21" customHeight="1">
      <c r="A1022" s="84" t="n"/>
      <c r="B1022" s="46">
        <f>'設定'!$I$17</f>
        <v/>
      </c>
      <c r="C1022" s="85" t="n"/>
      <c r="D1022" s="85" t="n"/>
      <c r="E1022" s="85" t="n"/>
      <c r="F1022" s="85" t="n"/>
      <c r="G1022" s="85" t="n"/>
      <c r="H1022" s="85" t="n"/>
      <c r="S1022">
        <f>IF(7&lt;='設定'!$B$6,"表示","隠す")</f>
        <v/>
      </c>
    </row>
    <row r="1023" ht="21" customHeight="1">
      <c r="A1023" s="84" t="n"/>
      <c r="B1023" s="46">
        <f>'設定'!$I$18</f>
        <v/>
      </c>
      <c r="C1023" s="85" t="n"/>
      <c r="D1023" s="85" t="n"/>
      <c r="E1023" s="85" t="n"/>
      <c r="F1023" s="85" t="n"/>
      <c r="G1023" s="85" t="n"/>
      <c r="H1023" s="85" t="n"/>
      <c r="S1023">
        <f>IF(8&lt;='設定'!$B$6,"表示","隠す")</f>
        <v/>
      </c>
    </row>
    <row r="1024" ht="21" customHeight="1">
      <c r="A1024" s="84" t="n"/>
      <c r="B1024" s="46">
        <f>'設定'!$I$19</f>
        <v/>
      </c>
      <c r="C1024" s="85" t="n"/>
      <c r="D1024" s="85" t="n"/>
      <c r="E1024" s="85" t="n"/>
      <c r="F1024" s="85" t="n"/>
      <c r="G1024" s="85" t="n"/>
      <c r="H1024" s="85" t="n"/>
      <c r="S1024">
        <f>IF(9&lt;='設定'!$B$6,"表示","隠す")</f>
        <v/>
      </c>
    </row>
    <row r="1025" hidden="1" ht="21" customHeight="1">
      <c r="A1025" s="84" t="n"/>
      <c r="B1025" s="46">
        <f>'設定'!$I$20</f>
        <v/>
      </c>
      <c r="C1025" s="85" t="n"/>
      <c r="D1025" s="85" t="n"/>
      <c r="E1025" s="85" t="n"/>
      <c r="F1025" s="85" t="n"/>
      <c r="G1025" s="85" t="n"/>
      <c r="H1025" s="85" t="n"/>
      <c r="S1025">
        <f>IF(10&lt;='設定'!$B$6,"表示","隠す")</f>
        <v/>
      </c>
    </row>
    <row r="1026" hidden="1" ht="21" customHeight="1">
      <c r="A1026" s="84" t="n"/>
      <c r="B1026" s="46">
        <f>'設定'!$I$21</f>
        <v/>
      </c>
      <c r="C1026" s="85" t="n"/>
      <c r="D1026" s="85" t="n"/>
      <c r="E1026" s="85" t="n"/>
      <c r="F1026" s="85" t="n"/>
      <c r="G1026" s="85" t="n"/>
      <c r="H1026" s="85" t="n"/>
      <c r="S1026">
        <f>IF(11&lt;='設定'!$B$6,"表示","隠す")</f>
        <v/>
      </c>
    </row>
    <row r="1027" hidden="1" ht="21" customHeight="1">
      <c r="A1027" s="84" t="n"/>
      <c r="B1027" s="46">
        <f>'設定'!$I$22</f>
        <v/>
      </c>
      <c r="C1027" s="85" t="n"/>
      <c r="D1027" s="85" t="n"/>
      <c r="E1027" s="85" t="n"/>
      <c r="F1027" s="85" t="n"/>
      <c r="G1027" s="85" t="n"/>
      <c r="H1027" s="85" t="n"/>
      <c r="S1027">
        <f>IF(12&lt;='設定'!$B$6,"表示","隠す")</f>
        <v/>
      </c>
    </row>
    <row r="1028" hidden="1" ht="21" customHeight="1">
      <c r="A1028" s="84" t="n"/>
      <c r="B1028" s="46">
        <f>'設定'!$I$23</f>
        <v/>
      </c>
      <c r="C1028" s="85" t="n"/>
      <c r="D1028" s="85" t="n"/>
      <c r="E1028" s="85" t="n"/>
      <c r="F1028" s="85" t="n"/>
      <c r="G1028" s="85" t="n"/>
      <c r="H1028" s="85" t="n"/>
      <c r="S1028">
        <f>IF(13&lt;='設定'!$B$6,"表示","隠す")</f>
        <v/>
      </c>
    </row>
    <row r="1029" hidden="1" ht="21" customHeight="1">
      <c r="A1029" s="84" t="n"/>
      <c r="B1029" s="46">
        <f>'設定'!$I$24</f>
        <v/>
      </c>
      <c r="C1029" s="85" t="n"/>
      <c r="D1029" s="85" t="n"/>
      <c r="E1029" s="85" t="n"/>
      <c r="F1029" s="85" t="n"/>
      <c r="G1029" s="85" t="n"/>
      <c r="H1029" s="85" t="n"/>
      <c r="S1029">
        <f>IF(14&lt;='設定'!$B$6,"表示","隠す")</f>
        <v/>
      </c>
    </row>
    <row r="1030" hidden="1" ht="21" customHeight="1">
      <c r="A1030" s="84" t="n"/>
      <c r="B1030" s="46">
        <f>'設定'!$I$25</f>
        <v/>
      </c>
      <c r="C1030" s="85" t="n"/>
      <c r="D1030" s="85" t="n"/>
      <c r="E1030" s="85" t="n"/>
      <c r="F1030" s="85" t="n"/>
      <c r="G1030" s="85" t="n"/>
      <c r="H1030" s="85" t="n"/>
      <c r="S1030">
        <f>IF(15&lt;='設定'!$B$6,"表示","隠す")</f>
        <v/>
      </c>
    </row>
    <row r="1031" hidden="1" ht="21" customHeight="1">
      <c r="A1031" s="84" t="n"/>
      <c r="B1031" s="46">
        <f>'設定'!$I$26</f>
        <v/>
      </c>
      <c r="C1031" s="85" t="n"/>
      <c r="D1031" s="85" t="n"/>
      <c r="E1031" s="85" t="n"/>
      <c r="F1031" s="85" t="n"/>
      <c r="G1031" s="85" t="n"/>
      <c r="H1031" s="85" t="n"/>
      <c r="S1031">
        <f>IF(16&lt;='設定'!$B$6,"表示","隠す")</f>
        <v/>
      </c>
    </row>
    <row r="1032" hidden="1" ht="21" customHeight="1">
      <c r="A1032" s="84" t="n"/>
      <c r="B1032" s="46">
        <f>'設定'!$I$27</f>
        <v/>
      </c>
      <c r="C1032" s="85" t="n"/>
      <c r="D1032" s="85" t="n"/>
      <c r="E1032" s="85" t="n"/>
      <c r="F1032" s="85" t="n"/>
      <c r="G1032" s="85" t="n"/>
      <c r="H1032" s="85" t="n"/>
      <c r="S1032">
        <f>IF(17&lt;='設定'!$B$6,"表示","隠す")</f>
        <v/>
      </c>
    </row>
    <row r="1033" hidden="1" ht="21" customHeight="1">
      <c r="A1033" s="84" t="n"/>
      <c r="B1033" s="46">
        <f>'設定'!$I$28</f>
        <v/>
      </c>
      <c r="C1033" s="85" t="n"/>
      <c r="D1033" s="85" t="n"/>
      <c r="E1033" s="85" t="n"/>
      <c r="F1033" s="85" t="n"/>
      <c r="G1033" s="85" t="n"/>
      <c r="H1033" s="85" t="n"/>
      <c r="S1033">
        <f>IF(18&lt;='設定'!$B$6,"表示","隠す")</f>
        <v/>
      </c>
    </row>
    <row r="1034" hidden="1" ht="21" customHeight="1">
      <c r="A1034" s="84" t="n"/>
      <c r="B1034" s="46">
        <f>'設定'!$I$29</f>
        <v/>
      </c>
      <c r="C1034" s="85" t="n"/>
      <c r="D1034" s="85" t="n"/>
      <c r="E1034" s="85" t="n"/>
      <c r="F1034" s="85" t="n"/>
      <c r="G1034" s="85" t="n"/>
      <c r="H1034" s="85" t="n"/>
      <c r="S1034">
        <f>IF(19&lt;='設定'!$B$6,"表示","隠す")</f>
        <v/>
      </c>
    </row>
    <row r="1035" hidden="1" ht="21" customHeight="1">
      <c r="A1035" s="84" t="n"/>
      <c r="B1035" s="46">
        <f>'設定'!$I$30</f>
        <v/>
      </c>
      <c r="C1035" s="85" t="n"/>
      <c r="D1035" s="85" t="n"/>
      <c r="E1035" s="85" t="n"/>
      <c r="F1035" s="85" t="n"/>
      <c r="G1035" s="85" t="n"/>
      <c r="H1035" s="85" t="n"/>
      <c r="S1035">
        <f>IF(20&lt;='設定'!$B$6,"表示","隠す")</f>
        <v/>
      </c>
    </row>
    <row r="1036" hidden="1" ht="21" customHeight="1">
      <c r="A1036" s="84" t="n"/>
      <c r="B1036" s="46">
        <f>'設定'!$I$31</f>
        <v/>
      </c>
      <c r="C1036" s="85" t="n"/>
      <c r="D1036" s="85" t="n"/>
      <c r="E1036" s="85" t="n"/>
      <c r="F1036" s="85" t="n"/>
      <c r="G1036" s="85" t="n"/>
      <c r="H1036" s="85" t="n"/>
      <c r="S1036">
        <f>IF(21&lt;='設定'!$B$6,"表示","隠す")</f>
        <v/>
      </c>
    </row>
    <row r="1037" hidden="1" ht="21" customHeight="1">
      <c r="A1037" s="84" t="n"/>
      <c r="B1037" s="46">
        <f>'設定'!$I$32</f>
        <v/>
      </c>
      <c r="C1037" s="85" t="n"/>
      <c r="D1037" s="85" t="n"/>
      <c r="E1037" s="85" t="n"/>
      <c r="F1037" s="85" t="n"/>
      <c r="G1037" s="85" t="n"/>
      <c r="H1037" s="85" t="n"/>
      <c r="S1037">
        <f>IF(22&lt;='設定'!$B$6,"表示","隠す")</f>
        <v/>
      </c>
    </row>
    <row r="1038" hidden="1" ht="21" customHeight="1">
      <c r="A1038" s="84" t="n"/>
      <c r="B1038" s="46">
        <f>'設定'!$I$33</f>
        <v/>
      </c>
      <c r="C1038" s="85" t="n"/>
      <c r="D1038" s="85" t="n"/>
      <c r="E1038" s="85" t="n"/>
      <c r="F1038" s="85" t="n"/>
      <c r="G1038" s="85" t="n"/>
      <c r="H1038" s="85" t="n"/>
      <c r="S1038">
        <f>IF(23&lt;='設定'!$B$6,"表示","隠す")</f>
        <v/>
      </c>
    </row>
    <row r="1039" hidden="1" ht="21" customHeight="1">
      <c r="A1039" s="84" t="n"/>
      <c r="B1039" s="46">
        <f>'設定'!$I$34</f>
        <v/>
      </c>
      <c r="C1039" s="85" t="n"/>
      <c r="D1039" s="85" t="n"/>
      <c r="E1039" s="85" t="n"/>
      <c r="F1039" s="85" t="n"/>
      <c r="G1039" s="85" t="n"/>
      <c r="H1039" s="85" t="n"/>
      <c r="S1039">
        <f>IF(24&lt;='設定'!$B$6,"表示","隠す")</f>
        <v/>
      </c>
    </row>
    <row r="1040">
      <c r="S1040" t="inlineStr">
        <is>
          <t>表示</t>
        </is>
      </c>
    </row>
    <row r="1041" ht="26" customHeight="1">
      <c r="B1041" s="78">
        <f>IF('名簿'!B42="","（名簿 38行目：なし）",'名簿'!P42)</f>
        <v/>
      </c>
      <c r="C1041" s="5" t="n"/>
      <c r="D1041" s="5" t="n"/>
      <c r="E1041" s="79" t="inlineStr">
        <is>
          <t>提出状況 ▶</t>
        </is>
      </c>
      <c r="F1041" s="42" t="n"/>
      <c r="G1041" s="33" t="n"/>
      <c r="H1041" s="80" t="inlineStr">
        <is>
          <t>状況：</t>
        </is>
      </c>
      <c r="I1041" s="81">
        <f>'名簿'!Q42</f>
        <v/>
      </c>
      <c r="J1041" s="80" t="inlineStr">
        <is>
          <t>×の数：</t>
        </is>
      </c>
      <c r="K1041" s="82">
        <f>'名簿'!R42</f>
        <v/>
      </c>
      <c r="L1041" s="83">
        <f>HYPERLINK("#'×入力'!B1069","次の人へ ▼")</f>
        <v/>
      </c>
      <c r="S1041" t="inlineStr">
        <is>
          <t>表示</t>
        </is>
      </c>
    </row>
    <row r="1042" ht="22" customHeight="1">
      <c r="A1042" s="34" t="inlineStr">
        <is>
          <t>この日全部 ▶</t>
        </is>
      </c>
      <c r="C1042" s="84" t="n"/>
      <c r="D1042" s="84" t="n"/>
      <c r="E1042" s="84" t="n"/>
      <c r="F1042" s="84" t="n"/>
      <c r="G1042" s="84" t="n"/>
      <c r="H1042" s="84" t="n"/>
      <c r="S1042" t="inlineStr">
        <is>
          <t>表示</t>
        </is>
      </c>
    </row>
    <row r="1043" ht="28" customHeight="1">
      <c r="A1043" s="37" t="inlineStr">
        <is>
          <t>この時間
全部 ▼</t>
        </is>
      </c>
      <c r="B1043" s="38" t="inlineStr"/>
      <c r="C1043" s="39">
        <f>'設定'!$E$11</f>
        <v/>
      </c>
      <c r="D1043" s="39">
        <f>'設定'!$E$12</f>
        <v/>
      </c>
      <c r="E1043" s="39">
        <f>'設定'!$E$13</f>
        <v/>
      </c>
      <c r="F1043" s="39">
        <f>'設定'!$E$14</f>
        <v/>
      </c>
      <c r="G1043" s="39">
        <f>'設定'!$E$15</f>
        <v/>
      </c>
      <c r="H1043" s="39">
        <f>'設定'!$E$16</f>
        <v/>
      </c>
      <c r="S1043" t="inlineStr">
        <is>
          <t>表示</t>
        </is>
      </c>
    </row>
    <row r="1044" ht="21" customHeight="1">
      <c r="A1044" s="84" t="n"/>
      <c r="B1044" s="46">
        <f>'設定'!$I$11</f>
        <v/>
      </c>
      <c r="C1044" s="85" t="n"/>
      <c r="D1044" s="85" t="n"/>
      <c r="E1044" s="85" t="n"/>
      <c r="F1044" s="85" t="n"/>
      <c r="G1044" s="85" t="n"/>
      <c r="H1044" s="85" t="n"/>
      <c r="S1044">
        <f>IF(1&lt;='設定'!$B$6,"表示","隠す")</f>
        <v/>
      </c>
    </row>
    <row r="1045" ht="21" customHeight="1">
      <c r="A1045" s="84" t="n"/>
      <c r="B1045" s="46">
        <f>'設定'!$I$12</f>
        <v/>
      </c>
      <c r="C1045" s="85" t="n"/>
      <c r="D1045" s="85" t="n"/>
      <c r="E1045" s="85" t="n"/>
      <c r="F1045" s="85" t="n"/>
      <c r="G1045" s="85" t="n"/>
      <c r="H1045" s="85" t="n"/>
      <c r="S1045">
        <f>IF(2&lt;='設定'!$B$6,"表示","隠す")</f>
        <v/>
      </c>
    </row>
    <row r="1046" ht="21" customHeight="1">
      <c r="A1046" s="84" t="n"/>
      <c r="B1046" s="46">
        <f>'設定'!$I$13</f>
        <v/>
      </c>
      <c r="C1046" s="85" t="n"/>
      <c r="D1046" s="85" t="n"/>
      <c r="E1046" s="85" t="n"/>
      <c r="F1046" s="85" t="n"/>
      <c r="G1046" s="85" t="n"/>
      <c r="H1046" s="85" t="n"/>
      <c r="S1046">
        <f>IF(3&lt;='設定'!$B$6,"表示","隠す")</f>
        <v/>
      </c>
    </row>
    <row r="1047" ht="21" customHeight="1">
      <c r="A1047" s="84" t="n"/>
      <c r="B1047" s="46">
        <f>'設定'!$I$14</f>
        <v/>
      </c>
      <c r="C1047" s="85" t="n"/>
      <c r="D1047" s="85" t="n"/>
      <c r="E1047" s="85" t="n"/>
      <c r="F1047" s="85" t="n"/>
      <c r="G1047" s="85" t="n"/>
      <c r="H1047" s="85" t="n"/>
      <c r="S1047">
        <f>IF(4&lt;='設定'!$B$6,"表示","隠す")</f>
        <v/>
      </c>
    </row>
    <row r="1048" ht="21" customHeight="1">
      <c r="A1048" s="84" t="n"/>
      <c r="B1048" s="46">
        <f>'設定'!$I$15</f>
        <v/>
      </c>
      <c r="C1048" s="85" t="n"/>
      <c r="D1048" s="85" t="n"/>
      <c r="E1048" s="85" t="n"/>
      <c r="F1048" s="85" t="n"/>
      <c r="G1048" s="85" t="n"/>
      <c r="H1048" s="85" t="n"/>
      <c r="S1048">
        <f>IF(5&lt;='設定'!$B$6,"表示","隠す")</f>
        <v/>
      </c>
    </row>
    <row r="1049" ht="21" customHeight="1">
      <c r="A1049" s="84" t="n"/>
      <c r="B1049" s="46">
        <f>'設定'!$I$16</f>
        <v/>
      </c>
      <c r="C1049" s="85" t="n"/>
      <c r="D1049" s="85" t="n"/>
      <c r="E1049" s="85" t="n"/>
      <c r="F1049" s="85" t="n"/>
      <c r="G1049" s="85" t="n"/>
      <c r="H1049" s="85" t="n"/>
      <c r="S1049">
        <f>IF(6&lt;='設定'!$B$6,"表示","隠す")</f>
        <v/>
      </c>
    </row>
    <row r="1050" ht="21" customHeight="1">
      <c r="A1050" s="84" t="n"/>
      <c r="B1050" s="46">
        <f>'設定'!$I$17</f>
        <v/>
      </c>
      <c r="C1050" s="85" t="n"/>
      <c r="D1050" s="85" t="n"/>
      <c r="E1050" s="85" t="n"/>
      <c r="F1050" s="85" t="n"/>
      <c r="G1050" s="85" t="n"/>
      <c r="H1050" s="85" t="n"/>
      <c r="S1050">
        <f>IF(7&lt;='設定'!$B$6,"表示","隠す")</f>
        <v/>
      </c>
    </row>
    <row r="1051" ht="21" customHeight="1">
      <c r="A1051" s="84" t="n"/>
      <c r="B1051" s="46">
        <f>'設定'!$I$18</f>
        <v/>
      </c>
      <c r="C1051" s="85" t="n"/>
      <c r="D1051" s="85" t="n"/>
      <c r="E1051" s="85" t="n"/>
      <c r="F1051" s="85" t="n"/>
      <c r="G1051" s="85" t="n"/>
      <c r="H1051" s="85" t="n"/>
      <c r="S1051">
        <f>IF(8&lt;='設定'!$B$6,"表示","隠す")</f>
        <v/>
      </c>
    </row>
    <row r="1052" ht="21" customHeight="1">
      <c r="A1052" s="84" t="n"/>
      <c r="B1052" s="46">
        <f>'設定'!$I$19</f>
        <v/>
      </c>
      <c r="C1052" s="85" t="n"/>
      <c r="D1052" s="85" t="n"/>
      <c r="E1052" s="85" t="n"/>
      <c r="F1052" s="85" t="n"/>
      <c r="G1052" s="85" t="n"/>
      <c r="H1052" s="85" t="n"/>
      <c r="S1052">
        <f>IF(9&lt;='設定'!$B$6,"表示","隠す")</f>
        <v/>
      </c>
    </row>
    <row r="1053" hidden="1" ht="21" customHeight="1">
      <c r="A1053" s="84" t="n"/>
      <c r="B1053" s="46">
        <f>'設定'!$I$20</f>
        <v/>
      </c>
      <c r="C1053" s="85" t="n"/>
      <c r="D1053" s="85" t="n"/>
      <c r="E1053" s="85" t="n"/>
      <c r="F1053" s="85" t="n"/>
      <c r="G1053" s="85" t="n"/>
      <c r="H1053" s="85" t="n"/>
      <c r="S1053">
        <f>IF(10&lt;='設定'!$B$6,"表示","隠す")</f>
        <v/>
      </c>
    </row>
    <row r="1054" hidden="1" ht="21" customHeight="1">
      <c r="A1054" s="84" t="n"/>
      <c r="B1054" s="46">
        <f>'設定'!$I$21</f>
        <v/>
      </c>
      <c r="C1054" s="85" t="n"/>
      <c r="D1054" s="85" t="n"/>
      <c r="E1054" s="85" t="n"/>
      <c r="F1054" s="85" t="n"/>
      <c r="G1054" s="85" t="n"/>
      <c r="H1054" s="85" t="n"/>
      <c r="S1054">
        <f>IF(11&lt;='設定'!$B$6,"表示","隠す")</f>
        <v/>
      </c>
    </row>
    <row r="1055" hidden="1" ht="21" customHeight="1">
      <c r="A1055" s="84" t="n"/>
      <c r="B1055" s="46">
        <f>'設定'!$I$22</f>
        <v/>
      </c>
      <c r="C1055" s="85" t="n"/>
      <c r="D1055" s="85" t="n"/>
      <c r="E1055" s="85" t="n"/>
      <c r="F1055" s="85" t="n"/>
      <c r="G1055" s="85" t="n"/>
      <c r="H1055" s="85" t="n"/>
      <c r="S1055">
        <f>IF(12&lt;='設定'!$B$6,"表示","隠す")</f>
        <v/>
      </c>
    </row>
    <row r="1056" hidden="1" ht="21" customHeight="1">
      <c r="A1056" s="84" t="n"/>
      <c r="B1056" s="46">
        <f>'設定'!$I$23</f>
        <v/>
      </c>
      <c r="C1056" s="85" t="n"/>
      <c r="D1056" s="85" t="n"/>
      <c r="E1056" s="85" t="n"/>
      <c r="F1056" s="85" t="n"/>
      <c r="G1056" s="85" t="n"/>
      <c r="H1056" s="85" t="n"/>
      <c r="S1056">
        <f>IF(13&lt;='設定'!$B$6,"表示","隠す")</f>
        <v/>
      </c>
    </row>
    <row r="1057" hidden="1" ht="21" customHeight="1">
      <c r="A1057" s="84" t="n"/>
      <c r="B1057" s="46">
        <f>'設定'!$I$24</f>
        <v/>
      </c>
      <c r="C1057" s="85" t="n"/>
      <c r="D1057" s="85" t="n"/>
      <c r="E1057" s="85" t="n"/>
      <c r="F1057" s="85" t="n"/>
      <c r="G1057" s="85" t="n"/>
      <c r="H1057" s="85" t="n"/>
      <c r="S1057">
        <f>IF(14&lt;='設定'!$B$6,"表示","隠す")</f>
        <v/>
      </c>
    </row>
    <row r="1058" hidden="1" ht="21" customHeight="1">
      <c r="A1058" s="84" t="n"/>
      <c r="B1058" s="46">
        <f>'設定'!$I$25</f>
        <v/>
      </c>
      <c r="C1058" s="85" t="n"/>
      <c r="D1058" s="85" t="n"/>
      <c r="E1058" s="85" t="n"/>
      <c r="F1058" s="85" t="n"/>
      <c r="G1058" s="85" t="n"/>
      <c r="H1058" s="85" t="n"/>
      <c r="S1058">
        <f>IF(15&lt;='設定'!$B$6,"表示","隠す")</f>
        <v/>
      </c>
    </row>
    <row r="1059" hidden="1" ht="21" customHeight="1">
      <c r="A1059" s="84" t="n"/>
      <c r="B1059" s="46">
        <f>'設定'!$I$26</f>
        <v/>
      </c>
      <c r="C1059" s="85" t="n"/>
      <c r="D1059" s="85" t="n"/>
      <c r="E1059" s="85" t="n"/>
      <c r="F1059" s="85" t="n"/>
      <c r="G1059" s="85" t="n"/>
      <c r="H1059" s="85" t="n"/>
      <c r="S1059">
        <f>IF(16&lt;='設定'!$B$6,"表示","隠す")</f>
        <v/>
      </c>
    </row>
    <row r="1060" hidden="1" ht="21" customHeight="1">
      <c r="A1060" s="84" t="n"/>
      <c r="B1060" s="46">
        <f>'設定'!$I$27</f>
        <v/>
      </c>
      <c r="C1060" s="85" t="n"/>
      <c r="D1060" s="85" t="n"/>
      <c r="E1060" s="85" t="n"/>
      <c r="F1060" s="85" t="n"/>
      <c r="G1060" s="85" t="n"/>
      <c r="H1060" s="85" t="n"/>
      <c r="S1060">
        <f>IF(17&lt;='設定'!$B$6,"表示","隠す")</f>
        <v/>
      </c>
    </row>
    <row r="1061" hidden="1" ht="21" customHeight="1">
      <c r="A1061" s="84" t="n"/>
      <c r="B1061" s="46">
        <f>'設定'!$I$28</f>
        <v/>
      </c>
      <c r="C1061" s="85" t="n"/>
      <c r="D1061" s="85" t="n"/>
      <c r="E1061" s="85" t="n"/>
      <c r="F1061" s="85" t="n"/>
      <c r="G1061" s="85" t="n"/>
      <c r="H1061" s="85" t="n"/>
      <c r="S1061">
        <f>IF(18&lt;='設定'!$B$6,"表示","隠す")</f>
        <v/>
      </c>
    </row>
    <row r="1062" hidden="1" ht="21" customHeight="1">
      <c r="A1062" s="84" t="n"/>
      <c r="B1062" s="46">
        <f>'設定'!$I$29</f>
        <v/>
      </c>
      <c r="C1062" s="85" t="n"/>
      <c r="D1062" s="85" t="n"/>
      <c r="E1062" s="85" t="n"/>
      <c r="F1062" s="85" t="n"/>
      <c r="G1062" s="85" t="n"/>
      <c r="H1062" s="85" t="n"/>
      <c r="S1062">
        <f>IF(19&lt;='設定'!$B$6,"表示","隠す")</f>
        <v/>
      </c>
    </row>
    <row r="1063" hidden="1" ht="21" customHeight="1">
      <c r="A1063" s="84" t="n"/>
      <c r="B1063" s="46">
        <f>'設定'!$I$30</f>
        <v/>
      </c>
      <c r="C1063" s="85" t="n"/>
      <c r="D1063" s="85" t="n"/>
      <c r="E1063" s="85" t="n"/>
      <c r="F1063" s="85" t="n"/>
      <c r="G1063" s="85" t="n"/>
      <c r="H1063" s="85" t="n"/>
      <c r="S1063">
        <f>IF(20&lt;='設定'!$B$6,"表示","隠す")</f>
        <v/>
      </c>
    </row>
    <row r="1064" hidden="1" ht="21" customHeight="1">
      <c r="A1064" s="84" t="n"/>
      <c r="B1064" s="46">
        <f>'設定'!$I$31</f>
        <v/>
      </c>
      <c r="C1064" s="85" t="n"/>
      <c r="D1064" s="85" t="n"/>
      <c r="E1064" s="85" t="n"/>
      <c r="F1064" s="85" t="n"/>
      <c r="G1064" s="85" t="n"/>
      <c r="H1064" s="85" t="n"/>
      <c r="S1064">
        <f>IF(21&lt;='設定'!$B$6,"表示","隠す")</f>
        <v/>
      </c>
    </row>
    <row r="1065" hidden="1" ht="21" customHeight="1">
      <c r="A1065" s="84" t="n"/>
      <c r="B1065" s="46">
        <f>'設定'!$I$32</f>
        <v/>
      </c>
      <c r="C1065" s="85" t="n"/>
      <c r="D1065" s="85" t="n"/>
      <c r="E1065" s="85" t="n"/>
      <c r="F1065" s="85" t="n"/>
      <c r="G1065" s="85" t="n"/>
      <c r="H1065" s="85" t="n"/>
      <c r="S1065">
        <f>IF(22&lt;='設定'!$B$6,"表示","隠す")</f>
        <v/>
      </c>
    </row>
    <row r="1066" hidden="1" ht="21" customHeight="1">
      <c r="A1066" s="84" t="n"/>
      <c r="B1066" s="46">
        <f>'設定'!$I$33</f>
        <v/>
      </c>
      <c r="C1066" s="85" t="n"/>
      <c r="D1066" s="85" t="n"/>
      <c r="E1066" s="85" t="n"/>
      <c r="F1066" s="85" t="n"/>
      <c r="G1066" s="85" t="n"/>
      <c r="H1066" s="85" t="n"/>
      <c r="S1066">
        <f>IF(23&lt;='設定'!$B$6,"表示","隠す")</f>
        <v/>
      </c>
    </row>
    <row r="1067" hidden="1" ht="21" customHeight="1">
      <c r="A1067" s="84" t="n"/>
      <c r="B1067" s="46">
        <f>'設定'!$I$34</f>
        <v/>
      </c>
      <c r="C1067" s="85" t="n"/>
      <c r="D1067" s="85" t="n"/>
      <c r="E1067" s="85" t="n"/>
      <c r="F1067" s="85" t="n"/>
      <c r="G1067" s="85" t="n"/>
      <c r="H1067" s="85" t="n"/>
      <c r="S1067">
        <f>IF(24&lt;='設定'!$B$6,"表示","隠す")</f>
        <v/>
      </c>
    </row>
    <row r="1068">
      <c r="S1068" t="inlineStr">
        <is>
          <t>表示</t>
        </is>
      </c>
    </row>
    <row r="1069" ht="26" customHeight="1">
      <c r="B1069" s="78">
        <f>IF('名簿'!B43="","（名簿 39行目：なし）",'名簿'!P43)</f>
        <v/>
      </c>
      <c r="C1069" s="5" t="n"/>
      <c r="D1069" s="5" t="n"/>
      <c r="E1069" s="79" t="inlineStr">
        <is>
          <t>提出状況 ▶</t>
        </is>
      </c>
      <c r="F1069" s="42" t="n"/>
      <c r="G1069" s="33" t="n"/>
      <c r="H1069" s="80" t="inlineStr">
        <is>
          <t>状況：</t>
        </is>
      </c>
      <c r="I1069" s="81">
        <f>'名簿'!Q43</f>
        <v/>
      </c>
      <c r="J1069" s="80" t="inlineStr">
        <is>
          <t>×の数：</t>
        </is>
      </c>
      <c r="K1069" s="82">
        <f>'名簿'!R43</f>
        <v/>
      </c>
      <c r="L1069" s="83">
        <f>HYPERLINK("#'×入力'!B1097","次の人へ ▼")</f>
        <v/>
      </c>
      <c r="S1069" t="inlineStr">
        <is>
          <t>表示</t>
        </is>
      </c>
    </row>
    <row r="1070" ht="22" customHeight="1">
      <c r="A1070" s="34" t="inlineStr">
        <is>
          <t>この日全部 ▶</t>
        </is>
      </c>
      <c r="C1070" s="84" t="n"/>
      <c r="D1070" s="84" t="n"/>
      <c r="E1070" s="84" t="n"/>
      <c r="F1070" s="84" t="n"/>
      <c r="G1070" s="84" t="n"/>
      <c r="H1070" s="84" t="n"/>
      <c r="S1070" t="inlineStr">
        <is>
          <t>表示</t>
        </is>
      </c>
    </row>
    <row r="1071" ht="28" customHeight="1">
      <c r="A1071" s="37" t="inlineStr">
        <is>
          <t>この時間
全部 ▼</t>
        </is>
      </c>
      <c r="B1071" s="38" t="inlineStr"/>
      <c r="C1071" s="39">
        <f>'設定'!$E$11</f>
        <v/>
      </c>
      <c r="D1071" s="39">
        <f>'設定'!$E$12</f>
        <v/>
      </c>
      <c r="E1071" s="39">
        <f>'設定'!$E$13</f>
        <v/>
      </c>
      <c r="F1071" s="39">
        <f>'設定'!$E$14</f>
        <v/>
      </c>
      <c r="G1071" s="39">
        <f>'設定'!$E$15</f>
        <v/>
      </c>
      <c r="H1071" s="39">
        <f>'設定'!$E$16</f>
        <v/>
      </c>
      <c r="S1071" t="inlineStr">
        <is>
          <t>表示</t>
        </is>
      </c>
    </row>
    <row r="1072" ht="21" customHeight="1">
      <c r="A1072" s="84" t="n"/>
      <c r="B1072" s="46">
        <f>'設定'!$I$11</f>
        <v/>
      </c>
      <c r="C1072" s="85" t="n"/>
      <c r="D1072" s="85" t="n"/>
      <c r="E1072" s="85" t="n"/>
      <c r="F1072" s="85" t="n"/>
      <c r="G1072" s="85" t="n"/>
      <c r="H1072" s="85" t="n"/>
      <c r="S1072">
        <f>IF(1&lt;='設定'!$B$6,"表示","隠す")</f>
        <v/>
      </c>
    </row>
    <row r="1073" ht="21" customHeight="1">
      <c r="A1073" s="84" t="n"/>
      <c r="B1073" s="46">
        <f>'設定'!$I$12</f>
        <v/>
      </c>
      <c r="C1073" s="85" t="n"/>
      <c r="D1073" s="85" t="n"/>
      <c r="E1073" s="85" t="n"/>
      <c r="F1073" s="85" t="n"/>
      <c r="G1073" s="85" t="n"/>
      <c r="H1073" s="85" t="n"/>
      <c r="S1073">
        <f>IF(2&lt;='設定'!$B$6,"表示","隠す")</f>
        <v/>
      </c>
    </row>
    <row r="1074" ht="21" customHeight="1">
      <c r="A1074" s="84" t="n"/>
      <c r="B1074" s="46">
        <f>'設定'!$I$13</f>
        <v/>
      </c>
      <c r="C1074" s="85" t="n"/>
      <c r="D1074" s="85" t="n"/>
      <c r="E1074" s="85" t="n"/>
      <c r="F1074" s="85" t="n"/>
      <c r="G1074" s="85" t="n"/>
      <c r="H1074" s="85" t="n"/>
      <c r="S1074">
        <f>IF(3&lt;='設定'!$B$6,"表示","隠す")</f>
        <v/>
      </c>
    </row>
    <row r="1075" ht="21" customHeight="1">
      <c r="A1075" s="84" t="n"/>
      <c r="B1075" s="46">
        <f>'設定'!$I$14</f>
        <v/>
      </c>
      <c r="C1075" s="85" t="n"/>
      <c r="D1075" s="85" t="n"/>
      <c r="E1075" s="85" t="n"/>
      <c r="F1075" s="85" t="n"/>
      <c r="G1075" s="85" t="n"/>
      <c r="H1075" s="85" t="n"/>
      <c r="S1075">
        <f>IF(4&lt;='設定'!$B$6,"表示","隠す")</f>
        <v/>
      </c>
    </row>
    <row r="1076" ht="21" customHeight="1">
      <c r="A1076" s="84" t="n"/>
      <c r="B1076" s="46">
        <f>'設定'!$I$15</f>
        <v/>
      </c>
      <c r="C1076" s="85" t="n"/>
      <c r="D1076" s="85" t="n"/>
      <c r="E1076" s="85" t="n"/>
      <c r="F1076" s="85" t="n"/>
      <c r="G1076" s="85" t="n"/>
      <c r="H1076" s="85" t="n"/>
      <c r="S1076">
        <f>IF(5&lt;='設定'!$B$6,"表示","隠す")</f>
        <v/>
      </c>
    </row>
    <row r="1077" ht="21" customHeight="1">
      <c r="A1077" s="84" t="n"/>
      <c r="B1077" s="46">
        <f>'設定'!$I$16</f>
        <v/>
      </c>
      <c r="C1077" s="85" t="n"/>
      <c r="D1077" s="85" t="n"/>
      <c r="E1077" s="85" t="n"/>
      <c r="F1077" s="85" t="n"/>
      <c r="G1077" s="85" t="n"/>
      <c r="H1077" s="85" t="n"/>
      <c r="S1077">
        <f>IF(6&lt;='設定'!$B$6,"表示","隠す")</f>
        <v/>
      </c>
    </row>
    <row r="1078" ht="21" customHeight="1">
      <c r="A1078" s="84" t="n"/>
      <c r="B1078" s="46">
        <f>'設定'!$I$17</f>
        <v/>
      </c>
      <c r="C1078" s="85" t="n"/>
      <c r="D1078" s="85" t="n"/>
      <c r="E1078" s="85" t="n"/>
      <c r="F1078" s="85" t="n"/>
      <c r="G1078" s="85" t="n"/>
      <c r="H1078" s="85" t="n"/>
      <c r="S1078">
        <f>IF(7&lt;='設定'!$B$6,"表示","隠す")</f>
        <v/>
      </c>
    </row>
    <row r="1079" ht="21" customHeight="1">
      <c r="A1079" s="84" t="n"/>
      <c r="B1079" s="46">
        <f>'設定'!$I$18</f>
        <v/>
      </c>
      <c r="C1079" s="85" t="n"/>
      <c r="D1079" s="85" t="n"/>
      <c r="E1079" s="85" t="n"/>
      <c r="F1079" s="85" t="n"/>
      <c r="G1079" s="85" t="n"/>
      <c r="H1079" s="85" t="n"/>
      <c r="S1079">
        <f>IF(8&lt;='設定'!$B$6,"表示","隠す")</f>
        <v/>
      </c>
    </row>
    <row r="1080" ht="21" customHeight="1">
      <c r="A1080" s="84" t="n"/>
      <c r="B1080" s="46">
        <f>'設定'!$I$19</f>
        <v/>
      </c>
      <c r="C1080" s="85" t="n"/>
      <c r="D1080" s="85" t="n"/>
      <c r="E1080" s="85" t="n"/>
      <c r="F1080" s="85" t="n"/>
      <c r="G1080" s="85" t="n"/>
      <c r="H1080" s="85" t="n"/>
      <c r="S1080">
        <f>IF(9&lt;='設定'!$B$6,"表示","隠す")</f>
        <v/>
      </c>
    </row>
    <row r="1081" hidden="1" ht="21" customHeight="1">
      <c r="A1081" s="84" t="n"/>
      <c r="B1081" s="46">
        <f>'設定'!$I$20</f>
        <v/>
      </c>
      <c r="C1081" s="85" t="n"/>
      <c r="D1081" s="85" t="n"/>
      <c r="E1081" s="85" t="n"/>
      <c r="F1081" s="85" t="n"/>
      <c r="G1081" s="85" t="n"/>
      <c r="H1081" s="85" t="n"/>
      <c r="S1081">
        <f>IF(10&lt;='設定'!$B$6,"表示","隠す")</f>
        <v/>
      </c>
    </row>
    <row r="1082" hidden="1" ht="21" customHeight="1">
      <c r="A1082" s="84" t="n"/>
      <c r="B1082" s="46">
        <f>'設定'!$I$21</f>
        <v/>
      </c>
      <c r="C1082" s="85" t="n"/>
      <c r="D1082" s="85" t="n"/>
      <c r="E1082" s="85" t="n"/>
      <c r="F1082" s="85" t="n"/>
      <c r="G1082" s="85" t="n"/>
      <c r="H1082" s="85" t="n"/>
      <c r="S1082">
        <f>IF(11&lt;='設定'!$B$6,"表示","隠す")</f>
        <v/>
      </c>
    </row>
    <row r="1083" hidden="1" ht="21" customHeight="1">
      <c r="A1083" s="84" t="n"/>
      <c r="B1083" s="46">
        <f>'設定'!$I$22</f>
        <v/>
      </c>
      <c r="C1083" s="85" t="n"/>
      <c r="D1083" s="85" t="n"/>
      <c r="E1083" s="85" t="n"/>
      <c r="F1083" s="85" t="n"/>
      <c r="G1083" s="85" t="n"/>
      <c r="H1083" s="85" t="n"/>
      <c r="S1083">
        <f>IF(12&lt;='設定'!$B$6,"表示","隠す")</f>
        <v/>
      </c>
    </row>
    <row r="1084" hidden="1" ht="21" customHeight="1">
      <c r="A1084" s="84" t="n"/>
      <c r="B1084" s="46">
        <f>'設定'!$I$23</f>
        <v/>
      </c>
      <c r="C1084" s="85" t="n"/>
      <c r="D1084" s="85" t="n"/>
      <c r="E1084" s="85" t="n"/>
      <c r="F1084" s="85" t="n"/>
      <c r="G1084" s="85" t="n"/>
      <c r="H1084" s="85" t="n"/>
      <c r="S1084">
        <f>IF(13&lt;='設定'!$B$6,"表示","隠す")</f>
        <v/>
      </c>
    </row>
    <row r="1085" hidden="1" ht="21" customHeight="1">
      <c r="A1085" s="84" t="n"/>
      <c r="B1085" s="46">
        <f>'設定'!$I$24</f>
        <v/>
      </c>
      <c r="C1085" s="85" t="n"/>
      <c r="D1085" s="85" t="n"/>
      <c r="E1085" s="85" t="n"/>
      <c r="F1085" s="85" t="n"/>
      <c r="G1085" s="85" t="n"/>
      <c r="H1085" s="85" t="n"/>
      <c r="S1085">
        <f>IF(14&lt;='設定'!$B$6,"表示","隠す")</f>
        <v/>
      </c>
    </row>
    <row r="1086" hidden="1" ht="21" customHeight="1">
      <c r="A1086" s="84" t="n"/>
      <c r="B1086" s="46">
        <f>'設定'!$I$25</f>
        <v/>
      </c>
      <c r="C1086" s="85" t="n"/>
      <c r="D1086" s="85" t="n"/>
      <c r="E1086" s="85" t="n"/>
      <c r="F1086" s="85" t="n"/>
      <c r="G1086" s="85" t="n"/>
      <c r="H1086" s="85" t="n"/>
      <c r="S1086">
        <f>IF(15&lt;='設定'!$B$6,"表示","隠す")</f>
        <v/>
      </c>
    </row>
    <row r="1087" hidden="1" ht="21" customHeight="1">
      <c r="A1087" s="84" t="n"/>
      <c r="B1087" s="46">
        <f>'設定'!$I$26</f>
        <v/>
      </c>
      <c r="C1087" s="85" t="n"/>
      <c r="D1087" s="85" t="n"/>
      <c r="E1087" s="85" t="n"/>
      <c r="F1087" s="85" t="n"/>
      <c r="G1087" s="85" t="n"/>
      <c r="H1087" s="85" t="n"/>
      <c r="S1087">
        <f>IF(16&lt;='設定'!$B$6,"表示","隠す")</f>
        <v/>
      </c>
    </row>
    <row r="1088" hidden="1" ht="21" customHeight="1">
      <c r="A1088" s="84" t="n"/>
      <c r="B1088" s="46">
        <f>'設定'!$I$27</f>
        <v/>
      </c>
      <c r="C1088" s="85" t="n"/>
      <c r="D1088" s="85" t="n"/>
      <c r="E1088" s="85" t="n"/>
      <c r="F1088" s="85" t="n"/>
      <c r="G1088" s="85" t="n"/>
      <c r="H1088" s="85" t="n"/>
      <c r="S1088">
        <f>IF(17&lt;='設定'!$B$6,"表示","隠す")</f>
        <v/>
      </c>
    </row>
    <row r="1089" hidden="1" ht="21" customHeight="1">
      <c r="A1089" s="84" t="n"/>
      <c r="B1089" s="46">
        <f>'設定'!$I$28</f>
        <v/>
      </c>
      <c r="C1089" s="85" t="n"/>
      <c r="D1089" s="85" t="n"/>
      <c r="E1089" s="85" t="n"/>
      <c r="F1089" s="85" t="n"/>
      <c r="G1089" s="85" t="n"/>
      <c r="H1089" s="85" t="n"/>
      <c r="S1089">
        <f>IF(18&lt;='設定'!$B$6,"表示","隠す")</f>
        <v/>
      </c>
    </row>
    <row r="1090" hidden="1" ht="21" customHeight="1">
      <c r="A1090" s="84" t="n"/>
      <c r="B1090" s="46">
        <f>'設定'!$I$29</f>
        <v/>
      </c>
      <c r="C1090" s="85" t="n"/>
      <c r="D1090" s="85" t="n"/>
      <c r="E1090" s="85" t="n"/>
      <c r="F1090" s="85" t="n"/>
      <c r="G1090" s="85" t="n"/>
      <c r="H1090" s="85" t="n"/>
      <c r="S1090">
        <f>IF(19&lt;='設定'!$B$6,"表示","隠す")</f>
        <v/>
      </c>
    </row>
    <row r="1091" hidden="1" ht="21" customHeight="1">
      <c r="A1091" s="84" t="n"/>
      <c r="B1091" s="46">
        <f>'設定'!$I$30</f>
        <v/>
      </c>
      <c r="C1091" s="85" t="n"/>
      <c r="D1091" s="85" t="n"/>
      <c r="E1091" s="85" t="n"/>
      <c r="F1091" s="85" t="n"/>
      <c r="G1091" s="85" t="n"/>
      <c r="H1091" s="85" t="n"/>
      <c r="S1091">
        <f>IF(20&lt;='設定'!$B$6,"表示","隠す")</f>
        <v/>
      </c>
    </row>
    <row r="1092" hidden="1" ht="21" customHeight="1">
      <c r="A1092" s="84" t="n"/>
      <c r="B1092" s="46">
        <f>'設定'!$I$31</f>
        <v/>
      </c>
      <c r="C1092" s="85" t="n"/>
      <c r="D1092" s="85" t="n"/>
      <c r="E1092" s="85" t="n"/>
      <c r="F1092" s="85" t="n"/>
      <c r="G1092" s="85" t="n"/>
      <c r="H1092" s="85" t="n"/>
      <c r="S1092">
        <f>IF(21&lt;='設定'!$B$6,"表示","隠す")</f>
        <v/>
      </c>
    </row>
    <row r="1093" hidden="1" ht="21" customHeight="1">
      <c r="A1093" s="84" t="n"/>
      <c r="B1093" s="46">
        <f>'設定'!$I$32</f>
        <v/>
      </c>
      <c r="C1093" s="85" t="n"/>
      <c r="D1093" s="85" t="n"/>
      <c r="E1093" s="85" t="n"/>
      <c r="F1093" s="85" t="n"/>
      <c r="G1093" s="85" t="n"/>
      <c r="H1093" s="85" t="n"/>
      <c r="S1093">
        <f>IF(22&lt;='設定'!$B$6,"表示","隠す")</f>
        <v/>
      </c>
    </row>
    <row r="1094" hidden="1" ht="21" customHeight="1">
      <c r="A1094" s="84" t="n"/>
      <c r="B1094" s="46">
        <f>'設定'!$I$33</f>
        <v/>
      </c>
      <c r="C1094" s="85" t="n"/>
      <c r="D1094" s="85" t="n"/>
      <c r="E1094" s="85" t="n"/>
      <c r="F1094" s="85" t="n"/>
      <c r="G1094" s="85" t="n"/>
      <c r="H1094" s="85" t="n"/>
      <c r="S1094">
        <f>IF(23&lt;='設定'!$B$6,"表示","隠す")</f>
        <v/>
      </c>
    </row>
    <row r="1095" hidden="1" ht="21" customHeight="1">
      <c r="A1095" s="84" t="n"/>
      <c r="B1095" s="46">
        <f>'設定'!$I$34</f>
        <v/>
      </c>
      <c r="C1095" s="85" t="n"/>
      <c r="D1095" s="85" t="n"/>
      <c r="E1095" s="85" t="n"/>
      <c r="F1095" s="85" t="n"/>
      <c r="G1095" s="85" t="n"/>
      <c r="H1095" s="85" t="n"/>
      <c r="S1095">
        <f>IF(24&lt;='設定'!$B$6,"表示","隠す")</f>
        <v/>
      </c>
    </row>
    <row r="1096">
      <c r="S1096" t="inlineStr">
        <is>
          <t>表示</t>
        </is>
      </c>
    </row>
    <row r="1097" ht="26" customHeight="1">
      <c r="B1097" s="78">
        <f>IF('名簿'!B44="","（名簿 40行目：なし）",'名簿'!P44)</f>
        <v/>
      </c>
      <c r="C1097" s="5" t="n"/>
      <c r="D1097" s="5" t="n"/>
      <c r="E1097" s="79" t="inlineStr">
        <is>
          <t>提出状況 ▶</t>
        </is>
      </c>
      <c r="F1097" s="42" t="n"/>
      <c r="G1097" s="33" t="n"/>
      <c r="H1097" s="80" t="inlineStr">
        <is>
          <t>状況：</t>
        </is>
      </c>
      <c r="I1097" s="81">
        <f>'名簿'!Q44</f>
        <v/>
      </c>
      <c r="J1097" s="80" t="inlineStr">
        <is>
          <t>×の数：</t>
        </is>
      </c>
      <c r="K1097" s="82">
        <f>'名簿'!R44</f>
        <v/>
      </c>
      <c r="L1097" s="5" t="n"/>
      <c r="S1097" t="inlineStr">
        <is>
          <t>表示</t>
        </is>
      </c>
    </row>
    <row r="1098" ht="22" customHeight="1">
      <c r="A1098" s="34" t="inlineStr">
        <is>
          <t>この日全部 ▶</t>
        </is>
      </c>
      <c r="C1098" s="84" t="n"/>
      <c r="D1098" s="84" t="n"/>
      <c r="E1098" s="84" t="n"/>
      <c r="F1098" s="84" t="n"/>
      <c r="G1098" s="84" t="n"/>
      <c r="H1098" s="84" t="n"/>
      <c r="S1098" t="inlineStr">
        <is>
          <t>表示</t>
        </is>
      </c>
    </row>
    <row r="1099" ht="28" customHeight="1">
      <c r="A1099" s="37" t="inlineStr">
        <is>
          <t>この時間
全部 ▼</t>
        </is>
      </c>
      <c r="B1099" s="38" t="inlineStr"/>
      <c r="C1099" s="39">
        <f>'設定'!$E$11</f>
        <v/>
      </c>
      <c r="D1099" s="39">
        <f>'設定'!$E$12</f>
        <v/>
      </c>
      <c r="E1099" s="39">
        <f>'設定'!$E$13</f>
        <v/>
      </c>
      <c r="F1099" s="39">
        <f>'設定'!$E$14</f>
        <v/>
      </c>
      <c r="G1099" s="39">
        <f>'設定'!$E$15</f>
        <v/>
      </c>
      <c r="H1099" s="39">
        <f>'設定'!$E$16</f>
        <v/>
      </c>
      <c r="S1099" t="inlineStr">
        <is>
          <t>表示</t>
        </is>
      </c>
    </row>
    <row r="1100" ht="21" customHeight="1">
      <c r="A1100" s="84" t="n"/>
      <c r="B1100" s="46">
        <f>'設定'!$I$11</f>
        <v/>
      </c>
      <c r="C1100" s="85" t="n"/>
      <c r="D1100" s="85" t="n"/>
      <c r="E1100" s="85" t="n"/>
      <c r="F1100" s="85" t="n"/>
      <c r="G1100" s="85" t="n"/>
      <c r="H1100" s="85" t="n"/>
      <c r="S1100">
        <f>IF(1&lt;='設定'!$B$6,"表示","隠す")</f>
        <v/>
      </c>
    </row>
    <row r="1101" ht="21" customHeight="1">
      <c r="A1101" s="84" t="n"/>
      <c r="B1101" s="46">
        <f>'設定'!$I$12</f>
        <v/>
      </c>
      <c r="C1101" s="85" t="n"/>
      <c r="D1101" s="85" t="n"/>
      <c r="E1101" s="85" t="n"/>
      <c r="F1101" s="85" t="n"/>
      <c r="G1101" s="85" t="n"/>
      <c r="H1101" s="85" t="n"/>
      <c r="S1101">
        <f>IF(2&lt;='設定'!$B$6,"表示","隠す")</f>
        <v/>
      </c>
    </row>
    <row r="1102" ht="21" customHeight="1">
      <c r="A1102" s="84" t="n"/>
      <c r="B1102" s="46">
        <f>'設定'!$I$13</f>
        <v/>
      </c>
      <c r="C1102" s="85" t="n"/>
      <c r="D1102" s="85" t="n"/>
      <c r="E1102" s="85" t="n"/>
      <c r="F1102" s="85" t="n"/>
      <c r="G1102" s="85" t="n"/>
      <c r="H1102" s="85" t="n"/>
      <c r="S1102">
        <f>IF(3&lt;='設定'!$B$6,"表示","隠す")</f>
        <v/>
      </c>
    </row>
    <row r="1103" ht="21" customHeight="1">
      <c r="A1103" s="84" t="n"/>
      <c r="B1103" s="46">
        <f>'設定'!$I$14</f>
        <v/>
      </c>
      <c r="C1103" s="85" t="n"/>
      <c r="D1103" s="85" t="n"/>
      <c r="E1103" s="85" t="n"/>
      <c r="F1103" s="85" t="n"/>
      <c r="G1103" s="85" t="n"/>
      <c r="H1103" s="85" t="n"/>
      <c r="S1103">
        <f>IF(4&lt;='設定'!$B$6,"表示","隠す")</f>
        <v/>
      </c>
    </row>
    <row r="1104" ht="21" customHeight="1">
      <c r="A1104" s="84" t="n"/>
      <c r="B1104" s="46">
        <f>'設定'!$I$15</f>
        <v/>
      </c>
      <c r="C1104" s="85" t="n"/>
      <c r="D1104" s="85" t="n"/>
      <c r="E1104" s="85" t="n"/>
      <c r="F1104" s="85" t="n"/>
      <c r="G1104" s="85" t="n"/>
      <c r="H1104" s="85" t="n"/>
      <c r="S1104">
        <f>IF(5&lt;='設定'!$B$6,"表示","隠す")</f>
        <v/>
      </c>
    </row>
    <row r="1105" ht="21" customHeight="1">
      <c r="A1105" s="84" t="n"/>
      <c r="B1105" s="46">
        <f>'設定'!$I$16</f>
        <v/>
      </c>
      <c r="C1105" s="85" t="n"/>
      <c r="D1105" s="85" t="n"/>
      <c r="E1105" s="85" t="n"/>
      <c r="F1105" s="85" t="n"/>
      <c r="G1105" s="85" t="n"/>
      <c r="H1105" s="85" t="n"/>
      <c r="S1105">
        <f>IF(6&lt;='設定'!$B$6,"表示","隠す")</f>
        <v/>
      </c>
    </row>
    <row r="1106" ht="21" customHeight="1">
      <c r="A1106" s="84" t="n"/>
      <c r="B1106" s="46">
        <f>'設定'!$I$17</f>
        <v/>
      </c>
      <c r="C1106" s="85" t="n"/>
      <c r="D1106" s="85" t="n"/>
      <c r="E1106" s="85" t="n"/>
      <c r="F1106" s="85" t="n"/>
      <c r="G1106" s="85" t="n"/>
      <c r="H1106" s="85" t="n"/>
      <c r="S1106">
        <f>IF(7&lt;='設定'!$B$6,"表示","隠す")</f>
        <v/>
      </c>
    </row>
    <row r="1107" ht="21" customHeight="1">
      <c r="A1107" s="84" t="n"/>
      <c r="B1107" s="46">
        <f>'設定'!$I$18</f>
        <v/>
      </c>
      <c r="C1107" s="85" t="n"/>
      <c r="D1107" s="85" t="n"/>
      <c r="E1107" s="85" t="n"/>
      <c r="F1107" s="85" t="n"/>
      <c r="G1107" s="85" t="n"/>
      <c r="H1107" s="85" t="n"/>
      <c r="S1107">
        <f>IF(8&lt;='設定'!$B$6,"表示","隠す")</f>
        <v/>
      </c>
    </row>
    <row r="1108" ht="21" customHeight="1">
      <c r="A1108" s="84" t="n"/>
      <c r="B1108" s="46">
        <f>'設定'!$I$19</f>
        <v/>
      </c>
      <c r="C1108" s="85" t="n"/>
      <c r="D1108" s="85" t="n"/>
      <c r="E1108" s="85" t="n"/>
      <c r="F1108" s="85" t="n"/>
      <c r="G1108" s="85" t="n"/>
      <c r="H1108" s="85" t="n"/>
      <c r="S1108">
        <f>IF(9&lt;='設定'!$B$6,"表示","隠す")</f>
        <v/>
      </c>
    </row>
    <row r="1109" hidden="1" ht="21" customHeight="1">
      <c r="A1109" s="84" t="n"/>
      <c r="B1109" s="46">
        <f>'設定'!$I$20</f>
        <v/>
      </c>
      <c r="C1109" s="85" t="n"/>
      <c r="D1109" s="85" t="n"/>
      <c r="E1109" s="85" t="n"/>
      <c r="F1109" s="85" t="n"/>
      <c r="G1109" s="85" t="n"/>
      <c r="H1109" s="85" t="n"/>
      <c r="S1109">
        <f>IF(10&lt;='設定'!$B$6,"表示","隠す")</f>
        <v/>
      </c>
    </row>
    <row r="1110" hidden="1" ht="21" customHeight="1">
      <c r="A1110" s="84" t="n"/>
      <c r="B1110" s="46">
        <f>'設定'!$I$21</f>
        <v/>
      </c>
      <c r="C1110" s="85" t="n"/>
      <c r="D1110" s="85" t="n"/>
      <c r="E1110" s="85" t="n"/>
      <c r="F1110" s="85" t="n"/>
      <c r="G1110" s="85" t="n"/>
      <c r="H1110" s="85" t="n"/>
      <c r="S1110">
        <f>IF(11&lt;='設定'!$B$6,"表示","隠す")</f>
        <v/>
      </c>
    </row>
    <row r="1111" hidden="1" ht="21" customHeight="1">
      <c r="A1111" s="84" t="n"/>
      <c r="B1111" s="46">
        <f>'設定'!$I$22</f>
        <v/>
      </c>
      <c r="C1111" s="85" t="n"/>
      <c r="D1111" s="85" t="n"/>
      <c r="E1111" s="85" t="n"/>
      <c r="F1111" s="85" t="n"/>
      <c r="G1111" s="85" t="n"/>
      <c r="H1111" s="85" t="n"/>
      <c r="S1111">
        <f>IF(12&lt;='設定'!$B$6,"表示","隠す")</f>
        <v/>
      </c>
    </row>
    <row r="1112" hidden="1" ht="21" customHeight="1">
      <c r="A1112" s="84" t="n"/>
      <c r="B1112" s="46">
        <f>'設定'!$I$23</f>
        <v/>
      </c>
      <c r="C1112" s="85" t="n"/>
      <c r="D1112" s="85" t="n"/>
      <c r="E1112" s="85" t="n"/>
      <c r="F1112" s="85" t="n"/>
      <c r="G1112" s="85" t="n"/>
      <c r="H1112" s="85" t="n"/>
      <c r="S1112">
        <f>IF(13&lt;='設定'!$B$6,"表示","隠す")</f>
        <v/>
      </c>
    </row>
    <row r="1113" hidden="1" ht="21" customHeight="1">
      <c r="A1113" s="84" t="n"/>
      <c r="B1113" s="46">
        <f>'設定'!$I$24</f>
        <v/>
      </c>
      <c r="C1113" s="85" t="n"/>
      <c r="D1113" s="85" t="n"/>
      <c r="E1113" s="85" t="n"/>
      <c r="F1113" s="85" t="n"/>
      <c r="G1113" s="85" t="n"/>
      <c r="H1113" s="85" t="n"/>
      <c r="S1113">
        <f>IF(14&lt;='設定'!$B$6,"表示","隠す")</f>
        <v/>
      </c>
    </row>
    <row r="1114" hidden="1" ht="21" customHeight="1">
      <c r="A1114" s="84" t="n"/>
      <c r="B1114" s="46">
        <f>'設定'!$I$25</f>
        <v/>
      </c>
      <c r="C1114" s="85" t="n"/>
      <c r="D1114" s="85" t="n"/>
      <c r="E1114" s="85" t="n"/>
      <c r="F1114" s="85" t="n"/>
      <c r="G1114" s="85" t="n"/>
      <c r="H1114" s="85" t="n"/>
      <c r="S1114">
        <f>IF(15&lt;='設定'!$B$6,"表示","隠す")</f>
        <v/>
      </c>
    </row>
    <row r="1115" hidden="1" ht="21" customHeight="1">
      <c r="A1115" s="84" t="n"/>
      <c r="B1115" s="46">
        <f>'設定'!$I$26</f>
        <v/>
      </c>
      <c r="C1115" s="85" t="n"/>
      <c r="D1115" s="85" t="n"/>
      <c r="E1115" s="85" t="n"/>
      <c r="F1115" s="85" t="n"/>
      <c r="G1115" s="85" t="n"/>
      <c r="H1115" s="85" t="n"/>
      <c r="S1115">
        <f>IF(16&lt;='設定'!$B$6,"表示","隠す")</f>
        <v/>
      </c>
    </row>
    <row r="1116" hidden="1" ht="21" customHeight="1">
      <c r="A1116" s="84" t="n"/>
      <c r="B1116" s="46">
        <f>'設定'!$I$27</f>
        <v/>
      </c>
      <c r="C1116" s="85" t="n"/>
      <c r="D1116" s="85" t="n"/>
      <c r="E1116" s="85" t="n"/>
      <c r="F1116" s="85" t="n"/>
      <c r="G1116" s="85" t="n"/>
      <c r="H1116" s="85" t="n"/>
      <c r="S1116">
        <f>IF(17&lt;='設定'!$B$6,"表示","隠す")</f>
        <v/>
      </c>
    </row>
    <row r="1117" hidden="1" ht="21" customHeight="1">
      <c r="A1117" s="84" t="n"/>
      <c r="B1117" s="46">
        <f>'設定'!$I$28</f>
        <v/>
      </c>
      <c r="C1117" s="85" t="n"/>
      <c r="D1117" s="85" t="n"/>
      <c r="E1117" s="85" t="n"/>
      <c r="F1117" s="85" t="n"/>
      <c r="G1117" s="85" t="n"/>
      <c r="H1117" s="85" t="n"/>
      <c r="S1117">
        <f>IF(18&lt;='設定'!$B$6,"表示","隠す")</f>
        <v/>
      </c>
    </row>
    <row r="1118" hidden="1" ht="21" customHeight="1">
      <c r="A1118" s="84" t="n"/>
      <c r="B1118" s="46">
        <f>'設定'!$I$29</f>
        <v/>
      </c>
      <c r="C1118" s="85" t="n"/>
      <c r="D1118" s="85" t="n"/>
      <c r="E1118" s="85" t="n"/>
      <c r="F1118" s="85" t="n"/>
      <c r="G1118" s="85" t="n"/>
      <c r="H1118" s="85" t="n"/>
      <c r="S1118">
        <f>IF(19&lt;='設定'!$B$6,"表示","隠す")</f>
        <v/>
      </c>
    </row>
    <row r="1119" hidden="1" ht="21" customHeight="1">
      <c r="A1119" s="84" t="n"/>
      <c r="B1119" s="46">
        <f>'設定'!$I$30</f>
        <v/>
      </c>
      <c r="C1119" s="85" t="n"/>
      <c r="D1119" s="85" t="n"/>
      <c r="E1119" s="85" t="n"/>
      <c r="F1119" s="85" t="n"/>
      <c r="G1119" s="85" t="n"/>
      <c r="H1119" s="85" t="n"/>
      <c r="S1119">
        <f>IF(20&lt;='設定'!$B$6,"表示","隠す")</f>
        <v/>
      </c>
    </row>
    <row r="1120" hidden="1" ht="21" customHeight="1">
      <c r="A1120" s="84" t="n"/>
      <c r="B1120" s="46">
        <f>'設定'!$I$31</f>
        <v/>
      </c>
      <c r="C1120" s="85" t="n"/>
      <c r="D1120" s="85" t="n"/>
      <c r="E1120" s="85" t="n"/>
      <c r="F1120" s="85" t="n"/>
      <c r="G1120" s="85" t="n"/>
      <c r="H1120" s="85" t="n"/>
      <c r="S1120">
        <f>IF(21&lt;='設定'!$B$6,"表示","隠す")</f>
        <v/>
      </c>
    </row>
    <row r="1121" hidden="1" ht="21" customHeight="1">
      <c r="A1121" s="84" t="n"/>
      <c r="B1121" s="46">
        <f>'設定'!$I$32</f>
        <v/>
      </c>
      <c r="C1121" s="85" t="n"/>
      <c r="D1121" s="85" t="n"/>
      <c r="E1121" s="85" t="n"/>
      <c r="F1121" s="85" t="n"/>
      <c r="G1121" s="85" t="n"/>
      <c r="H1121" s="85" t="n"/>
      <c r="S1121">
        <f>IF(22&lt;='設定'!$B$6,"表示","隠す")</f>
        <v/>
      </c>
    </row>
    <row r="1122" hidden="1" ht="21" customHeight="1">
      <c r="A1122" s="84" t="n"/>
      <c r="B1122" s="46">
        <f>'設定'!$I$33</f>
        <v/>
      </c>
      <c r="C1122" s="85" t="n"/>
      <c r="D1122" s="85" t="n"/>
      <c r="E1122" s="85" t="n"/>
      <c r="F1122" s="85" t="n"/>
      <c r="G1122" s="85" t="n"/>
      <c r="H1122" s="85" t="n"/>
      <c r="S1122">
        <f>IF(23&lt;='設定'!$B$6,"表示","隠す")</f>
        <v/>
      </c>
    </row>
    <row r="1123" hidden="1" ht="21" customHeight="1">
      <c r="A1123" s="84" t="n"/>
      <c r="B1123" s="46">
        <f>'設定'!$I$34</f>
        <v/>
      </c>
      <c r="C1123" s="85" t="n"/>
      <c r="D1123" s="85" t="n"/>
      <c r="E1123" s="85" t="n"/>
      <c r="F1123" s="85" t="n"/>
      <c r="G1123" s="85" t="n"/>
      <c r="H1123" s="85" t="n"/>
      <c r="S1123">
        <f>IF(24&lt;='設定'!$B$6,"表示","隠す")</f>
        <v/>
      </c>
    </row>
    <row r="1124">
      <c r="S1124" t="inlineStr">
        <is>
          <t>表示</t>
        </is>
      </c>
    </row>
  </sheetData>
  <autoFilter ref="A4:S1124">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Column colId="12" hiddenButton="1" showButton="1"/>
    <filterColumn colId="13" hiddenButton="1" showButton="1"/>
    <filterColumn colId="14" hiddenButton="1" showButton="1"/>
    <filterColumn colId="15" hiddenButton="1" showButton="1"/>
    <filterColumn colId="16" hiddenButton="1" showButton="1"/>
    <filterColumn colId="17" hiddenButton="1" showButton="1"/>
    <filterColumn colId="18" hiddenButton="1" showButton="1">
      <filters>
        <filter val="表示"/>
      </filters>
    </filterColumn>
  </autoFilter>
  <mergeCells count="84">
    <mergeCell ref="F929:G929"/>
    <mergeCell ref="F537:G537"/>
    <mergeCell ref="A1070:B1070"/>
    <mergeCell ref="F1097:G1097"/>
    <mergeCell ref="A398:B398"/>
    <mergeCell ref="A762:B762"/>
    <mergeCell ref="F173:G173"/>
    <mergeCell ref="A90:B90"/>
    <mergeCell ref="F369:G369"/>
    <mergeCell ref="A286:B286"/>
    <mergeCell ref="A930:B930"/>
    <mergeCell ref="A1014:B1014"/>
    <mergeCell ref="A790:B790"/>
    <mergeCell ref="A62:B62"/>
    <mergeCell ref="F341:G341"/>
    <mergeCell ref="A482:B482"/>
    <mergeCell ref="A538:B538"/>
    <mergeCell ref="F761:G761"/>
    <mergeCell ref="F565:G565"/>
    <mergeCell ref="F313:G313"/>
    <mergeCell ref="A230:B230"/>
    <mergeCell ref="B3:C3"/>
    <mergeCell ref="A986:B986"/>
    <mergeCell ref="A1042:B1042"/>
    <mergeCell ref="F397:G397"/>
    <mergeCell ref="F817:G817"/>
    <mergeCell ref="F733:G733"/>
    <mergeCell ref="A678:B678"/>
    <mergeCell ref="F5:G5"/>
    <mergeCell ref="A426:B426"/>
    <mergeCell ref="F33:G33"/>
    <mergeCell ref="A566:B566"/>
    <mergeCell ref="F789:G789"/>
    <mergeCell ref="F985:G985"/>
    <mergeCell ref="F593:G593"/>
    <mergeCell ref="A650:B650"/>
    <mergeCell ref="F61:G61"/>
    <mergeCell ref="A342:B342"/>
    <mergeCell ref="F621:G621"/>
    <mergeCell ref="A818:B818"/>
    <mergeCell ref="A622:B622"/>
    <mergeCell ref="A594:B594"/>
    <mergeCell ref="A510:B510"/>
    <mergeCell ref="A34:B34"/>
    <mergeCell ref="F257:G257"/>
    <mergeCell ref="F677:G677"/>
    <mergeCell ref="F89:G89"/>
    <mergeCell ref="A370:B370"/>
    <mergeCell ref="F649:G649"/>
    <mergeCell ref="A846:B846"/>
    <mergeCell ref="F201:G201"/>
    <mergeCell ref="F1013:G1013"/>
    <mergeCell ref="F901:G901"/>
    <mergeCell ref="F705:G705"/>
    <mergeCell ref="A902:B902"/>
    <mergeCell ref="F1041:G1041"/>
    <mergeCell ref="D3:E3"/>
    <mergeCell ref="F425:G425"/>
    <mergeCell ref="F229:G229"/>
    <mergeCell ref="F873:G873"/>
    <mergeCell ref="F117:G117"/>
    <mergeCell ref="A454:B454"/>
    <mergeCell ref="A874:B874"/>
    <mergeCell ref="A202:B202"/>
    <mergeCell ref="A258:B258"/>
    <mergeCell ref="B4:L4"/>
    <mergeCell ref="A958:B958"/>
    <mergeCell ref="A146:B146"/>
    <mergeCell ref="A6:B6"/>
    <mergeCell ref="F845:G845"/>
    <mergeCell ref="F285:G285"/>
    <mergeCell ref="A706:B706"/>
    <mergeCell ref="A174:B174"/>
    <mergeCell ref="F453:G453"/>
    <mergeCell ref="A118:B118"/>
    <mergeCell ref="F145:G145"/>
    <mergeCell ref="G3:H3"/>
    <mergeCell ref="A734:B734"/>
    <mergeCell ref="F957:G957"/>
    <mergeCell ref="A1098:B1098"/>
    <mergeCell ref="F509:G509"/>
    <mergeCell ref="F481:G481"/>
    <mergeCell ref="F1069:G1069"/>
    <mergeCell ref="A314:B314"/>
  </mergeCells>
  <conditionalFormatting sqref="C8:H31 C36:H59 C64:H87 C92:H115 C120:H143 C148:H171 C176:H199 C204:H227 C232:H255 C260:H283 C288:H311 C316:H339 C344:H367 C372:H395 C400:H423 C428:H451 C456:H479 C484:H507 C512:H535 C540:H563 C568:H591 C596:H619 C624:H647 C652:H675 C680:H703 C708:H731 C736:H759 C764:H787 C792:H815 C820:H843 C848:H871 C876:H899 C904:H927 C932:H955 C960:H983 C988:H1011 C1016:H1039 C1044:H1067 C1072:H1095 C1100:H1123">
    <cfRule type="expression" priority="1" dxfId="3" stopIfTrue="1">
      <formula>INDEX('calcA'!$D$115:$EQ$115,(COLUMN(C8)-3)*24+MOD(ROW(C8)-5,28)-2)=0</formula>
    </cfRule>
    <cfRule type="expression" priority="2" dxfId="11" stopIfTrue="1">
      <formula>INDEX('calcA'!$D$4:$EQ$4,(COLUMN(C8)-3)*24+MOD(ROW(C8)-5,28)-2)=0</formula>
    </cfRule>
    <cfRule type="expression" priority="3" dxfId="5" stopIfTrue="1">
      <formula>OR(C8&lt;&gt;"",INDEX('calcA'!$D$10:$EQ$54,INT((ROW(C8)-5)/28)+1,(COLUMN(C8)-3)*24+MOD(ROW(C8)-5,28)-2)=1)</formula>
    </cfRule>
    <cfRule type="expression" priority="4" dxfId="4">
      <formula>TRUE</formula>
    </cfRule>
  </conditionalFormatting>
  <conditionalFormatting sqref="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cfRule type="expression" priority="5" dxfId="3" stopIfTrue="1">
      <formula>INDEX('設定'!$B$11:$B$16,COLUMN(C6)-2)=""</formula>
    </cfRule>
    <cfRule type="expression" priority="6" dxfId="4">
      <formula>TRUE</formula>
    </cfRule>
  </conditionalFormatting>
  <conditionalFormatting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fRule type="expression" priority="7" dxfId="3" stopIfTrue="1">
      <formula>$B8=""</formula>
    </cfRule>
    <cfRule type="expression" priority="8" dxfId="4">
      <formula>TRUE</formula>
    </cfRule>
  </conditionalFormatting>
  <conditionalFormatting sqref="B8:B31 B36:B59 B64:B87 B92:B115 B120:B143 B148:B171 B176:B199 B204:B227 B232:B255 B260:B283 B288:B311 B316:B339 B344:B367 B372:B395 B400:B423 B428:B451 B456:B479 B484:B507 B512:B535 B540:B563 B568:B591 B596:B619 B624:B647 B652:B675 B680:B703 B708:B731 B736:B759 B764:B787 B792:B815 B820:B843 B848:B871 B876:B899 B904:B927 B932:B955 B960:B983 B988:B1011 B1016:B1039 B1044:B1067 B1072:B1095 B1100:B1123">
    <cfRule type="expression" priority="9" dxfId="3" stopIfTrue="1">
      <formula>B8=""</formula>
    </cfRule>
  </conditionalFormatting>
  <conditionalFormatting sqref="B4:L4">
    <cfRule type="expression" priority="10" dxfId="12">
      <formula>$B$4&lt;&gt;""</formula>
    </cfRule>
  </conditionalFormatting>
  <conditionalFormatting sqref="C7:H7 C35:H35 C63:H63 C91:H91 C119:H119 C147:H147 C175:H175 C203:H203 C231:H231 C259:H259 C287:H287 C315:H315 C343:H343 C371:H371 C399:H399 C427:H427 C455:H455 C483:H483 C511:H511 C539:H539 C567:H567 C595:H595 C623:H623 C651:H651 C679:H679 C707:H707 C735:H735 C763:H763 C791:H791 C819:H819 C847:H847 C875:H875 C903:H903 C931:H931 C959:H959 C987:H987 C1015:H1015 C1043:H1043 C1071:H1071 C1099:H1099">
    <cfRule type="expression" priority="11" dxfId="3">
      <formula>C7=""</formula>
    </cfRule>
  </conditionalFormatting>
  <dataValidations count="3">
    <dataValidation sqref="D3" showDropDown="0" showInputMessage="0" showErrorMessage="0" allowBlank="1" type="list">
      <formula1>='名簿'!$P$5:$P$44</formula1>
    </dataValidation>
    <dataValidation sqref="F5 F33 F61 F89 F117 F145 F173 F201 F229 F257 F285 F313 F341 F369 F397 F425 F453 F481 F509 F537 F565 F593 F621 F649 F677 F705 F733 F761 F789 F817 F845 F873 F901 F929 F957 F985 F1013 F1041 F1069 F1097" showDropDown="0" showInputMessage="0" showErrorMessage="0" allowBlank="1" type="list">
      <formula1>"×なし（どこでもOK）,未提出"</formula1>
    </dataValidation>
    <dataValidation sqref="A8:A31 A36:A59 A64:A87 A92:A115 A120:A143 A148:A171 A176:A199 A204:A227 A232:A255 A260:A283 A288:A311 A316:A339 A344:A367 A372:A395 A400:A423 A428:A451 A456:A479 A484:A507 A512:A535 A540:A563 A568:A591 A596:A619 A624:A647 A652:A675 A680:A703 A708:A731 A736:A759 A764:A787 A792:A815 A820:A843 A848:A871 A876:A899 A904:A927 A932:A955 A960:A983 A988:A1011 A1016:A1039 A1044:A1067 A1072:A1095 A1100:A1123 C6:H6 C34:H34 C62:H62 C90:H90 C118:H118 C146:H146 C174:H174 C202:H202 C230:H230 C258:H258 C286:H286 C314:H314 C342:H342 C370:H370 C398:H398 C426:H426 C454:H454 C482:H482 C510:H510 C538:H538 C566:H566 C594:H594 C622:H622 C650:H650 C678:H678 C706:H706 C734:H734 C762:H762 C790:H790 C818:H818 C846:H846 C874:H874 C902:H902 C930:H930 C958:H958 C986:H986 C1014:H1014 C1042:H1042 C1070:H1070 C1098:H1098" showDropDown="0" showInputMessage="0" showErrorMessage="1" allowBlank="1" error="「×」を選んでください（消すときは Delete）。" type="list">
      <formula1>"×"</formula1>
    </dataValidation>
  </dataValidations>
  <hyperlinks>
    <hyperlink ref="G3" location="'×入力'!G3" display="▶ 次の未入力の子へ"/>
  </hyperlinks>
  <pageMargins left="0.75" right="0.75" top="1" bottom="1" header="0.5" footer="0.5"/>
</worksheet>
</file>

<file path=xl/worksheets/sheet5.xml><?xml version="1.0" encoding="utf-8"?>
<worksheet xmlns="http://schemas.openxmlformats.org/spreadsheetml/2006/main">
  <sheetPr>
    <tabColor rgb="003A6DB5"/>
    <outlinePr summaryBelow="1" summaryRight="1"/>
    <pageSetUpPr/>
  </sheetPr>
  <dimension ref="A1:Q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71" t="inlineStr">
        <is>
          <t>自動案A（詰める）</t>
        </is>
      </c>
      <c r="C1" s="2" t="n"/>
      <c r="D1" s="2" t="n"/>
      <c r="E1" s="22">
        <f>HYPERLINK("#'ホーム'!A1","ホーム")</f>
        <v/>
      </c>
      <c r="F1" s="22">
        <f>HYPERLINK("#'設定'!A1","① 設定")</f>
        <v/>
      </c>
      <c r="G1" s="22">
        <f>HYPERLINK("#'名簿'!A1","② 名簿")</f>
        <v/>
      </c>
      <c r="H1" s="22">
        <f>HYPERLINK("#'×入力'!A1","③ ×入力")</f>
        <v/>
      </c>
      <c r="I1" s="2" t="n"/>
      <c r="J1" s="2" t="n"/>
      <c r="K1" s="2" t="n"/>
      <c r="L1" s="23">
        <f>HYPERLINK("#'自動案A'!A1","④ 自動案A")</f>
        <v/>
      </c>
      <c r="M1" s="22">
        <f>HYPERLINK("#'自動案B'!A1","④ 自動案B")</f>
        <v/>
      </c>
      <c r="N1" s="22">
        <f>HYPERLINK("#'調整・決定'!A1","⑤ 調整・決定")</f>
        <v/>
      </c>
      <c r="O1" s="22">
        <f>HYPERLINK("#'兄弟確認用'!A1","⑥ 兄弟確認")</f>
        <v/>
      </c>
      <c r="P1" s="22">
        <f>HYPERLINK("#'お手紙（夏）'!A1","⑦ お手紙 夏")</f>
        <v/>
      </c>
      <c r="Q1" s="22">
        <f>HYPERLINK("#'お手紙（秋）'!A1","⑧ お手紙 秋")</f>
        <v/>
      </c>
    </row>
    <row r="2" ht="24" customHeight="1">
      <c r="A2" s="5" t="n"/>
      <c r="B2" s="72" t="inlineStr">
        <is>
          <t>入れられる枠が少ない家庭から順に、設定の「詰め方」で詰めて組んだ案です。緑が新しく入った人。よければ［この案を「調整・決定」へ写す］を押します。</t>
        </is>
      </c>
      <c r="C2" s="5" t="n"/>
      <c r="D2" s="5" t="n"/>
      <c r="E2" s="5" t="n"/>
      <c r="F2" s="5" t="n"/>
      <c r="G2" s="5" t="n"/>
      <c r="H2" s="5" t="n"/>
      <c r="I2" s="5" t="n"/>
      <c r="J2" s="5" t="n"/>
      <c r="K2" s="5" t="n"/>
      <c r="L2" s="5" t="n"/>
      <c r="M2" s="5" t="n"/>
      <c r="N2" s="5" t="n"/>
      <c r="O2" s="5" t="n"/>
      <c r="P2" s="5" t="n"/>
      <c r="Q2" s="5" t="n"/>
    </row>
    <row r="3" ht="40" customHeight="1">
      <c r="C3" s="86" t="inlineStr">
        <is>
          <t>新しく入った人</t>
        </is>
      </c>
      <c r="D3" s="87" t="inlineStr">
        <is>
          <t>後ろを空ける枠</t>
        </is>
      </c>
      <c r="E3" s="88" t="inlineStr">
        <is>
          <t>なるべく空ける日・休憩</t>
        </is>
      </c>
      <c r="F3" s="89" t="inlineStr">
        <is>
          <t>先生の都合で使えない</t>
        </is>
      </c>
      <c r="J3" s="90" t="inlineStr">
        <is>
          <t>▶ 自動案を作る（A・B両方）</t>
        </is>
      </c>
      <c r="K3" s="91" t="inlineStr">
        <is>
          <t>▶ この案を「調整・決定」へ写す</t>
        </is>
      </c>
    </row>
    <row r="4" ht="56" customHeight="1">
      <c r="C4" s="92">
        <f>IF(calcA!$A$6=0,"まだ自動案を作っていません。集まった分で作るときは、右上の［自動案を作る］を押してください（未提出の家庭がいても大丈夫です）。",IF(calcA!$A$6=2,"⚠ 自動案を作ったあとに、×・名簿・設定・調整・決定が変わりました。もう一度［自動案を作る］を押してください（いまの表は前に作ったときの案です）。","最後に作った時："&amp;TEXT('calcB'!$D$1,"m/d h:mm")&amp;"　「調整・決定」に入れた人は、自動案では動きません（その枠に固定）。全部作り直したいときは、調整・決定の表の名前を消してください。"))</f>
        <v/>
      </c>
      <c r="D4" s="93" t="n"/>
      <c r="E4" s="93" t="n"/>
      <c r="F4" s="93" t="n"/>
      <c r="G4" s="93" t="n"/>
      <c r="H4" s="94" t="n"/>
    </row>
    <row r="5">
      <c r="B5" s="38" t="inlineStr"/>
      <c r="C5" s="39">
        <f>'設定'!$E$11</f>
        <v/>
      </c>
      <c r="D5" s="39">
        <f>'設定'!$E$12</f>
        <v/>
      </c>
      <c r="E5" s="39">
        <f>'設定'!$E$13</f>
        <v/>
      </c>
      <c r="F5" s="39">
        <f>'設定'!$E$14</f>
        <v/>
      </c>
      <c r="G5" s="39">
        <f>'設定'!$E$15</f>
        <v/>
      </c>
      <c r="H5" s="39">
        <f>'設定'!$E$16</f>
        <v/>
      </c>
      <c r="J5" s="95" t="inlineStr">
        <is>
          <t>決定済み（調整・決定シート）</t>
        </is>
      </c>
      <c r="K5" s="96">
        <f>SUMPRODUCT(('調整・決定'!$C$6:$H$29&lt;&gt;"")*1)&amp;" 人"</f>
        <v/>
      </c>
    </row>
    <row r="6" ht="26" customHeight="1">
      <c r="B6" s="46">
        <f>'設定'!$I$11</f>
        <v/>
      </c>
      <c r="C6" s="27">
        <f>IF('calcA'!D$4=0,"",IF('調整・決定'!C6&lt;&gt;"",'調整・決定'!C6,IFERROR(INDEX('名簿'!$P$5:$P$49,INDEX('calcB'!$B$3:$B$47,MATCH(1,'calcB'!$C$3:$C$47,0))),"")))</f>
        <v/>
      </c>
      <c r="D6" s="27">
        <f>IF('calcA'!AB$4=0,"",IF('調整・決定'!D6&lt;&gt;"",'調整・決定'!D6,IFERROR(INDEX('名簿'!$P$5:$P$49,INDEX('calcB'!$B$3:$B$47,MATCH(25,'calcB'!$C$3:$C$47,0))),"")))</f>
        <v/>
      </c>
      <c r="E6" s="27">
        <f>IF('calcA'!AZ$4=0,"",IF('調整・決定'!E6&lt;&gt;"",'調整・決定'!E6,IFERROR(INDEX('名簿'!$P$5:$P$49,INDEX('calcB'!$B$3:$B$47,MATCH(49,'calcB'!$C$3:$C$47,0))),"")))</f>
        <v/>
      </c>
      <c r="F6" s="27">
        <f>IF('calcA'!BX$4=0,"",IF('調整・決定'!F6&lt;&gt;"",'調整・決定'!F6,IFERROR(INDEX('名簿'!$P$5:$P$49,INDEX('calcB'!$B$3:$B$47,MATCH(73,'calcB'!$C$3:$C$47,0))),"")))</f>
        <v/>
      </c>
      <c r="G6" s="27">
        <f>IF('calcA'!CV$4=0,"",IF('調整・決定'!G6&lt;&gt;"",'調整・決定'!G6,IFERROR(INDEX('名簿'!$P$5:$P$49,INDEX('calcB'!$B$3:$B$47,MATCH(97,'calcB'!$C$3:$C$47,0))),"")))</f>
        <v/>
      </c>
      <c r="H6" s="27">
        <f>IF('calcA'!DT$4=0,"",IF('調整・決定'!H6&lt;&gt;"",'調整・決定'!H6,IFERROR(INDEX('名簿'!$P$5:$P$49,INDEX('calcB'!$B$3:$B$47,MATCH(121,'calcB'!$C$3:$C$47,0))),"")))</f>
        <v/>
      </c>
      <c r="J6" s="95" t="inlineStr">
        <is>
          <t>自動で新しく入った</t>
        </is>
      </c>
      <c r="K6" s="96">
        <f>SUMPRODUCT(('calcB'!$B$3:$B$47&gt;0)*('calcB'!$C$3:$C$47&gt;0))&amp;" 人"</f>
        <v/>
      </c>
    </row>
    <row r="7" ht="26" customHeight="1">
      <c r="B7" s="46">
        <f>'設定'!$I$12</f>
        <v/>
      </c>
      <c r="C7" s="27">
        <f>IF('calcA'!E$4=0,"",IF('調整・決定'!C7&lt;&gt;"",'調整・決定'!C7,IFERROR(INDEX('名簿'!$P$5:$P$49,INDEX('calcB'!$B$3:$B$47,MATCH(2,'calcB'!$C$3:$C$47,0))),"")))</f>
        <v/>
      </c>
      <c r="D7" s="27">
        <f>IF('calcA'!AC$4=0,"",IF('調整・決定'!D7&lt;&gt;"",'調整・決定'!D7,IFERROR(INDEX('名簿'!$P$5:$P$49,INDEX('calcB'!$B$3:$B$47,MATCH(26,'calcB'!$C$3:$C$47,0))),"")))</f>
        <v/>
      </c>
      <c r="E7" s="27">
        <f>IF('calcA'!BA$4=0,"",IF('調整・決定'!E7&lt;&gt;"",'調整・決定'!E7,IFERROR(INDEX('名簿'!$P$5:$P$49,INDEX('calcB'!$B$3:$B$47,MATCH(50,'calcB'!$C$3:$C$47,0))),"")))</f>
        <v/>
      </c>
      <c r="F7" s="27">
        <f>IF('calcA'!BY$4=0,"",IF('調整・決定'!F7&lt;&gt;"",'調整・決定'!F7,IFERROR(INDEX('名簿'!$P$5:$P$49,INDEX('calcB'!$B$3:$B$47,MATCH(74,'calcB'!$C$3:$C$47,0))),"")))</f>
        <v/>
      </c>
      <c r="G7" s="27">
        <f>IF('calcA'!CW$4=0,"",IF('調整・決定'!G7&lt;&gt;"",'調整・決定'!G7,IFERROR(INDEX('名簿'!$P$5:$P$49,INDEX('calcB'!$B$3:$B$47,MATCH(98,'calcB'!$C$3:$C$47,0))),"")))</f>
        <v/>
      </c>
      <c r="H7" s="27">
        <f>IF('calcA'!DU$4=0,"",IF('調整・決定'!H7&lt;&gt;"",'調整・決定'!H7,IFERROR(INDEX('名簿'!$P$5:$P$49,INDEX('calcB'!$B$3:$B$47,MATCH(122,'calcB'!$C$3:$C$47,0))),"")))</f>
        <v/>
      </c>
    </row>
    <row r="8" ht="30" customHeight="1">
      <c r="B8" s="46">
        <f>'設定'!$I$13</f>
        <v/>
      </c>
      <c r="C8" s="27">
        <f>IF('calcA'!F$4=0,"",IF('調整・決定'!C8&lt;&gt;"",'調整・決定'!C8,IFERROR(INDEX('名簿'!$P$5:$P$49,INDEX('calcB'!$B$3:$B$47,MATCH(3,'calcB'!$C$3:$C$47,0))),"")))</f>
        <v/>
      </c>
      <c r="D8" s="27">
        <f>IF('calcA'!AD$4=0,"",IF('調整・決定'!D8&lt;&gt;"",'調整・決定'!D8,IFERROR(INDEX('名簿'!$P$5:$P$49,INDEX('calcB'!$B$3:$B$47,MATCH(27,'calcB'!$C$3:$C$47,0))),"")))</f>
        <v/>
      </c>
      <c r="E8" s="27">
        <f>IF('calcA'!BB$4=0,"",IF('調整・決定'!E8&lt;&gt;"",'調整・決定'!E8,IFERROR(INDEX('名簿'!$P$5:$P$49,INDEX('calcB'!$B$3:$B$47,MATCH(51,'calcB'!$C$3:$C$47,0))),"")))</f>
        <v/>
      </c>
      <c r="F8" s="27">
        <f>IF('calcA'!BZ$4=0,"",IF('調整・決定'!F8&lt;&gt;"",'調整・決定'!F8,IFERROR(INDEX('名簿'!$P$5:$P$49,INDEX('calcB'!$B$3:$B$47,MATCH(75,'calcB'!$C$3:$C$47,0))),"")))</f>
        <v/>
      </c>
      <c r="G8" s="27">
        <f>IF('calcA'!CX$4=0,"",IF('調整・決定'!G8&lt;&gt;"",'調整・決定'!G8,IFERROR(INDEX('名簿'!$P$5:$P$49,INDEX('calcB'!$B$3:$B$47,MATCH(99,'calcB'!$C$3:$C$47,0))),"")))</f>
        <v/>
      </c>
      <c r="H8" s="27">
        <f>IF('calcA'!DV$4=0,"",IF('調整・決定'!H8&lt;&gt;"",'調整・決定'!H8,IFERROR(INDEX('名簿'!$P$5:$P$49,INDEX('calcB'!$B$3:$B$47,MATCH(123,'calcB'!$C$3:$C$47,0))),"")))</f>
        <v/>
      </c>
      <c r="J8" s="97" t="inlineStr">
        <is>
          <t>入る枠がない（×・必ず空けたい）</t>
        </is>
      </c>
      <c r="K8" s="98">
        <f t="array" ref="K8">_xlfn.TEXTJOIN("、",TRUE,IF('calcA'!$IL$10:$IL$54=1,'calcA'!$B$10:$B$54,""))</f>
        <v/>
      </c>
    </row>
    <row r="9" ht="26" customHeight="1">
      <c r="B9" s="46">
        <f>'設定'!$I$14</f>
        <v/>
      </c>
      <c r="C9" s="27">
        <f>IF('calcA'!G$4=0,"",IF('調整・決定'!C9&lt;&gt;"",'調整・決定'!C9,IFERROR(INDEX('名簿'!$P$5:$P$49,INDEX('calcB'!$B$3:$B$47,MATCH(4,'calcB'!$C$3:$C$47,0))),"")))</f>
        <v/>
      </c>
      <c r="D9" s="27">
        <f>IF('calcA'!AE$4=0,"",IF('調整・決定'!D9&lt;&gt;"",'調整・決定'!D9,IFERROR(INDEX('名簿'!$P$5:$P$49,INDEX('calcB'!$B$3:$B$47,MATCH(28,'calcB'!$C$3:$C$47,0))),"")))</f>
        <v/>
      </c>
      <c r="E9" s="27">
        <f>IF('calcA'!BC$4=0,"",IF('調整・決定'!E9&lt;&gt;"",'調整・決定'!E9,IFERROR(INDEX('名簿'!$P$5:$P$49,INDEX('calcB'!$B$3:$B$47,MATCH(52,'calcB'!$C$3:$C$47,0))),"")))</f>
        <v/>
      </c>
      <c r="F9" s="27">
        <f>IF('calcA'!CA$4=0,"",IF('調整・決定'!F9&lt;&gt;"",'調整・決定'!F9,IFERROR(INDEX('名簿'!$P$5:$P$49,INDEX('calcB'!$B$3:$B$47,MATCH(76,'calcB'!$C$3:$C$47,0))),"")))</f>
        <v/>
      </c>
      <c r="G9" s="27">
        <f>IF('calcA'!CY$4=0,"",IF('調整・決定'!G9&lt;&gt;"",'調整・決定'!G9,IFERROR(INDEX('名簿'!$P$5:$P$49,INDEX('calcB'!$B$3:$B$47,MATCH(100,'calcB'!$C$3:$C$47,0))),"")))</f>
        <v/>
      </c>
      <c r="H9" s="27">
        <f>IF('calcA'!DW$4=0,"",IF('調整・決定'!H9&lt;&gt;"",'調整・決定'!H9,IFERROR(INDEX('名簿'!$P$5:$P$49,INDEX('calcB'!$B$3:$B$47,MATCH(124,'calcB'!$C$3:$C$47,0))),"")))</f>
        <v/>
      </c>
    </row>
    <row r="10" ht="30" customHeight="1">
      <c r="B10" s="46">
        <f>'設定'!$I$15</f>
        <v/>
      </c>
      <c r="C10" s="27">
        <f>IF('calcA'!H$4=0,"",IF('調整・決定'!C10&lt;&gt;"",'調整・決定'!C10,IFERROR(INDEX('名簿'!$P$5:$P$49,INDEX('calcB'!$B$3:$B$47,MATCH(5,'calcB'!$C$3:$C$47,0))),"")))</f>
        <v/>
      </c>
      <c r="D10" s="27">
        <f>IF('calcA'!AF$4=0,"",IF('調整・決定'!D10&lt;&gt;"",'調整・決定'!D10,IFERROR(INDEX('名簿'!$P$5:$P$49,INDEX('calcB'!$B$3:$B$47,MATCH(29,'calcB'!$C$3:$C$47,0))),"")))</f>
        <v/>
      </c>
      <c r="E10" s="27">
        <f>IF('calcA'!BD$4=0,"",IF('調整・決定'!E10&lt;&gt;"",'調整・決定'!E10,IFERROR(INDEX('名簿'!$P$5:$P$49,INDEX('calcB'!$B$3:$B$47,MATCH(53,'calcB'!$C$3:$C$47,0))),"")))</f>
        <v/>
      </c>
      <c r="F10" s="27">
        <f>IF('calcA'!CB$4=0,"",IF('調整・決定'!F10&lt;&gt;"",'調整・決定'!F10,IFERROR(INDEX('名簿'!$P$5:$P$49,INDEX('calcB'!$B$3:$B$47,MATCH(77,'calcB'!$C$3:$C$47,0))),"")))</f>
        <v/>
      </c>
      <c r="G10" s="27">
        <f>IF('calcA'!CZ$4=0,"",IF('調整・決定'!G10&lt;&gt;"",'調整・決定'!G10,IFERROR(INDEX('名簿'!$P$5:$P$49,INDEX('calcB'!$B$3:$B$47,MATCH(101,'calcB'!$C$3:$C$47,0))),"")))</f>
        <v/>
      </c>
      <c r="H10" s="27">
        <f>IF('calcA'!DX$4=0,"",IF('調整・決定'!H10&lt;&gt;"",'調整・決定'!H10,IFERROR(INDEX('名簿'!$P$5:$P$49,INDEX('calcB'!$B$3:$B$47,MATCH(125,'calcB'!$C$3:$C$47,0))),"")))</f>
        <v/>
      </c>
      <c r="J10" s="99" t="inlineStr">
        <is>
          <t>未入力・未提出で外した</t>
        </is>
      </c>
      <c r="K10" s="100">
        <f t="array" ref="K10">_xlfn.TEXTJOIN("、",TRUE,IF((('名簿'!$Q$5:$Q$49="未入力")+('名簿'!$Q$5:$Q$49="未提出"))*('calcA'!$IO$10:$IO$54=0),'名簿'!$P$5:$P$49,""))</f>
        <v/>
      </c>
    </row>
    <row r="11" ht="26" customHeight="1">
      <c r="B11" s="46">
        <f>'設定'!$I$16</f>
        <v/>
      </c>
      <c r="C11" s="27">
        <f>IF('calcA'!I$4=0,"",IF('調整・決定'!C11&lt;&gt;"",'調整・決定'!C11,IFERROR(INDEX('名簿'!$P$5:$P$49,INDEX('calcB'!$B$3:$B$47,MATCH(6,'calcB'!$C$3:$C$47,0))),"")))</f>
        <v/>
      </c>
      <c r="D11" s="27">
        <f>IF('calcA'!AG$4=0,"",IF('調整・決定'!D11&lt;&gt;"",'調整・決定'!D11,IFERROR(INDEX('名簿'!$P$5:$P$49,INDEX('calcB'!$B$3:$B$47,MATCH(30,'calcB'!$C$3:$C$47,0))),"")))</f>
        <v/>
      </c>
      <c r="E11" s="27">
        <f>IF('calcA'!BE$4=0,"",IF('調整・決定'!E11&lt;&gt;"",'調整・決定'!E11,IFERROR(INDEX('名簿'!$P$5:$P$49,INDEX('calcB'!$B$3:$B$47,MATCH(54,'calcB'!$C$3:$C$47,0))),"")))</f>
        <v/>
      </c>
      <c r="F11" s="27">
        <f>IF('calcA'!CC$4=0,"",IF('調整・決定'!F11&lt;&gt;"",'調整・決定'!F11,IFERROR(INDEX('名簿'!$P$5:$P$49,INDEX('calcB'!$B$3:$B$47,MATCH(78,'calcB'!$C$3:$C$47,0))),"")))</f>
        <v/>
      </c>
      <c r="G11" s="27">
        <f>IF('calcA'!DA$4=0,"",IF('調整・決定'!G11&lt;&gt;"",'調整・決定'!G11,IFERROR(INDEX('名簿'!$P$5:$P$49,INDEX('calcB'!$B$3:$B$47,MATCH(102,'calcB'!$C$3:$C$47,0))),"")))</f>
        <v/>
      </c>
      <c r="H11" s="27">
        <f>IF('calcA'!DY$4=0,"",IF('調整・決定'!H11&lt;&gt;"",'調整・決定'!H11,IFERROR(INDEX('名簿'!$P$5:$P$49,INDEX('calcB'!$B$3:$B$47,MATCH(126,'calcB'!$C$3:$C$47,0))),"")))</f>
        <v/>
      </c>
    </row>
    <row r="12" ht="26" customHeight="1">
      <c r="B12" s="46">
        <f>'設定'!$I$17</f>
        <v/>
      </c>
      <c r="C12" s="27">
        <f>IF('calcA'!J$4=0,"",IF('調整・決定'!C12&lt;&gt;"",'調整・決定'!C12,IFERROR(INDEX('名簿'!$P$5:$P$49,INDEX('calcB'!$B$3:$B$47,MATCH(7,'calcB'!$C$3:$C$47,0))),"")))</f>
        <v/>
      </c>
      <c r="D12" s="27">
        <f>IF('calcA'!AH$4=0,"",IF('調整・決定'!D12&lt;&gt;"",'調整・決定'!D12,IFERROR(INDEX('名簿'!$P$5:$P$49,INDEX('calcB'!$B$3:$B$47,MATCH(31,'calcB'!$C$3:$C$47,0))),"")))</f>
        <v/>
      </c>
      <c r="E12" s="27">
        <f>IF('calcA'!BF$4=0,"",IF('調整・決定'!E12&lt;&gt;"",'調整・決定'!E12,IFERROR(INDEX('名簿'!$P$5:$P$49,INDEX('calcB'!$B$3:$B$47,MATCH(55,'calcB'!$C$3:$C$47,0))),"")))</f>
        <v/>
      </c>
      <c r="F12" s="27">
        <f>IF('calcA'!CD$4=0,"",IF('調整・決定'!F12&lt;&gt;"",'調整・決定'!F12,IFERROR(INDEX('名簿'!$P$5:$P$49,INDEX('calcB'!$B$3:$B$47,MATCH(79,'calcB'!$C$3:$C$47,0))),"")))</f>
        <v/>
      </c>
      <c r="G12" s="27">
        <f>IF('calcA'!DB$4=0,"",IF('調整・決定'!G12&lt;&gt;"",'調整・決定'!G12,IFERROR(INDEX('名簿'!$P$5:$P$49,INDEX('calcB'!$B$3:$B$47,MATCH(103,'calcB'!$C$3:$C$47,0))),"")))</f>
        <v/>
      </c>
      <c r="H12" s="27">
        <f>IF('calcA'!DZ$4=0,"",IF('調整・決定'!H12&lt;&gt;"",'調整・決定'!H12,IFERROR(INDEX('名簿'!$P$5:$P$49,INDEX('calcB'!$B$3:$B$47,MATCH(127,'calcB'!$C$3:$C$47,0))),"")))</f>
        <v/>
      </c>
      <c r="J12" s="95" t="inlineStr">
        <is>
          <t>なるべく空けたい枠を使った</t>
        </is>
      </c>
      <c r="K12" s="96">
        <f>SUM('calcB'!$D$3:$D$47)&amp;" 枠"</f>
        <v/>
      </c>
    </row>
    <row r="13" ht="26" customHeight="1">
      <c r="B13" s="46">
        <f>'設定'!$I$18</f>
        <v/>
      </c>
      <c r="C13" s="27">
        <f>IF('calcA'!K$4=0,"",IF('調整・決定'!C13&lt;&gt;"",'調整・決定'!C13,IFERROR(INDEX('名簿'!$P$5:$P$49,INDEX('calcB'!$B$3:$B$47,MATCH(8,'calcB'!$C$3:$C$47,0))),"")))</f>
        <v/>
      </c>
      <c r="D13" s="27">
        <f>IF('calcA'!AI$4=0,"",IF('調整・決定'!D13&lt;&gt;"",'調整・決定'!D13,IFERROR(INDEX('名簿'!$P$5:$P$49,INDEX('calcB'!$B$3:$B$47,MATCH(32,'calcB'!$C$3:$C$47,0))),"")))</f>
        <v/>
      </c>
      <c r="E13" s="27">
        <f>IF('calcA'!BG$4=0,"",IF('調整・決定'!E13&lt;&gt;"",'調整・決定'!E13,IFERROR(INDEX('名簿'!$P$5:$P$49,INDEX('calcB'!$B$3:$B$47,MATCH(56,'calcB'!$C$3:$C$47,0))),"")))</f>
        <v/>
      </c>
      <c r="F13" s="27">
        <f>IF('calcA'!CE$4=0,"",IF('調整・決定'!F13&lt;&gt;"",'調整・決定'!F13,IFERROR(INDEX('名簿'!$P$5:$P$49,INDEX('calcB'!$B$3:$B$47,MATCH(80,'calcB'!$C$3:$C$47,0))),"")))</f>
        <v/>
      </c>
      <c r="G13" s="27">
        <f>IF('calcA'!DC$4=0,"",IF('調整・決定'!G13&lt;&gt;"",'調整・決定'!G13,IFERROR(INDEX('名簿'!$P$5:$P$49,INDEX('calcB'!$B$3:$B$47,MATCH(104,'calcB'!$C$3:$C$47,0))),"")))</f>
        <v/>
      </c>
      <c r="H13" s="27">
        <f>IF('calcA'!EA$4=0,"",IF('調整・決定'!H13&lt;&gt;"",'調整・決定'!H13,IFERROR(INDEX('名簿'!$P$5:$P$49,INDEX('calcB'!$B$3:$B$47,MATCH(128,'calcB'!$C$3:$C$47,0))),"")))</f>
        <v/>
      </c>
      <c r="J13" s="95" t="inlineStr">
        <is>
          <t>日ごとの人数</t>
        </is>
      </c>
    </row>
    <row r="14" ht="26" customHeight="1">
      <c r="B14" s="46">
        <f>'設定'!$I$19</f>
        <v/>
      </c>
      <c r="C14" s="27">
        <f>IF('calcA'!L$4=0,"",IF('調整・決定'!C14&lt;&gt;"",'調整・決定'!C14,IFERROR(INDEX('名簿'!$P$5:$P$49,INDEX('calcB'!$B$3:$B$47,MATCH(9,'calcB'!$C$3:$C$47,0))),"")))</f>
        <v/>
      </c>
      <c r="D14" s="27">
        <f>IF('calcA'!AJ$4=0,"",IF('調整・決定'!D14&lt;&gt;"",'調整・決定'!D14,IFERROR(INDEX('名簿'!$P$5:$P$49,INDEX('calcB'!$B$3:$B$47,MATCH(33,'calcB'!$C$3:$C$47,0))),"")))</f>
        <v/>
      </c>
      <c r="E14" s="27">
        <f>IF('calcA'!BH$4=0,"",IF('調整・決定'!E14&lt;&gt;"",'調整・決定'!E14,IFERROR(INDEX('名簿'!$P$5:$P$49,INDEX('calcB'!$B$3:$B$47,MATCH(57,'calcB'!$C$3:$C$47,0))),"")))</f>
        <v/>
      </c>
      <c r="F14" s="27">
        <f>IF('calcA'!CF$4=0,"",IF('調整・決定'!F14&lt;&gt;"",'調整・決定'!F14,IFERROR(INDEX('名簿'!$P$5:$P$49,INDEX('calcB'!$B$3:$B$47,MATCH(81,'calcB'!$C$3:$C$47,0))),"")))</f>
        <v/>
      </c>
      <c r="G14" s="27">
        <f>IF('calcA'!DD$4=0,"",IF('調整・決定'!G14&lt;&gt;"",'調整・決定'!G14,IFERROR(INDEX('名簿'!$P$5:$P$49,INDEX('calcB'!$B$3:$B$47,MATCH(105,'calcB'!$C$3:$C$47,0))),"")))</f>
        <v/>
      </c>
      <c r="H14" s="27">
        <f>IF('calcA'!EB$4=0,"",IF('調整・決定'!H14&lt;&gt;"",'調整・決定'!H14,IFERROR(INDEX('名簿'!$P$5:$P$49,INDEX('calcB'!$B$3:$B$47,MATCH(129,'calcB'!$C$3:$C$47,0))),"")))</f>
        <v/>
      </c>
      <c r="J14" s="101">
        <f>IF('設定'!$E$11="","",'設定'!$E$11)</f>
        <v/>
      </c>
      <c r="K14" s="102">
        <f>IF(J14="","",COUNTIF(C6:C29,"?*")&amp;" 人")</f>
        <v/>
      </c>
    </row>
    <row r="15" ht="26" customHeight="1">
      <c r="B15" s="46">
        <f>'設定'!$I$20</f>
        <v/>
      </c>
      <c r="C15" s="27">
        <f>IF('calcA'!M$4=0,"",IF('調整・決定'!C15&lt;&gt;"",'調整・決定'!C15,IFERROR(INDEX('名簿'!$P$5:$P$49,INDEX('calcB'!$B$3:$B$47,MATCH(10,'calcB'!$C$3:$C$47,0))),"")))</f>
        <v/>
      </c>
      <c r="D15" s="27">
        <f>IF('calcA'!AK$4=0,"",IF('調整・決定'!D15&lt;&gt;"",'調整・決定'!D15,IFERROR(INDEX('名簿'!$P$5:$P$49,INDEX('calcB'!$B$3:$B$47,MATCH(34,'calcB'!$C$3:$C$47,0))),"")))</f>
        <v/>
      </c>
      <c r="E15" s="27">
        <f>IF('calcA'!BI$4=0,"",IF('調整・決定'!E15&lt;&gt;"",'調整・決定'!E15,IFERROR(INDEX('名簿'!$P$5:$P$49,INDEX('calcB'!$B$3:$B$47,MATCH(58,'calcB'!$C$3:$C$47,0))),"")))</f>
        <v/>
      </c>
      <c r="F15" s="27">
        <f>IF('calcA'!CG$4=0,"",IF('調整・決定'!F15&lt;&gt;"",'調整・決定'!F15,IFERROR(INDEX('名簿'!$P$5:$P$49,INDEX('calcB'!$B$3:$B$47,MATCH(82,'calcB'!$C$3:$C$47,0))),"")))</f>
        <v/>
      </c>
      <c r="G15" s="27">
        <f>IF('calcA'!DE$4=0,"",IF('調整・決定'!G15&lt;&gt;"",'調整・決定'!G15,IFERROR(INDEX('名簿'!$P$5:$P$49,INDEX('calcB'!$B$3:$B$47,MATCH(106,'calcB'!$C$3:$C$47,0))),"")))</f>
        <v/>
      </c>
      <c r="H15" s="27">
        <f>IF('calcA'!EC$4=0,"",IF('調整・決定'!H15&lt;&gt;"",'調整・決定'!H15,IFERROR(INDEX('名簿'!$P$5:$P$49,INDEX('calcB'!$B$3:$B$47,MATCH(130,'calcB'!$C$3:$C$47,0))),"")))</f>
        <v/>
      </c>
      <c r="J15" s="101">
        <f>IF('設定'!$E$12="","",'設定'!$E$12)</f>
        <v/>
      </c>
      <c r="K15" s="102">
        <f>IF(J15="","",COUNTIF(D6:D29,"?*")&amp;" 人")</f>
        <v/>
      </c>
    </row>
    <row r="16" ht="26" customHeight="1">
      <c r="B16" s="46">
        <f>'設定'!$I$21</f>
        <v/>
      </c>
      <c r="C16" s="27">
        <f>IF('calcA'!N$4=0,"",IF('調整・決定'!C16&lt;&gt;"",'調整・決定'!C16,IFERROR(INDEX('名簿'!$P$5:$P$49,INDEX('calcB'!$B$3:$B$47,MATCH(11,'calcB'!$C$3:$C$47,0))),"")))</f>
        <v/>
      </c>
      <c r="D16" s="27">
        <f>IF('calcA'!AL$4=0,"",IF('調整・決定'!D16&lt;&gt;"",'調整・決定'!D16,IFERROR(INDEX('名簿'!$P$5:$P$49,INDEX('calcB'!$B$3:$B$47,MATCH(35,'calcB'!$C$3:$C$47,0))),"")))</f>
        <v/>
      </c>
      <c r="E16" s="27">
        <f>IF('calcA'!BJ$4=0,"",IF('調整・決定'!E16&lt;&gt;"",'調整・決定'!E16,IFERROR(INDEX('名簿'!$P$5:$P$49,INDEX('calcB'!$B$3:$B$47,MATCH(59,'calcB'!$C$3:$C$47,0))),"")))</f>
        <v/>
      </c>
      <c r="F16" s="27">
        <f>IF('calcA'!CH$4=0,"",IF('調整・決定'!F16&lt;&gt;"",'調整・決定'!F16,IFERROR(INDEX('名簿'!$P$5:$P$49,INDEX('calcB'!$B$3:$B$47,MATCH(83,'calcB'!$C$3:$C$47,0))),"")))</f>
        <v/>
      </c>
      <c r="G16" s="27">
        <f>IF('calcA'!DF$4=0,"",IF('調整・決定'!G16&lt;&gt;"",'調整・決定'!G16,IFERROR(INDEX('名簿'!$P$5:$P$49,INDEX('calcB'!$B$3:$B$47,MATCH(107,'calcB'!$C$3:$C$47,0))),"")))</f>
        <v/>
      </c>
      <c r="H16" s="27">
        <f>IF('calcA'!ED$4=0,"",IF('調整・決定'!H16&lt;&gt;"",'調整・決定'!H16,IFERROR(INDEX('名簿'!$P$5:$P$49,INDEX('calcB'!$B$3:$B$47,MATCH(131,'calcB'!$C$3:$C$47,0))),"")))</f>
        <v/>
      </c>
      <c r="J16" s="101">
        <f>IF('設定'!$E$13="","",'設定'!$E$13)</f>
        <v/>
      </c>
      <c r="K16" s="102">
        <f>IF(J16="","",COUNTIF(E6:E29,"?*")&amp;" 人")</f>
        <v/>
      </c>
    </row>
    <row r="17" ht="26" customHeight="1">
      <c r="B17" s="46">
        <f>'設定'!$I$22</f>
        <v/>
      </c>
      <c r="C17" s="27">
        <f>IF('calcA'!O$4=0,"",IF('調整・決定'!C17&lt;&gt;"",'調整・決定'!C17,IFERROR(INDEX('名簿'!$P$5:$P$49,INDEX('calcB'!$B$3:$B$47,MATCH(12,'calcB'!$C$3:$C$47,0))),"")))</f>
        <v/>
      </c>
      <c r="D17" s="27">
        <f>IF('calcA'!AM$4=0,"",IF('調整・決定'!D17&lt;&gt;"",'調整・決定'!D17,IFERROR(INDEX('名簿'!$P$5:$P$49,INDEX('calcB'!$B$3:$B$47,MATCH(36,'calcB'!$C$3:$C$47,0))),"")))</f>
        <v/>
      </c>
      <c r="E17" s="27">
        <f>IF('calcA'!BK$4=0,"",IF('調整・決定'!E17&lt;&gt;"",'調整・決定'!E17,IFERROR(INDEX('名簿'!$P$5:$P$49,INDEX('calcB'!$B$3:$B$47,MATCH(60,'calcB'!$C$3:$C$47,0))),"")))</f>
        <v/>
      </c>
      <c r="F17" s="27">
        <f>IF('calcA'!CI$4=0,"",IF('調整・決定'!F17&lt;&gt;"",'調整・決定'!F17,IFERROR(INDEX('名簿'!$P$5:$P$49,INDEX('calcB'!$B$3:$B$47,MATCH(84,'calcB'!$C$3:$C$47,0))),"")))</f>
        <v/>
      </c>
      <c r="G17" s="27">
        <f>IF('calcA'!DG$4=0,"",IF('調整・決定'!G17&lt;&gt;"",'調整・決定'!G17,IFERROR(INDEX('名簿'!$P$5:$P$49,INDEX('calcB'!$B$3:$B$47,MATCH(108,'calcB'!$C$3:$C$47,0))),"")))</f>
        <v/>
      </c>
      <c r="H17" s="27">
        <f>IF('calcA'!EE$4=0,"",IF('調整・決定'!H17&lt;&gt;"",'調整・決定'!H17,IFERROR(INDEX('名簿'!$P$5:$P$49,INDEX('calcB'!$B$3:$B$47,MATCH(132,'calcB'!$C$3:$C$47,0))),"")))</f>
        <v/>
      </c>
      <c r="J17" s="101">
        <f>IF('設定'!$E$14="","",'設定'!$E$14)</f>
        <v/>
      </c>
      <c r="K17" s="102">
        <f>IF(J17="","",COUNTIF(F6:F29,"?*")&amp;" 人")</f>
        <v/>
      </c>
    </row>
    <row r="18" ht="26" customHeight="1">
      <c r="B18" s="46">
        <f>'設定'!$I$23</f>
        <v/>
      </c>
      <c r="C18" s="27">
        <f>IF('calcA'!P$4=0,"",IF('調整・決定'!C18&lt;&gt;"",'調整・決定'!C18,IFERROR(INDEX('名簿'!$P$5:$P$49,INDEX('calcB'!$B$3:$B$47,MATCH(13,'calcB'!$C$3:$C$47,0))),"")))</f>
        <v/>
      </c>
      <c r="D18" s="27">
        <f>IF('calcA'!AN$4=0,"",IF('調整・決定'!D18&lt;&gt;"",'調整・決定'!D18,IFERROR(INDEX('名簿'!$P$5:$P$49,INDEX('calcB'!$B$3:$B$47,MATCH(37,'calcB'!$C$3:$C$47,0))),"")))</f>
        <v/>
      </c>
      <c r="E18" s="27">
        <f>IF('calcA'!BL$4=0,"",IF('調整・決定'!E18&lt;&gt;"",'調整・決定'!E18,IFERROR(INDEX('名簿'!$P$5:$P$49,INDEX('calcB'!$B$3:$B$47,MATCH(61,'calcB'!$C$3:$C$47,0))),"")))</f>
        <v/>
      </c>
      <c r="F18" s="27">
        <f>IF('calcA'!CJ$4=0,"",IF('調整・決定'!F18&lt;&gt;"",'調整・決定'!F18,IFERROR(INDEX('名簿'!$P$5:$P$49,INDEX('calcB'!$B$3:$B$47,MATCH(85,'calcB'!$C$3:$C$47,0))),"")))</f>
        <v/>
      </c>
      <c r="G18" s="27">
        <f>IF('calcA'!DH$4=0,"",IF('調整・決定'!G18&lt;&gt;"",'調整・決定'!G18,IFERROR(INDEX('名簿'!$P$5:$P$49,INDEX('calcB'!$B$3:$B$47,MATCH(109,'calcB'!$C$3:$C$47,0))),"")))</f>
        <v/>
      </c>
      <c r="H18" s="27">
        <f>IF('calcA'!EF$4=0,"",IF('調整・決定'!H18&lt;&gt;"",'調整・決定'!H18,IFERROR(INDEX('名簿'!$P$5:$P$49,INDEX('calcB'!$B$3:$B$47,MATCH(133,'calcB'!$C$3:$C$47,0))),"")))</f>
        <v/>
      </c>
      <c r="J18" s="101">
        <f>IF('設定'!$E$15="","",'設定'!$E$15)</f>
        <v/>
      </c>
      <c r="K18" s="102">
        <f>IF(J18="","",COUNTIF(G6:G29,"?*")&amp;" 人")</f>
        <v/>
      </c>
    </row>
    <row r="19" ht="26" customHeight="1">
      <c r="B19" s="46">
        <f>'設定'!$I$24</f>
        <v/>
      </c>
      <c r="C19" s="27">
        <f>IF('calcA'!Q$4=0,"",IF('調整・決定'!C19&lt;&gt;"",'調整・決定'!C19,IFERROR(INDEX('名簿'!$P$5:$P$49,INDEX('calcB'!$B$3:$B$47,MATCH(14,'calcB'!$C$3:$C$47,0))),"")))</f>
        <v/>
      </c>
      <c r="D19" s="27">
        <f>IF('calcA'!AO$4=0,"",IF('調整・決定'!D19&lt;&gt;"",'調整・決定'!D19,IFERROR(INDEX('名簿'!$P$5:$P$49,INDEX('calcB'!$B$3:$B$47,MATCH(38,'calcB'!$C$3:$C$47,0))),"")))</f>
        <v/>
      </c>
      <c r="E19" s="27">
        <f>IF('calcA'!BM$4=0,"",IF('調整・決定'!E19&lt;&gt;"",'調整・決定'!E19,IFERROR(INDEX('名簿'!$P$5:$P$49,INDEX('calcB'!$B$3:$B$47,MATCH(62,'calcB'!$C$3:$C$47,0))),"")))</f>
        <v/>
      </c>
      <c r="F19" s="27">
        <f>IF('calcA'!CK$4=0,"",IF('調整・決定'!F19&lt;&gt;"",'調整・決定'!F19,IFERROR(INDEX('名簿'!$P$5:$P$49,INDEX('calcB'!$B$3:$B$47,MATCH(86,'calcB'!$C$3:$C$47,0))),"")))</f>
        <v/>
      </c>
      <c r="G19" s="27">
        <f>IF('calcA'!DI$4=0,"",IF('調整・決定'!G19&lt;&gt;"",'調整・決定'!G19,IFERROR(INDEX('名簿'!$P$5:$P$49,INDEX('calcB'!$B$3:$B$47,MATCH(110,'calcB'!$C$3:$C$47,0))),"")))</f>
        <v/>
      </c>
      <c r="H19" s="27">
        <f>IF('calcA'!EG$4=0,"",IF('調整・決定'!H19&lt;&gt;"",'調整・決定'!H19,IFERROR(INDEX('名簿'!$P$5:$P$49,INDEX('calcB'!$B$3:$B$47,MATCH(134,'calcB'!$C$3:$C$47,0))),"")))</f>
        <v/>
      </c>
      <c r="J19" s="101">
        <f>IF('設定'!$E$16="","",'設定'!$E$16)</f>
        <v/>
      </c>
      <c r="K19" s="102">
        <f>IF(J19="","",COUNTIF(H6:H29,"?*")&amp;" 人")</f>
        <v/>
      </c>
    </row>
    <row r="20" ht="26" customHeight="1">
      <c r="B20" s="46">
        <f>'設定'!$I$25</f>
        <v/>
      </c>
      <c r="C20" s="27">
        <f>IF('calcA'!R$4=0,"",IF('調整・決定'!C20&lt;&gt;"",'調整・決定'!C20,IFERROR(INDEX('名簿'!$P$5:$P$49,INDEX('calcB'!$B$3:$B$47,MATCH(15,'calcB'!$C$3:$C$47,0))),"")))</f>
        <v/>
      </c>
      <c r="D20" s="27">
        <f>IF('calcA'!AP$4=0,"",IF('調整・決定'!D20&lt;&gt;"",'調整・決定'!D20,IFERROR(INDEX('名簿'!$P$5:$P$49,INDEX('calcB'!$B$3:$B$47,MATCH(39,'calcB'!$C$3:$C$47,0))),"")))</f>
        <v/>
      </c>
      <c r="E20" s="27">
        <f>IF('calcA'!BN$4=0,"",IF('調整・決定'!E20&lt;&gt;"",'調整・決定'!E20,IFERROR(INDEX('名簿'!$P$5:$P$49,INDEX('calcB'!$B$3:$B$47,MATCH(63,'calcB'!$C$3:$C$47,0))),"")))</f>
        <v/>
      </c>
      <c r="F20" s="27">
        <f>IF('calcA'!CL$4=0,"",IF('調整・決定'!F20&lt;&gt;"",'調整・決定'!F20,IFERROR(INDEX('名簿'!$P$5:$P$49,INDEX('calcB'!$B$3:$B$47,MATCH(87,'calcB'!$C$3:$C$47,0))),"")))</f>
        <v/>
      </c>
      <c r="G20" s="27">
        <f>IF('calcA'!DJ$4=0,"",IF('調整・決定'!G20&lt;&gt;"",'調整・決定'!G20,IFERROR(INDEX('名簿'!$P$5:$P$49,INDEX('calcB'!$B$3:$B$47,MATCH(111,'calcB'!$C$3:$C$47,0))),"")))</f>
        <v/>
      </c>
      <c r="H20" s="27">
        <f>IF('calcA'!EH$4=0,"",IF('調整・決定'!H20&lt;&gt;"",'調整・決定'!H20,IFERROR(INDEX('名簿'!$P$5:$P$49,INDEX('calcB'!$B$3:$B$47,MATCH(135,'calcB'!$C$3:$C$47,0))),"")))</f>
        <v/>
      </c>
    </row>
    <row r="21" ht="26" customHeight="1">
      <c r="B21" s="46">
        <f>'設定'!$I$26</f>
        <v/>
      </c>
      <c r="C21" s="27">
        <f>IF('calcA'!S$4=0,"",IF('調整・決定'!C21&lt;&gt;"",'調整・決定'!C21,IFERROR(INDEX('名簿'!$P$5:$P$49,INDEX('calcB'!$B$3:$B$47,MATCH(16,'calcB'!$C$3:$C$47,0))),"")))</f>
        <v/>
      </c>
      <c r="D21" s="27">
        <f>IF('calcA'!AQ$4=0,"",IF('調整・決定'!D21&lt;&gt;"",'調整・決定'!D21,IFERROR(INDEX('名簿'!$P$5:$P$49,INDEX('calcB'!$B$3:$B$47,MATCH(40,'calcB'!$C$3:$C$47,0))),"")))</f>
        <v/>
      </c>
      <c r="E21" s="27">
        <f>IF('calcA'!BO$4=0,"",IF('調整・決定'!E21&lt;&gt;"",'調整・決定'!E21,IFERROR(INDEX('名簿'!$P$5:$P$49,INDEX('calcB'!$B$3:$B$47,MATCH(64,'calcB'!$C$3:$C$47,0))),"")))</f>
        <v/>
      </c>
      <c r="F21" s="27">
        <f>IF('calcA'!CM$4=0,"",IF('調整・決定'!F21&lt;&gt;"",'調整・決定'!F21,IFERROR(INDEX('名簿'!$P$5:$P$49,INDEX('calcB'!$B$3:$B$47,MATCH(88,'calcB'!$C$3:$C$47,0))),"")))</f>
        <v/>
      </c>
      <c r="G21" s="27">
        <f>IF('calcA'!DK$4=0,"",IF('調整・決定'!G21&lt;&gt;"",'調整・決定'!G21,IFERROR(INDEX('名簿'!$P$5:$P$49,INDEX('calcB'!$B$3:$B$47,MATCH(112,'calcB'!$C$3:$C$47,0))),"")))</f>
        <v/>
      </c>
      <c r="H21" s="27">
        <f>IF('calcA'!EI$4=0,"",IF('調整・決定'!H21&lt;&gt;"",'調整・決定'!H21,IFERROR(INDEX('名簿'!$P$5:$P$49,INDEX('calcB'!$B$3:$B$47,MATCH(136,'calcB'!$C$3:$C$47,0))),"")))</f>
        <v/>
      </c>
    </row>
    <row r="22" ht="26" customHeight="1">
      <c r="B22" s="46">
        <f>'設定'!$I$27</f>
        <v/>
      </c>
      <c r="C22" s="27">
        <f>IF('calcA'!T$4=0,"",IF('調整・決定'!C22&lt;&gt;"",'調整・決定'!C22,IFERROR(INDEX('名簿'!$P$5:$P$49,INDEX('calcB'!$B$3:$B$47,MATCH(17,'calcB'!$C$3:$C$47,0))),"")))</f>
        <v/>
      </c>
      <c r="D22" s="27">
        <f>IF('calcA'!AR$4=0,"",IF('調整・決定'!D22&lt;&gt;"",'調整・決定'!D22,IFERROR(INDEX('名簿'!$P$5:$P$49,INDEX('calcB'!$B$3:$B$47,MATCH(41,'calcB'!$C$3:$C$47,0))),"")))</f>
        <v/>
      </c>
      <c r="E22" s="27">
        <f>IF('calcA'!BP$4=0,"",IF('調整・決定'!E22&lt;&gt;"",'調整・決定'!E22,IFERROR(INDEX('名簿'!$P$5:$P$49,INDEX('calcB'!$B$3:$B$47,MATCH(65,'calcB'!$C$3:$C$47,0))),"")))</f>
        <v/>
      </c>
      <c r="F22" s="27">
        <f>IF('calcA'!CN$4=0,"",IF('調整・決定'!F22&lt;&gt;"",'調整・決定'!F22,IFERROR(INDEX('名簿'!$P$5:$P$49,INDEX('calcB'!$B$3:$B$47,MATCH(89,'calcB'!$C$3:$C$47,0))),"")))</f>
        <v/>
      </c>
      <c r="G22" s="27">
        <f>IF('calcA'!DL$4=0,"",IF('調整・決定'!G22&lt;&gt;"",'調整・決定'!G22,IFERROR(INDEX('名簿'!$P$5:$P$49,INDEX('calcB'!$B$3:$B$47,MATCH(113,'calcB'!$C$3:$C$47,0))),"")))</f>
        <v/>
      </c>
      <c r="H22" s="27">
        <f>IF('calcA'!EJ$4=0,"",IF('調整・決定'!H22&lt;&gt;"",'調整・決定'!H22,IFERROR(INDEX('名簿'!$P$5:$P$49,INDEX('calcB'!$B$3:$B$47,MATCH(137,'calcB'!$C$3:$C$47,0))),"")))</f>
        <v/>
      </c>
    </row>
    <row r="23" ht="26" customHeight="1">
      <c r="B23" s="46">
        <f>'設定'!$I$28</f>
        <v/>
      </c>
      <c r="C23" s="27">
        <f>IF('calcA'!U$4=0,"",IF('調整・決定'!C23&lt;&gt;"",'調整・決定'!C23,IFERROR(INDEX('名簿'!$P$5:$P$49,INDEX('calcB'!$B$3:$B$47,MATCH(18,'calcB'!$C$3:$C$47,0))),"")))</f>
        <v/>
      </c>
      <c r="D23" s="27">
        <f>IF('calcA'!AS$4=0,"",IF('調整・決定'!D23&lt;&gt;"",'調整・決定'!D23,IFERROR(INDEX('名簿'!$P$5:$P$49,INDEX('calcB'!$B$3:$B$47,MATCH(42,'calcB'!$C$3:$C$47,0))),"")))</f>
        <v/>
      </c>
      <c r="E23" s="27">
        <f>IF('calcA'!BQ$4=0,"",IF('調整・決定'!E23&lt;&gt;"",'調整・決定'!E23,IFERROR(INDEX('名簿'!$P$5:$P$49,INDEX('calcB'!$B$3:$B$47,MATCH(66,'calcB'!$C$3:$C$47,0))),"")))</f>
        <v/>
      </c>
      <c r="F23" s="27">
        <f>IF('calcA'!CO$4=0,"",IF('調整・決定'!F23&lt;&gt;"",'調整・決定'!F23,IFERROR(INDEX('名簿'!$P$5:$P$49,INDEX('calcB'!$B$3:$B$47,MATCH(90,'calcB'!$C$3:$C$47,0))),"")))</f>
        <v/>
      </c>
      <c r="G23" s="27">
        <f>IF('calcA'!DM$4=0,"",IF('調整・決定'!G23&lt;&gt;"",'調整・決定'!G23,IFERROR(INDEX('名簿'!$P$5:$P$49,INDEX('calcB'!$B$3:$B$47,MATCH(114,'calcB'!$C$3:$C$47,0))),"")))</f>
        <v/>
      </c>
      <c r="H23" s="27">
        <f>IF('calcA'!EK$4=0,"",IF('調整・決定'!H23&lt;&gt;"",'調整・決定'!H23,IFERROR(INDEX('名簿'!$P$5:$P$49,INDEX('calcB'!$B$3:$B$47,MATCH(138,'calcB'!$C$3:$C$47,0))),"")))</f>
        <v/>
      </c>
    </row>
    <row r="24" ht="26" customHeight="1">
      <c r="B24" s="46">
        <f>'設定'!$I$29</f>
        <v/>
      </c>
      <c r="C24" s="27">
        <f>IF('calcA'!V$4=0,"",IF('調整・決定'!C24&lt;&gt;"",'調整・決定'!C24,IFERROR(INDEX('名簿'!$P$5:$P$49,INDEX('calcB'!$B$3:$B$47,MATCH(19,'calcB'!$C$3:$C$47,0))),"")))</f>
        <v/>
      </c>
      <c r="D24" s="27">
        <f>IF('calcA'!AT$4=0,"",IF('調整・決定'!D24&lt;&gt;"",'調整・決定'!D24,IFERROR(INDEX('名簿'!$P$5:$P$49,INDEX('calcB'!$B$3:$B$47,MATCH(43,'calcB'!$C$3:$C$47,0))),"")))</f>
        <v/>
      </c>
      <c r="E24" s="27">
        <f>IF('calcA'!BR$4=0,"",IF('調整・決定'!E24&lt;&gt;"",'調整・決定'!E24,IFERROR(INDEX('名簿'!$P$5:$P$49,INDEX('calcB'!$B$3:$B$47,MATCH(67,'calcB'!$C$3:$C$47,0))),"")))</f>
        <v/>
      </c>
      <c r="F24" s="27">
        <f>IF('calcA'!CP$4=0,"",IF('調整・決定'!F24&lt;&gt;"",'調整・決定'!F24,IFERROR(INDEX('名簿'!$P$5:$P$49,INDEX('calcB'!$B$3:$B$47,MATCH(91,'calcB'!$C$3:$C$47,0))),"")))</f>
        <v/>
      </c>
      <c r="G24" s="27">
        <f>IF('calcA'!DN$4=0,"",IF('調整・決定'!G24&lt;&gt;"",'調整・決定'!G24,IFERROR(INDEX('名簿'!$P$5:$P$49,INDEX('calcB'!$B$3:$B$47,MATCH(115,'calcB'!$C$3:$C$47,0))),"")))</f>
        <v/>
      </c>
      <c r="H24" s="27">
        <f>IF('calcA'!EL$4=0,"",IF('調整・決定'!H24&lt;&gt;"",'調整・決定'!H24,IFERROR(INDEX('名簿'!$P$5:$P$49,INDEX('calcB'!$B$3:$B$47,MATCH(139,'calcB'!$C$3:$C$47,0))),"")))</f>
        <v/>
      </c>
    </row>
    <row r="25" ht="26" customHeight="1">
      <c r="B25" s="46">
        <f>'設定'!$I$30</f>
        <v/>
      </c>
      <c r="C25" s="27">
        <f>IF('calcA'!W$4=0,"",IF('調整・決定'!C25&lt;&gt;"",'調整・決定'!C25,IFERROR(INDEX('名簿'!$P$5:$P$49,INDEX('calcB'!$B$3:$B$47,MATCH(20,'calcB'!$C$3:$C$47,0))),"")))</f>
        <v/>
      </c>
      <c r="D25" s="27">
        <f>IF('calcA'!AU$4=0,"",IF('調整・決定'!D25&lt;&gt;"",'調整・決定'!D25,IFERROR(INDEX('名簿'!$P$5:$P$49,INDEX('calcB'!$B$3:$B$47,MATCH(44,'calcB'!$C$3:$C$47,0))),"")))</f>
        <v/>
      </c>
      <c r="E25" s="27">
        <f>IF('calcA'!BS$4=0,"",IF('調整・決定'!E25&lt;&gt;"",'調整・決定'!E25,IFERROR(INDEX('名簿'!$P$5:$P$49,INDEX('calcB'!$B$3:$B$47,MATCH(68,'calcB'!$C$3:$C$47,0))),"")))</f>
        <v/>
      </c>
      <c r="F25" s="27">
        <f>IF('calcA'!CQ$4=0,"",IF('調整・決定'!F25&lt;&gt;"",'調整・決定'!F25,IFERROR(INDEX('名簿'!$P$5:$P$49,INDEX('calcB'!$B$3:$B$47,MATCH(92,'calcB'!$C$3:$C$47,0))),"")))</f>
        <v/>
      </c>
      <c r="G25" s="27">
        <f>IF('calcA'!DO$4=0,"",IF('調整・決定'!G25&lt;&gt;"",'調整・決定'!G25,IFERROR(INDEX('名簿'!$P$5:$P$49,INDEX('calcB'!$B$3:$B$47,MATCH(116,'calcB'!$C$3:$C$47,0))),"")))</f>
        <v/>
      </c>
      <c r="H25" s="27">
        <f>IF('calcA'!EM$4=0,"",IF('調整・決定'!H25&lt;&gt;"",'調整・決定'!H25,IFERROR(INDEX('名簿'!$P$5:$P$49,INDEX('calcB'!$B$3:$B$47,MATCH(140,'calcB'!$C$3:$C$47,0))),"")))</f>
        <v/>
      </c>
    </row>
    <row r="26" ht="26" customHeight="1">
      <c r="B26" s="46">
        <f>'設定'!$I$31</f>
        <v/>
      </c>
      <c r="C26" s="27">
        <f>IF('calcA'!X$4=0,"",IF('調整・決定'!C26&lt;&gt;"",'調整・決定'!C26,IFERROR(INDEX('名簿'!$P$5:$P$49,INDEX('calcB'!$B$3:$B$47,MATCH(21,'calcB'!$C$3:$C$47,0))),"")))</f>
        <v/>
      </c>
      <c r="D26" s="27">
        <f>IF('calcA'!AV$4=0,"",IF('調整・決定'!D26&lt;&gt;"",'調整・決定'!D26,IFERROR(INDEX('名簿'!$P$5:$P$49,INDEX('calcB'!$B$3:$B$47,MATCH(45,'calcB'!$C$3:$C$47,0))),"")))</f>
        <v/>
      </c>
      <c r="E26" s="27">
        <f>IF('calcA'!BT$4=0,"",IF('調整・決定'!E26&lt;&gt;"",'調整・決定'!E26,IFERROR(INDEX('名簿'!$P$5:$P$49,INDEX('calcB'!$B$3:$B$47,MATCH(69,'calcB'!$C$3:$C$47,0))),"")))</f>
        <v/>
      </c>
      <c r="F26" s="27">
        <f>IF('calcA'!CR$4=0,"",IF('調整・決定'!F26&lt;&gt;"",'調整・決定'!F26,IFERROR(INDEX('名簿'!$P$5:$P$49,INDEX('calcB'!$B$3:$B$47,MATCH(93,'calcB'!$C$3:$C$47,0))),"")))</f>
        <v/>
      </c>
      <c r="G26" s="27">
        <f>IF('calcA'!DP$4=0,"",IF('調整・決定'!G26&lt;&gt;"",'調整・決定'!G26,IFERROR(INDEX('名簿'!$P$5:$P$49,INDEX('calcB'!$B$3:$B$47,MATCH(117,'calcB'!$C$3:$C$47,0))),"")))</f>
        <v/>
      </c>
      <c r="H26" s="27">
        <f>IF('calcA'!EN$4=0,"",IF('調整・決定'!H26&lt;&gt;"",'調整・決定'!H26,IFERROR(INDEX('名簿'!$P$5:$P$49,INDEX('calcB'!$B$3:$B$47,MATCH(141,'calcB'!$C$3:$C$47,0))),"")))</f>
        <v/>
      </c>
    </row>
    <row r="27" ht="26" customHeight="1">
      <c r="B27" s="46">
        <f>'設定'!$I$32</f>
        <v/>
      </c>
      <c r="C27" s="27">
        <f>IF('calcA'!Y$4=0,"",IF('調整・決定'!C27&lt;&gt;"",'調整・決定'!C27,IFERROR(INDEX('名簿'!$P$5:$P$49,INDEX('calcB'!$B$3:$B$47,MATCH(22,'calcB'!$C$3:$C$47,0))),"")))</f>
        <v/>
      </c>
      <c r="D27" s="27">
        <f>IF('calcA'!AW$4=0,"",IF('調整・決定'!D27&lt;&gt;"",'調整・決定'!D27,IFERROR(INDEX('名簿'!$P$5:$P$49,INDEX('calcB'!$B$3:$B$47,MATCH(46,'calcB'!$C$3:$C$47,0))),"")))</f>
        <v/>
      </c>
      <c r="E27" s="27">
        <f>IF('calcA'!BU$4=0,"",IF('調整・決定'!E27&lt;&gt;"",'調整・決定'!E27,IFERROR(INDEX('名簿'!$P$5:$P$49,INDEX('calcB'!$B$3:$B$47,MATCH(70,'calcB'!$C$3:$C$47,0))),"")))</f>
        <v/>
      </c>
      <c r="F27" s="27">
        <f>IF('calcA'!CS$4=0,"",IF('調整・決定'!F27&lt;&gt;"",'調整・決定'!F27,IFERROR(INDEX('名簿'!$P$5:$P$49,INDEX('calcB'!$B$3:$B$47,MATCH(94,'calcB'!$C$3:$C$47,0))),"")))</f>
        <v/>
      </c>
      <c r="G27" s="27">
        <f>IF('calcA'!DQ$4=0,"",IF('調整・決定'!G27&lt;&gt;"",'調整・決定'!G27,IFERROR(INDEX('名簿'!$P$5:$P$49,INDEX('calcB'!$B$3:$B$47,MATCH(118,'calcB'!$C$3:$C$47,0))),"")))</f>
        <v/>
      </c>
      <c r="H27" s="27">
        <f>IF('calcA'!EO$4=0,"",IF('調整・決定'!H27&lt;&gt;"",'調整・決定'!H27,IFERROR(INDEX('名簿'!$P$5:$P$49,INDEX('calcB'!$B$3:$B$47,MATCH(142,'calcB'!$C$3:$C$47,0))),"")))</f>
        <v/>
      </c>
    </row>
    <row r="28" ht="26" customHeight="1">
      <c r="B28" s="46">
        <f>'設定'!$I$33</f>
        <v/>
      </c>
      <c r="C28" s="27">
        <f>IF('calcA'!Z$4=0,"",IF('調整・決定'!C28&lt;&gt;"",'調整・決定'!C28,IFERROR(INDEX('名簿'!$P$5:$P$49,INDEX('calcB'!$B$3:$B$47,MATCH(23,'calcB'!$C$3:$C$47,0))),"")))</f>
        <v/>
      </c>
      <c r="D28" s="27">
        <f>IF('calcA'!AX$4=0,"",IF('調整・決定'!D28&lt;&gt;"",'調整・決定'!D28,IFERROR(INDEX('名簿'!$P$5:$P$49,INDEX('calcB'!$B$3:$B$47,MATCH(47,'calcB'!$C$3:$C$47,0))),"")))</f>
        <v/>
      </c>
      <c r="E28" s="27">
        <f>IF('calcA'!BV$4=0,"",IF('調整・決定'!E28&lt;&gt;"",'調整・決定'!E28,IFERROR(INDEX('名簿'!$P$5:$P$49,INDEX('calcB'!$B$3:$B$47,MATCH(71,'calcB'!$C$3:$C$47,0))),"")))</f>
        <v/>
      </c>
      <c r="F28" s="27">
        <f>IF('calcA'!CT$4=0,"",IF('調整・決定'!F28&lt;&gt;"",'調整・決定'!F28,IFERROR(INDEX('名簿'!$P$5:$P$49,INDEX('calcB'!$B$3:$B$47,MATCH(95,'calcB'!$C$3:$C$47,0))),"")))</f>
        <v/>
      </c>
      <c r="G28" s="27">
        <f>IF('calcA'!DR$4=0,"",IF('調整・決定'!G28&lt;&gt;"",'調整・決定'!G28,IFERROR(INDEX('名簿'!$P$5:$P$49,INDEX('calcB'!$B$3:$B$47,MATCH(119,'calcB'!$C$3:$C$47,0))),"")))</f>
        <v/>
      </c>
      <c r="H28" s="27">
        <f>IF('calcA'!EP$4=0,"",IF('調整・決定'!H28&lt;&gt;"",'調整・決定'!H28,IFERROR(INDEX('名簿'!$P$5:$P$49,INDEX('calcB'!$B$3:$B$47,MATCH(143,'calcB'!$C$3:$C$47,0))),"")))</f>
        <v/>
      </c>
    </row>
    <row r="29" ht="26" customHeight="1">
      <c r="B29" s="46">
        <f>'設定'!$I$34</f>
        <v/>
      </c>
      <c r="C29" s="27">
        <f>IF('calcA'!AA$4=0,"",IF('調整・決定'!C29&lt;&gt;"",'調整・決定'!C29,IFERROR(INDEX('名簿'!$P$5:$P$49,INDEX('calcB'!$B$3:$B$47,MATCH(24,'calcB'!$C$3:$C$47,0))),"")))</f>
        <v/>
      </c>
      <c r="D29" s="27">
        <f>IF('calcA'!AY$4=0,"",IF('調整・決定'!D29&lt;&gt;"",'調整・決定'!D29,IFERROR(INDEX('名簿'!$P$5:$P$49,INDEX('calcB'!$B$3:$B$47,MATCH(48,'calcB'!$C$3:$C$47,0))),"")))</f>
        <v/>
      </c>
      <c r="E29" s="27">
        <f>IF('calcA'!BW$4=0,"",IF('調整・決定'!E29&lt;&gt;"",'調整・決定'!E29,IFERROR(INDEX('名簿'!$P$5:$P$49,INDEX('calcB'!$B$3:$B$47,MATCH(72,'calcB'!$C$3:$C$47,0))),"")))</f>
        <v/>
      </c>
      <c r="F29" s="27">
        <f>IF('calcA'!CU$4=0,"",IF('調整・決定'!F29&lt;&gt;"",'調整・決定'!F29,IFERROR(INDEX('名簿'!$P$5:$P$49,INDEX('calcB'!$B$3:$B$47,MATCH(96,'calcB'!$C$3:$C$47,0))),"")))</f>
        <v/>
      </c>
      <c r="G29" s="27">
        <f>IF('calcA'!DS$4=0,"",IF('調整・決定'!G29&lt;&gt;"",'調整・決定'!G29,IFERROR(INDEX('名簿'!$P$5:$P$49,INDEX('calcB'!$B$3:$B$47,MATCH(120,'calcB'!$C$3:$C$47,0))),"")))</f>
        <v/>
      </c>
      <c r="H29" s="27">
        <f>IF('calcA'!EQ$4=0,"",IF('調整・決定'!H29&lt;&gt;"",'調整・決定'!H29,IFERROR(INDEX('名簿'!$P$5:$P$49,INDEX('calcB'!$B$3:$B$47,MATCH(144,'calcB'!$C$3:$C$47,0))),"")))</f>
        <v/>
      </c>
    </row>
  </sheetData>
  <mergeCells count="3">
    <mergeCell ref="K8:K9"/>
    <mergeCell ref="C4:H4"/>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AND(C6="",INDEX('calcA'!$D$107:$EQ$107,(COLUMN(C6)-3)*24+ROW(C6)-5)+INDEX('calcA'!$D$108:$EQ$108,(COLUMN(C6)-3)*24+ROW(C6)-5)&gt;0)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calcA!$A$6&lt;&gt;1</formula>
    </cfRule>
  </conditionalFormatting>
  <conditionalFormatting sqref="C5:H5">
    <cfRule type="expression" priority="9" dxfId="3">
      <formula>C5=""</formula>
    </cfRule>
  </conditionalFormatting>
  <hyperlinks>
    <hyperlink ref="J3" location="'自動案A'!J3" display="▶ 自動案を作る（A・B両方）"/>
    <hyperlink ref="K3" location="'自動案A'!K3" display="▶ この案を「調整・決定」へ写す"/>
  </hyperlinks>
  <pageMargins left="0.75" right="0.75" top="1" bottom="1" header="0.5" footer="0.5"/>
</worksheet>
</file>

<file path=xl/worksheets/sheet6.xml><?xml version="1.0" encoding="utf-8"?>
<worksheet xmlns="http://schemas.openxmlformats.org/spreadsheetml/2006/main">
  <sheetPr>
    <tabColor rgb="005B8BD0"/>
    <outlinePr summaryBelow="1" summaryRight="1"/>
    <pageSetUpPr/>
  </sheetPr>
  <dimension ref="A1:Q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30"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71" t="inlineStr">
        <is>
          <t>自動案B（散らす）</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3">
        <f>HYPERLINK("#'自動案B'!A1","④ 自動案B")</f>
        <v/>
      </c>
      <c r="N1" s="22">
        <f>HYPERLINK("#'調整・決定'!A1","⑤ 調整・決定")</f>
        <v/>
      </c>
      <c r="O1" s="22">
        <f>HYPERLINK("#'兄弟確認用'!A1","⑥ 兄弟確認")</f>
        <v/>
      </c>
      <c r="P1" s="22">
        <f>HYPERLINK("#'お手紙（夏）'!A1","⑦ お手紙 夏")</f>
        <v/>
      </c>
      <c r="Q1" s="22">
        <f>HYPERLINK("#'お手紙（秋）'!A1","⑧ お手紙 秋")</f>
        <v/>
      </c>
    </row>
    <row r="2" ht="24" customHeight="1">
      <c r="A2" s="5" t="n"/>
      <c r="B2" s="72" t="inlineStr">
        <is>
          <t>日ごとの人数がそろい、面談と面談のあいだがなるべく空くように組んだ案です（希望がある家庭は希望を優先）。よければ［この案を「調整・決定」へ写す］を押します。</t>
        </is>
      </c>
      <c r="C2" s="5" t="n"/>
      <c r="D2" s="5" t="n"/>
      <c r="E2" s="5" t="n"/>
      <c r="F2" s="5" t="n"/>
      <c r="G2" s="5" t="n"/>
      <c r="H2" s="5" t="n"/>
      <c r="I2" s="5" t="n"/>
      <c r="J2" s="5" t="n"/>
      <c r="K2" s="5" t="n"/>
      <c r="L2" s="5" t="n"/>
      <c r="M2" s="5" t="n"/>
      <c r="N2" s="5" t="n"/>
      <c r="O2" s="5" t="n"/>
      <c r="P2" s="5" t="n"/>
      <c r="Q2" s="5" t="n"/>
    </row>
    <row r="3" ht="40" customHeight="1">
      <c r="C3" s="86" t="inlineStr">
        <is>
          <t>新しく入った人</t>
        </is>
      </c>
      <c r="D3" s="87" t="inlineStr">
        <is>
          <t>後ろを空ける枠</t>
        </is>
      </c>
      <c r="E3" s="88" t="inlineStr">
        <is>
          <t>なるべく空ける日・休憩</t>
        </is>
      </c>
      <c r="F3" s="89" t="inlineStr">
        <is>
          <t>先生の都合で使えない</t>
        </is>
      </c>
      <c r="J3" s="90" t="inlineStr">
        <is>
          <t>▶ 自動案を作る（A・B両方）</t>
        </is>
      </c>
      <c r="K3" s="91" t="inlineStr">
        <is>
          <t>▶ この案を「調整・決定」へ写す</t>
        </is>
      </c>
    </row>
    <row r="4" ht="56" customHeight="1">
      <c r="C4" s="92">
        <f>IF(calcA!$A$6=0,"まだ自動案を作っていません。集まった分で作るときは、右上の［自動案を作る］を押してください（未提出の家庭がいても大丈夫です）。",IF(calcA!$A$6=2,"⚠ 自動案を作ったあとに、×・名簿・設定・調整・決定が変わりました。もう一度［自動案を作る］を押してください（いまの表は前に作ったときの案です）。","最後に作った時："&amp;TEXT('calcB'!$D$1,"m/d h:mm")&amp;"　「調整・決定」に入れた人は、自動案では動きません（その枠に固定）。全部作り直したいときは、調整・決定の表の名前を消してください。"))</f>
        <v/>
      </c>
      <c r="D4" s="93" t="n"/>
      <c r="E4" s="93" t="n"/>
      <c r="F4" s="93" t="n"/>
      <c r="G4" s="93" t="n"/>
      <c r="H4" s="94" t="n"/>
    </row>
    <row r="5">
      <c r="B5" s="38" t="inlineStr"/>
      <c r="C5" s="39">
        <f>'設定'!$E$11</f>
        <v/>
      </c>
      <c r="D5" s="39">
        <f>'設定'!$E$12</f>
        <v/>
      </c>
      <c r="E5" s="39">
        <f>'設定'!$E$13</f>
        <v/>
      </c>
      <c r="F5" s="39">
        <f>'設定'!$E$14</f>
        <v/>
      </c>
      <c r="G5" s="39">
        <f>'設定'!$E$15</f>
        <v/>
      </c>
      <c r="H5" s="39">
        <f>'設定'!$E$16</f>
        <v/>
      </c>
      <c r="J5" s="95" t="inlineStr">
        <is>
          <t>決定済み（調整・決定シート）</t>
        </is>
      </c>
      <c r="K5" s="96">
        <f>SUMPRODUCT(('調整・決定'!$C$6:$H$29&lt;&gt;"")*1)&amp;" 人"</f>
        <v/>
      </c>
    </row>
    <row r="6" ht="26" customHeight="1">
      <c r="B6" s="46">
        <f>'設定'!$I$11</f>
        <v/>
      </c>
      <c r="C6" s="27">
        <f>IF('calcA'!D$4=0,"",IF('調整・決定'!C6&lt;&gt;"",'調整・決定'!C6,IFERROR(INDEX('名簿'!$P$5:$P$49,INDEX('calcC'!$B$3:$B$47,MATCH(1,'calcC'!$C$3:$C$47,0))),"")))</f>
        <v/>
      </c>
      <c r="D6" s="27">
        <f>IF('calcA'!AB$4=0,"",IF('調整・決定'!D6&lt;&gt;"",'調整・決定'!D6,IFERROR(INDEX('名簿'!$P$5:$P$49,INDEX('calcC'!$B$3:$B$47,MATCH(25,'calcC'!$C$3:$C$47,0))),"")))</f>
        <v/>
      </c>
      <c r="E6" s="27">
        <f>IF('calcA'!AZ$4=0,"",IF('調整・決定'!E6&lt;&gt;"",'調整・決定'!E6,IFERROR(INDEX('名簿'!$P$5:$P$49,INDEX('calcC'!$B$3:$B$47,MATCH(49,'calcC'!$C$3:$C$47,0))),"")))</f>
        <v/>
      </c>
      <c r="F6" s="27">
        <f>IF('calcA'!BX$4=0,"",IF('調整・決定'!F6&lt;&gt;"",'調整・決定'!F6,IFERROR(INDEX('名簿'!$P$5:$P$49,INDEX('calcC'!$B$3:$B$47,MATCH(73,'calcC'!$C$3:$C$47,0))),"")))</f>
        <v/>
      </c>
      <c r="G6" s="27">
        <f>IF('calcA'!CV$4=0,"",IF('調整・決定'!G6&lt;&gt;"",'調整・決定'!G6,IFERROR(INDEX('名簿'!$P$5:$P$49,INDEX('calcC'!$B$3:$B$47,MATCH(97,'calcC'!$C$3:$C$47,0))),"")))</f>
        <v/>
      </c>
      <c r="H6" s="27">
        <f>IF('calcA'!DT$4=0,"",IF('調整・決定'!H6&lt;&gt;"",'調整・決定'!H6,IFERROR(INDEX('名簿'!$P$5:$P$49,INDEX('calcC'!$B$3:$B$47,MATCH(121,'calcC'!$C$3:$C$47,0))),"")))</f>
        <v/>
      </c>
      <c r="J6" s="95" t="inlineStr">
        <is>
          <t>自動で新しく入った</t>
        </is>
      </c>
      <c r="K6" s="96">
        <f>SUMPRODUCT(('calcC'!$B$3:$B$47&gt;0)*('calcC'!$C$3:$C$47&gt;0))&amp;" 人"</f>
        <v/>
      </c>
    </row>
    <row r="7" ht="26" customHeight="1">
      <c r="B7" s="46">
        <f>'設定'!$I$12</f>
        <v/>
      </c>
      <c r="C7" s="27">
        <f>IF('calcA'!E$4=0,"",IF('調整・決定'!C7&lt;&gt;"",'調整・決定'!C7,IFERROR(INDEX('名簿'!$P$5:$P$49,INDEX('calcC'!$B$3:$B$47,MATCH(2,'calcC'!$C$3:$C$47,0))),"")))</f>
        <v/>
      </c>
      <c r="D7" s="27">
        <f>IF('calcA'!AC$4=0,"",IF('調整・決定'!D7&lt;&gt;"",'調整・決定'!D7,IFERROR(INDEX('名簿'!$P$5:$P$49,INDEX('calcC'!$B$3:$B$47,MATCH(26,'calcC'!$C$3:$C$47,0))),"")))</f>
        <v/>
      </c>
      <c r="E7" s="27">
        <f>IF('calcA'!BA$4=0,"",IF('調整・決定'!E7&lt;&gt;"",'調整・決定'!E7,IFERROR(INDEX('名簿'!$P$5:$P$49,INDEX('calcC'!$B$3:$B$47,MATCH(50,'calcC'!$C$3:$C$47,0))),"")))</f>
        <v/>
      </c>
      <c r="F7" s="27">
        <f>IF('calcA'!BY$4=0,"",IF('調整・決定'!F7&lt;&gt;"",'調整・決定'!F7,IFERROR(INDEX('名簿'!$P$5:$P$49,INDEX('calcC'!$B$3:$B$47,MATCH(74,'calcC'!$C$3:$C$47,0))),"")))</f>
        <v/>
      </c>
      <c r="G7" s="27">
        <f>IF('calcA'!CW$4=0,"",IF('調整・決定'!G7&lt;&gt;"",'調整・決定'!G7,IFERROR(INDEX('名簿'!$P$5:$P$49,INDEX('calcC'!$B$3:$B$47,MATCH(98,'calcC'!$C$3:$C$47,0))),"")))</f>
        <v/>
      </c>
      <c r="H7" s="27">
        <f>IF('calcA'!DU$4=0,"",IF('調整・決定'!H7&lt;&gt;"",'調整・決定'!H7,IFERROR(INDEX('名簿'!$P$5:$P$49,INDEX('calcC'!$B$3:$B$47,MATCH(122,'calcC'!$C$3:$C$47,0))),"")))</f>
        <v/>
      </c>
    </row>
    <row r="8" ht="30" customHeight="1">
      <c r="B8" s="46">
        <f>'設定'!$I$13</f>
        <v/>
      </c>
      <c r="C8" s="27">
        <f>IF('calcA'!F$4=0,"",IF('調整・決定'!C8&lt;&gt;"",'調整・決定'!C8,IFERROR(INDEX('名簿'!$P$5:$P$49,INDEX('calcC'!$B$3:$B$47,MATCH(3,'calcC'!$C$3:$C$47,0))),"")))</f>
        <v/>
      </c>
      <c r="D8" s="27">
        <f>IF('calcA'!AD$4=0,"",IF('調整・決定'!D8&lt;&gt;"",'調整・決定'!D8,IFERROR(INDEX('名簿'!$P$5:$P$49,INDEX('calcC'!$B$3:$B$47,MATCH(27,'calcC'!$C$3:$C$47,0))),"")))</f>
        <v/>
      </c>
      <c r="E8" s="27">
        <f>IF('calcA'!BB$4=0,"",IF('調整・決定'!E8&lt;&gt;"",'調整・決定'!E8,IFERROR(INDEX('名簿'!$P$5:$P$49,INDEX('calcC'!$B$3:$B$47,MATCH(51,'calcC'!$C$3:$C$47,0))),"")))</f>
        <v/>
      </c>
      <c r="F8" s="27">
        <f>IF('calcA'!BZ$4=0,"",IF('調整・決定'!F8&lt;&gt;"",'調整・決定'!F8,IFERROR(INDEX('名簿'!$P$5:$P$49,INDEX('calcC'!$B$3:$B$47,MATCH(75,'calcC'!$C$3:$C$47,0))),"")))</f>
        <v/>
      </c>
      <c r="G8" s="27">
        <f>IF('calcA'!CX$4=0,"",IF('調整・決定'!G8&lt;&gt;"",'調整・決定'!G8,IFERROR(INDEX('名簿'!$P$5:$P$49,INDEX('calcC'!$B$3:$B$47,MATCH(99,'calcC'!$C$3:$C$47,0))),"")))</f>
        <v/>
      </c>
      <c r="H8" s="27">
        <f>IF('calcA'!DV$4=0,"",IF('調整・決定'!H8&lt;&gt;"",'調整・決定'!H8,IFERROR(INDEX('名簿'!$P$5:$P$49,INDEX('calcC'!$B$3:$B$47,MATCH(123,'calcC'!$C$3:$C$47,0))),"")))</f>
        <v/>
      </c>
      <c r="J8" s="97" t="inlineStr">
        <is>
          <t>入る枠がない（×・必ず空けたい）</t>
        </is>
      </c>
      <c r="K8" s="98">
        <f t="array" ref="K8">_xlfn.TEXTJOIN("、",TRUE,IF('calcA'!$IS$10:$IS$54=1,'calcA'!$B$10:$B$54,""))</f>
        <v/>
      </c>
    </row>
    <row r="9" ht="26" customHeight="1">
      <c r="B9" s="46">
        <f>'設定'!$I$14</f>
        <v/>
      </c>
      <c r="C9" s="27">
        <f>IF('calcA'!G$4=0,"",IF('調整・決定'!C9&lt;&gt;"",'調整・決定'!C9,IFERROR(INDEX('名簿'!$P$5:$P$49,INDEX('calcC'!$B$3:$B$47,MATCH(4,'calcC'!$C$3:$C$47,0))),"")))</f>
        <v/>
      </c>
      <c r="D9" s="27">
        <f>IF('calcA'!AE$4=0,"",IF('調整・決定'!D9&lt;&gt;"",'調整・決定'!D9,IFERROR(INDEX('名簿'!$P$5:$P$49,INDEX('calcC'!$B$3:$B$47,MATCH(28,'calcC'!$C$3:$C$47,0))),"")))</f>
        <v/>
      </c>
      <c r="E9" s="27">
        <f>IF('calcA'!BC$4=0,"",IF('調整・決定'!E9&lt;&gt;"",'調整・決定'!E9,IFERROR(INDEX('名簿'!$P$5:$P$49,INDEX('calcC'!$B$3:$B$47,MATCH(52,'calcC'!$C$3:$C$47,0))),"")))</f>
        <v/>
      </c>
      <c r="F9" s="27">
        <f>IF('calcA'!CA$4=0,"",IF('調整・決定'!F9&lt;&gt;"",'調整・決定'!F9,IFERROR(INDEX('名簿'!$P$5:$P$49,INDEX('calcC'!$B$3:$B$47,MATCH(76,'calcC'!$C$3:$C$47,0))),"")))</f>
        <v/>
      </c>
      <c r="G9" s="27">
        <f>IF('calcA'!CY$4=0,"",IF('調整・決定'!G9&lt;&gt;"",'調整・決定'!G9,IFERROR(INDEX('名簿'!$P$5:$P$49,INDEX('calcC'!$B$3:$B$47,MATCH(100,'calcC'!$C$3:$C$47,0))),"")))</f>
        <v/>
      </c>
      <c r="H9" s="27">
        <f>IF('calcA'!DW$4=0,"",IF('調整・決定'!H9&lt;&gt;"",'調整・決定'!H9,IFERROR(INDEX('名簿'!$P$5:$P$49,INDEX('calcC'!$B$3:$B$47,MATCH(124,'calcC'!$C$3:$C$47,0))),"")))</f>
        <v/>
      </c>
    </row>
    <row r="10" ht="30" customHeight="1">
      <c r="B10" s="46">
        <f>'設定'!$I$15</f>
        <v/>
      </c>
      <c r="C10" s="27">
        <f>IF('calcA'!H$4=0,"",IF('調整・決定'!C10&lt;&gt;"",'調整・決定'!C10,IFERROR(INDEX('名簿'!$P$5:$P$49,INDEX('calcC'!$B$3:$B$47,MATCH(5,'calcC'!$C$3:$C$47,0))),"")))</f>
        <v/>
      </c>
      <c r="D10" s="27">
        <f>IF('calcA'!AF$4=0,"",IF('調整・決定'!D10&lt;&gt;"",'調整・決定'!D10,IFERROR(INDEX('名簿'!$P$5:$P$49,INDEX('calcC'!$B$3:$B$47,MATCH(29,'calcC'!$C$3:$C$47,0))),"")))</f>
        <v/>
      </c>
      <c r="E10" s="27">
        <f>IF('calcA'!BD$4=0,"",IF('調整・決定'!E10&lt;&gt;"",'調整・決定'!E10,IFERROR(INDEX('名簿'!$P$5:$P$49,INDEX('calcC'!$B$3:$B$47,MATCH(53,'calcC'!$C$3:$C$47,0))),"")))</f>
        <v/>
      </c>
      <c r="F10" s="27">
        <f>IF('calcA'!CB$4=0,"",IF('調整・決定'!F10&lt;&gt;"",'調整・決定'!F10,IFERROR(INDEX('名簿'!$P$5:$P$49,INDEX('calcC'!$B$3:$B$47,MATCH(77,'calcC'!$C$3:$C$47,0))),"")))</f>
        <v/>
      </c>
      <c r="G10" s="27">
        <f>IF('calcA'!CZ$4=0,"",IF('調整・決定'!G10&lt;&gt;"",'調整・決定'!G10,IFERROR(INDEX('名簿'!$P$5:$P$49,INDEX('calcC'!$B$3:$B$47,MATCH(101,'calcC'!$C$3:$C$47,0))),"")))</f>
        <v/>
      </c>
      <c r="H10" s="27">
        <f>IF('calcA'!DX$4=0,"",IF('調整・決定'!H10&lt;&gt;"",'調整・決定'!H10,IFERROR(INDEX('名簿'!$P$5:$P$49,INDEX('calcC'!$B$3:$B$47,MATCH(125,'calcC'!$C$3:$C$47,0))),"")))</f>
        <v/>
      </c>
      <c r="J10" s="99" t="inlineStr">
        <is>
          <t>未入力・未提出で外した</t>
        </is>
      </c>
      <c r="K10" s="100">
        <f t="array" ref="K10">_xlfn.TEXTJOIN("、",TRUE,IF((('名簿'!$Q$5:$Q$49="未入力")+('名簿'!$Q$5:$Q$49="未提出"))*('calcA'!$IO$10:$IO$54=0),'名簿'!$P$5:$P$49,""))</f>
        <v/>
      </c>
    </row>
    <row r="11" ht="26" customHeight="1">
      <c r="B11" s="46">
        <f>'設定'!$I$16</f>
        <v/>
      </c>
      <c r="C11" s="27">
        <f>IF('calcA'!I$4=0,"",IF('調整・決定'!C11&lt;&gt;"",'調整・決定'!C11,IFERROR(INDEX('名簿'!$P$5:$P$49,INDEX('calcC'!$B$3:$B$47,MATCH(6,'calcC'!$C$3:$C$47,0))),"")))</f>
        <v/>
      </c>
      <c r="D11" s="27">
        <f>IF('calcA'!AG$4=0,"",IF('調整・決定'!D11&lt;&gt;"",'調整・決定'!D11,IFERROR(INDEX('名簿'!$P$5:$P$49,INDEX('calcC'!$B$3:$B$47,MATCH(30,'calcC'!$C$3:$C$47,0))),"")))</f>
        <v/>
      </c>
      <c r="E11" s="27">
        <f>IF('calcA'!BE$4=0,"",IF('調整・決定'!E11&lt;&gt;"",'調整・決定'!E11,IFERROR(INDEX('名簿'!$P$5:$P$49,INDEX('calcC'!$B$3:$B$47,MATCH(54,'calcC'!$C$3:$C$47,0))),"")))</f>
        <v/>
      </c>
      <c r="F11" s="27">
        <f>IF('calcA'!CC$4=0,"",IF('調整・決定'!F11&lt;&gt;"",'調整・決定'!F11,IFERROR(INDEX('名簿'!$P$5:$P$49,INDEX('calcC'!$B$3:$B$47,MATCH(78,'calcC'!$C$3:$C$47,0))),"")))</f>
        <v/>
      </c>
      <c r="G11" s="27">
        <f>IF('calcA'!DA$4=0,"",IF('調整・決定'!G11&lt;&gt;"",'調整・決定'!G11,IFERROR(INDEX('名簿'!$P$5:$P$49,INDEX('calcC'!$B$3:$B$47,MATCH(102,'calcC'!$C$3:$C$47,0))),"")))</f>
        <v/>
      </c>
      <c r="H11" s="27">
        <f>IF('calcA'!DY$4=0,"",IF('調整・決定'!H11&lt;&gt;"",'調整・決定'!H11,IFERROR(INDEX('名簿'!$P$5:$P$49,INDEX('calcC'!$B$3:$B$47,MATCH(126,'calcC'!$C$3:$C$47,0))),"")))</f>
        <v/>
      </c>
    </row>
    <row r="12" ht="26" customHeight="1">
      <c r="B12" s="46">
        <f>'設定'!$I$17</f>
        <v/>
      </c>
      <c r="C12" s="27">
        <f>IF('calcA'!J$4=0,"",IF('調整・決定'!C12&lt;&gt;"",'調整・決定'!C12,IFERROR(INDEX('名簿'!$P$5:$P$49,INDEX('calcC'!$B$3:$B$47,MATCH(7,'calcC'!$C$3:$C$47,0))),"")))</f>
        <v/>
      </c>
      <c r="D12" s="27">
        <f>IF('calcA'!AH$4=0,"",IF('調整・決定'!D12&lt;&gt;"",'調整・決定'!D12,IFERROR(INDEX('名簿'!$P$5:$P$49,INDEX('calcC'!$B$3:$B$47,MATCH(31,'calcC'!$C$3:$C$47,0))),"")))</f>
        <v/>
      </c>
      <c r="E12" s="27">
        <f>IF('calcA'!BF$4=0,"",IF('調整・決定'!E12&lt;&gt;"",'調整・決定'!E12,IFERROR(INDEX('名簿'!$P$5:$P$49,INDEX('calcC'!$B$3:$B$47,MATCH(55,'calcC'!$C$3:$C$47,0))),"")))</f>
        <v/>
      </c>
      <c r="F12" s="27">
        <f>IF('calcA'!CD$4=0,"",IF('調整・決定'!F12&lt;&gt;"",'調整・決定'!F12,IFERROR(INDEX('名簿'!$P$5:$P$49,INDEX('calcC'!$B$3:$B$47,MATCH(79,'calcC'!$C$3:$C$47,0))),"")))</f>
        <v/>
      </c>
      <c r="G12" s="27">
        <f>IF('calcA'!DB$4=0,"",IF('調整・決定'!G12&lt;&gt;"",'調整・決定'!G12,IFERROR(INDEX('名簿'!$P$5:$P$49,INDEX('calcC'!$B$3:$B$47,MATCH(103,'calcC'!$C$3:$C$47,0))),"")))</f>
        <v/>
      </c>
      <c r="H12" s="27">
        <f>IF('calcA'!DZ$4=0,"",IF('調整・決定'!H12&lt;&gt;"",'調整・決定'!H12,IFERROR(INDEX('名簿'!$P$5:$P$49,INDEX('calcC'!$B$3:$B$47,MATCH(127,'calcC'!$C$3:$C$47,0))),"")))</f>
        <v/>
      </c>
      <c r="J12" s="95" t="inlineStr">
        <is>
          <t>なるべく空けたい枠を使った</t>
        </is>
      </c>
      <c r="K12" s="96">
        <f>SUM('calcC'!$D$3:$D$47)&amp;" 枠"</f>
        <v/>
      </c>
    </row>
    <row r="13" ht="26" customHeight="1">
      <c r="B13" s="46">
        <f>'設定'!$I$18</f>
        <v/>
      </c>
      <c r="C13" s="27">
        <f>IF('calcA'!K$4=0,"",IF('調整・決定'!C13&lt;&gt;"",'調整・決定'!C13,IFERROR(INDEX('名簿'!$P$5:$P$49,INDEX('calcC'!$B$3:$B$47,MATCH(8,'calcC'!$C$3:$C$47,0))),"")))</f>
        <v/>
      </c>
      <c r="D13" s="27">
        <f>IF('calcA'!AI$4=0,"",IF('調整・決定'!D13&lt;&gt;"",'調整・決定'!D13,IFERROR(INDEX('名簿'!$P$5:$P$49,INDEX('calcC'!$B$3:$B$47,MATCH(32,'calcC'!$C$3:$C$47,0))),"")))</f>
        <v/>
      </c>
      <c r="E13" s="27">
        <f>IF('calcA'!BG$4=0,"",IF('調整・決定'!E13&lt;&gt;"",'調整・決定'!E13,IFERROR(INDEX('名簿'!$P$5:$P$49,INDEX('calcC'!$B$3:$B$47,MATCH(56,'calcC'!$C$3:$C$47,0))),"")))</f>
        <v/>
      </c>
      <c r="F13" s="27">
        <f>IF('calcA'!CE$4=0,"",IF('調整・決定'!F13&lt;&gt;"",'調整・決定'!F13,IFERROR(INDEX('名簿'!$P$5:$P$49,INDEX('calcC'!$B$3:$B$47,MATCH(80,'calcC'!$C$3:$C$47,0))),"")))</f>
        <v/>
      </c>
      <c r="G13" s="27">
        <f>IF('calcA'!DC$4=0,"",IF('調整・決定'!G13&lt;&gt;"",'調整・決定'!G13,IFERROR(INDEX('名簿'!$P$5:$P$49,INDEX('calcC'!$B$3:$B$47,MATCH(104,'calcC'!$C$3:$C$47,0))),"")))</f>
        <v/>
      </c>
      <c r="H13" s="27">
        <f>IF('calcA'!EA$4=0,"",IF('調整・決定'!H13&lt;&gt;"",'調整・決定'!H13,IFERROR(INDEX('名簿'!$P$5:$P$49,INDEX('calcC'!$B$3:$B$47,MATCH(128,'calcC'!$C$3:$C$47,0))),"")))</f>
        <v/>
      </c>
      <c r="J13" s="95" t="inlineStr">
        <is>
          <t>日ごとの人数</t>
        </is>
      </c>
    </row>
    <row r="14" ht="26" customHeight="1">
      <c r="B14" s="46">
        <f>'設定'!$I$19</f>
        <v/>
      </c>
      <c r="C14" s="27">
        <f>IF('calcA'!L$4=0,"",IF('調整・決定'!C14&lt;&gt;"",'調整・決定'!C14,IFERROR(INDEX('名簿'!$P$5:$P$49,INDEX('calcC'!$B$3:$B$47,MATCH(9,'calcC'!$C$3:$C$47,0))),"")))</f>
        <v/>
      </c>
      <c r="D14" s="27">
        <f>IF('calcA'!AJ$4=0,"",IF('調整・決定'!D14&lt;&gt;"",'調整・決定'!D14,IFERROR(INDEX('名簿'!$P$5:$P$49,INDEX('calcC'!$B$3:$B$47,MATCH(33,'calcC'!$C$3:$C$47,0))),"")))</f>
        <v/>
      </c>
      <c r="E14" s="27">
        <f>IF('calcA'!BH$4=0,"",IF('調整・決定'!E14&lt;&gt;"",'調整・決定'!E14,IFERROR(INDEX('名簿'!$P$5:$P$49,INDEX('calcC'!$B$3:$B$47,MATCH(57,'calcC'!$C$3:$C$47,0))),"")))</f>
        <v/>
      </c>
      <c r="F14" s="27">
        <f>IF('calcA'!CF$4=0,"",IF('調整・決定'!F14&lt;&gt;"",'調整・決定'!F14,IFERROR(INDEX('名簿'!$P$5:$P$49,INDEX('calcC'!$B$3:$B$47,MATCH(81,'calcC'!$C$3:$C$47,0))),"")))</f>
        <v/>
      </c>
      <c r="G14" s="27">
        <f>IF('calcA'!DD$4=0,"",IF('調整・決定'!G14&lt;&gt;"",'調整・決定'!G14,IFERROR(INDEX('名簿'!$P$5:$P$49,INDEX('calcC'!$B$3:$B$47,MATCH(105,'calcC'!$C$3:$C$47,0))),"")))</f>
        <v/>
      </c>
      <c r="H14" s="27">
        <f>IF('calcA'!EB$4=0,"",IF('調整・決定'!H14&lt;&gt;"",'調整・決定'!H14,IFERROR(INDEX('名簿'!$P$5:$P$49,INDEX('calcC'!$B$3:$B$47,MATCH(129,'calcC'!$C$3:$C$47,0))),"")))</f>
        <v/>
      </c>
      <c r="J14" s="101">
        <f>IF('設定'!$E$11="","",'設定'!$E$11)</f>
        <v/>
      </c>
      <c r="K14" s="102">
        <f>IF(J14="","",COUNTIF(C6:C29,"?*")&amp;" 人")</f>
        <v/>
      </c>
    </row>
    <row r="15" ht="26" customHeight="1">
      <c r="B15" s="46">
        <f>'設定'!$I$20</f>
        <v/>
      </c>
      <c r="C15" s="27">
        <f>IF('calcA'!M$4=0,"",IF('調整・決定'!C15&lt;&gt;"",'調整・決定'!C15,IFERROR(INDEX('名簿'!$P$5:$P$49,INDEX('calcC'!$B$3:$B$47,MATCH(10,'calcC'!$C$3:$C$47,0))),"")))</f>
        <v/>
      </c>
      <c r="D15" s="27">
        <f>IF('calcA'!AK$4=0,"",IF('調整・決定'!D15&lt;&gt;"",'調整・決定'!D15,IFERROR(INDEX('名簿'!$P$5:$P$49,INDEX('calcC'!$B$3:$B$47,MATCH(34,'calcC'!$C$3:$C$47,0))),"")))</f>
        <v/>
      </c>
      <c r="E15" s="27">
        <f>IF('calcA'!BI$4=0,"",IF('調整・決定'!E15&lt;&gt;"",'調整・決定'!E15,IFERROR(INDEX('名簿'!$P$5:$P$49,INDEX('calcC'!$B$3:$B$47,MATCH(58,'calcC'!$C$3:$C$47,0))),"")))</f>
        <v/>
      </c>
      <c r="F15" s="27">
        <f>IF('calcA'!CG$4=0,"",IF('調整・決定'!F15&lt;&gt;"",'調整・決定'!F15,IFERROR(INDEX('名簿'!$P$5:$P$49,INDEX('calcC'!$B$3:$B$47,MATCH(82,'calcC'!$C$3:$C$47,0))),"")))</f>
        <v/>
      </c>
      <c r="G15" s="27">
        <f>IF('calcA'!DE$4=0,"",IF('調整・決定'!G15&lt;&gt;"",'調整・決定'!G15,IFERROR(INDEX('名簿'!$P$5:$P$49,INDEX('calcC'!$B$3:$B$47,MATCH(106,'calcC'!$C$3:$C$47,0))),"")))</f>
        <v/>
      </c>
      <c r="H15" s="27">
        <f>IF('calcA'!EC$4=0,"",IF('調整・決定'!H15&lt;&gt;"",'調整・決定'!H15,IFERROR(INDEX('名簿'!$P$5:$P$49,INDEX('calcC'!$B$3:$B$47,MATCH(130,'calcC'!$C$3:$C$47,0))),"")))</f>
        <v/>
      </c>
      <c r="J15" s="101">
        <f>IF('設定'!$E$12="","",'設定'!$E$12)</f>
        <v/>
      </c>
      <c r="K15" s="102">
        <f>IF(J15="","",COUNTIF(D6:D29,"?*")&amp;" 人")</f>
        <v/>
      </c>
    </row>
    <row r="16" ht="26" customHeight="1">
      <c r="B16" s="46">
        <f>'設定'!$I$21</f>
        <v/>
      </c>
      <c r="C16" s="27">
        <f>IF('calcA'!N$4=0,"",IF('調整・決定'!C16&lt;&gt;"",'調整・決定'!C16,IFERROR(INDEX('名簿'!$P$5:$P$49,INDEX('calcC'!$B$3:$B$47,MATCH(11,'calcC'!$C$3:$C$47,0))),"")))</f>
        <v/>
      </c>
      <c r="D16" s="27">
        <f>IF('calcA'!AL$4=0,"",IF('調整・決定'!D16&lt;&gt;"",'調整・決定'!D16,IFERROR(INDEX('名簿'!$P$5:$P$49,INDEX('calcC'!$B$3:$B$47,MATCH(35,'calcC'!$C$3:$C$47,0))),"")))</f>
        <v/>
      </c>
      <c r="E16" s="27">
        <f>IF('calcA'!BJ$4=0,"",IF('調整・決定'!E16&lt;&gt;"",'調整・決定'!E16,IFERROR(INDEX('名簿'!$P$5:$P$49,INDEX('calcC'!$B$3:$B$47,MATCH(59,'calcC'!$C$3:$C$47,0))),"")))</f>
        <v/>
      </c>
      <c r="F16" s="27">
        <f>IF('calcA'!CH$4=0,"",IF('調整・決定'!F16&lt;&gt;"",'調整・決定'!F16,IFERROR(INDEX('名簿'!$P$5:$P$49,INDEX('calcC'!$B$3:$B$47,MATCH(83,'calcC'!$C$3:$C$47,0))),"")))</f>
        <v/>
      </c>
      <c r="G16" s="27">
        <f>IF('calcA'!DF$4=0,"",IF('調整・決定'!G16&lt;&gt;"",'調整・決定'!G16,IFERROR(INDEX('名簿'!$P$5:$P$49,INDEX('calcC'!$B$3:$B$47,MATCH(107,'calcC'!$C$3:$C$47,0))),"")))</f>
        <v/>
      </c>
      <c r="H16" s="27">
        <f>IF('calcA'!ED$4=0,"",IF('調整・決定'!H16&lt;&gt;"",'調整・決定'!H16,IFERROR(INDEX('名簿'!$P$5:$P$49,INDEX('calcC'!$B$3:$B$47,MATCH(131,'calcC'!$C$3:$C$47,0))),"")))</f>
        <v/>
      </c>
      <c r="J16" s="101">
        <f>IF('設定'!$E$13="","",'設定'!$E$13)</f>
        <v/>
      </c>
      <c r="K16" s="102">
        <f>IF(J16="","",COUNTIF(E6:E29,"?*")&amp;" 人")</f>
        <v/>
      </c>
    </row>
    <row r="17" ht="26" customHeight="1">
      <c r="B17" s="46">
        <f>'設定'!$I$22</f>
        <v/>
      </c>
      <c r="C17" s="27">
        <f>IF('calcA'!O$4=0,"",IF('調整・決定'!C17&lt;&gt;"",'調整・決定'!C17,IFERROR(INDEX('名簿'!$P$5:$P$49,INDEX('calcC'!$B$3:$B$47,MATCH(12,'calcC'!$C$3:$C$47,0))),"")))</f>
        <v/>
      </c>
      <c r="D17" s="27">
        <f>IF('calcA'!AM$4=0,"",IF('調整・決定'!D17&lt;&gt;"",'調整・決定'!D17,IFERROR(INDEX('名簿'!$P$5:$P$49,INDEX('calcC'!$B$3:$B$47,MATCH(36,'calcC'!$C$3:$C$47,0))),"")))</f>
        <v/>
      </c>
      <c r="E17" s="27">
        <f>IF('calcA'!BK$4=0,"",IF('調整・決定'!E17&lt;&gt;"",'調整・決定'!E17,IFERROR(INDEX('名簿'!$P$5:$P$49,INDEX('calcC'!$B$3:$B$47,MATCH(60,'calcC'!$C$3:$C$47,0))),"")))</f>
        <v/>
      </c>
      <c r="F17" s="27">
        <f>IF('calcA'!CI$4=0,"",IF('調整・決定'!F17&lt;&gt;"",'調整・決定'!F17,IFERROR(INDEX('名簿'!$P$5:$P$49,INDEX('calcC'!$B$3:$B$47,MATCH(84,'calcC'!$C$3:$C$47,0))),"")))</f>
        <v/>
      </c>
      <c r="G17" s="27">
        <f>IF('calcA'!DG$4=0,"",IF('調整・決定'!G17&lt;&gt;"",'調整・決定'!G17,IFERROR(INDEX('名簿'!$P$5:$P$49,INDEX('calcC'!$B$3:$B$47,MATCH(108,'calcC'!$C$3:$C$47,0))),"")))</f>
        <v/>
      </c>
      <c r="H17" s="27">
        <f>IF('calcA'!EE$4=0,"",IF('調整・決定'!H17&lt;&gt;"",'調整・決定'!H17,IFERROR(INDEX('名簿'!$P$5:$P$49,INDEX('calcC'!$B$3:$B$47,MATCH(132,'calcC'!$C$3:$C$47,0))),"")))</f>
        <v/>
      </c>
      <c r="J17" s="101">
        <f>IF('設定'!$E$14="","",'設定'!$E$14)</f>
        <v/>
      </c>
      <c r="K17" s="102">
        <f>IF(J17="","",COUNTIF(F6:F29,"?*")&amp;" 人")</f>
        <v/>
      </c>
    </row>
    <row r="18" ht="26" customHeight="1">
      <c r="B18" s="46">
        <f>'設定'!$I$23</f>
        <v/>
      </c>
      <c r="C18" s="27">
        <f>IF('calcA'!P$4=0,"",IF('調整・決定'!C18&lt;&gt;"",'調整・決定'!C18,IFERROR(INDEX('名簿'!$P$5:$P$49,INDEX('calcC'!$B$3:$B$47,MATCH(13,'calcC'!$C$3:$C$47,0))),"")))</f>
        <v/>
      </c>
      <c r="D18" s="27">
        <f>IF('calcA'!AN$4=0,"",IF('調整・決定'!D18&lt;&gt;"",'調整・決定'!D18,IFERROR(INDEX('名簿'!$P$5:$P$49,INDEX('calcC'!$B$3:$B$47,MATCH(37,'calcC'!$C$3:$C$47,0))),"")))</f>
        <v/>
      </c>
      <c r="E18" s="27">
        <f>IF('calcA'!BL$4=0,"",IF('調整・決定'!E18&lt;&gt;"",'調整・決定'!E18,IFERROR(INDEX('名簿'!$P$5:$P$49,INDEX('calcC'!$B$3:$B$47,MATCH(61,'calcC'!$C$3:$C$47,0))),"")))</f>
        <v/>
      </c>
      <c r="F18" s="27">
        <f>IF('calcA'!CJ$4=0,"",IF('調整・決定'!F18&lt;&gt;"",'調整・決定'!F18,IFERROR(INDEX('名簿'!$P$5:$P$49,INDEX('calcC'!$B$3:$B$47,MATCH(85,'calcC'!$C$3:$C$47,0))),"")))</f>
        <v/>
      </c>
      <c r="G18" s="27">
        <f>IF('calcA'!DH$4=0,"",IF('調整・決定'!G18&lt;&gt;"",'調整・決定'!G18,IFERROR(INDEX('名簿'!$P$5:$P$49,INDEX('calcC'!$B$3:$B$47,MATCH(109,'calcC'!$C$3:$C$47,0))),"")))</f>
        <v/>
      </c>
      <c r="H18" s="27">
        <f>IF('calcA'!EF$4=0,"",IF('調整・決定'!H18&lt;&gt;"",'調整・決定'!H18,IFERROR(INDEX('名簿'!$P$5:$P$49,INDEX('calcC'!$B$3:$B$47,MATCH(133,'calcC'!$C$3:$C$47,0))),"")))</f>
        <v/>
      </c>
      <c r="J18" s="101">
        <f>IF('設定'!$E$15="","",'設定'!$E$15)</f>
        <v/>
      </c>
      <c r="K18" s="102">
        <f>IF(J18="","",COUNTIF(G6:G29,"?*")&amp;" 人")</f>
        <v/>
      </c>
    </row>
    <row r="19" ht="26" customHeight="1">
      <c r="B19" s="46">
        <f>'設定'!$I$24</f>
        <v/>
      </c>
      <c r="C19" s="27">
        <f>IF('calcA'!Q$4=0,"",IF('調整・決定'!C19&lt;&gt;"",'調整・決定'!C19,IFERROR(INDEX('名簿'!$P$5:$P$49,INDEX('calcC'!$B$3:$B$47,MATCH(14,'calcC'!$C$3:$C$47,0))),"")))</f>
        <v/>
      </c>
      <c r="D19" s="27">
        <f>IF('calcA'!AO$4=0,"",IF('調整・決定'!D19&lt;&gt;"",'調整・決定'!D19,IFERROR(INDEX('名簿'!$P$5:$P$49,INDEX('calcC'!$B$3:$B$47,MATCH(38,'calcC'!$C$3:$C$47,0))),"")))</f>
        <v/>
      </c>
      <c r="E19" s="27">
        <f>IF('calcA'!BM$4=0,"",IF('調整・決定'!E19&lt;&gt;"",'調整・決定'!E19,IFERROR(INDEX('名簿'!$P$5:$P$49,INDEX('calcC'!$B$3:$B$47,MATCH(62,'calcC'!$C$3:$C$47,0))),"")))</f>
        <v/>
      </c>
      <c r="F19" s="27">
        <f>IF('calcA'!CK$4=0,"",IF('調整・決定'!F19&lt;&gt;"",'調整・決定'!F19,IFERROR(INDEX('名簿'!$P$5:$P$49,INDEX('calcC'!$B$3:$B$47,MATCH(86,'calcC'!$C$3:$C$47,0))),"")))</f>
        <v/>
      </c>
      <c r="G19" s="27">
        <f>IF('calcA'!DI$4=0,"",IF('調整・決定'!G19&lt;&gt;"",'調整・決定'!G19,IFERROR(INDEX('名簿'!$P$5:$P$49,INDEX('calcC'!$B$3:$B$47,MATCH(110,'calcC'!$C$3:$C$47,0))),"")))</f>
        <v/>
      </c>
      <c r="H19" s="27">
        <f>IF('calcA'!EG$4=0,"",IF('調整・決定'!H19&lt;&gt;"",'調整・決定'!H19,IFERROR(INDEX('名簿'!$P$5:$P$49,INDEX('calcC'!$B$3:$B$47,MATCH(134,'calcC'!$C$3:$C$47,0))),"")))</f>
        <v/>
      </c>
      <c r="J19" s="101">
        <f>IF('設定'!$E$16="","",'設定'!$E$16)</f>
        <v/>
      </c>
      <c r="K19" s="102">
        <f>IF(J19="","",COUNTIF(H6:H29,"?*")&amp;" 人")</f>
        <v/>
      </c>
    </row>
    <row r="20" ht="26" customHeight="1">
      <c r="B20" s="46">
        <f>'設定'!$I$25</f>
        <v/>
      </c>
      <c r="C20" s="27">
        <f>IF('calcA'!R$4=0,"",IF('調整・決定'!C20&lt;&gt;"",'調整・決定'!C20,IFERROR(INDEX('名簿'!$P$5:$P$49,INDEX('calcC'!$B$3:$B$47,MATCH(15,'calcC'!$C$3:$C$47,0))),"")))</f>
        <v/>
      </c>
      <c r="D20" s="27">
        <f>IF('calcA'!AP$4=0,"",IF('調整・決定'!D20&lt;&gt;"",'調整・決定'!D20,IFERROR(INDEX('名簿'!$P$5:$P$49,INDEX('calcC'!$B$3:$B$47,MATCH(39,'calcC'!$C$3:$C$47,0))),"")))</f>
        <v/>
      </c>
      <c r="E20" s="27">
        <f>IF('calcA'!BN$4=0,"",IF('調整・決定'!E20&lt;&gt;"",'調整・決定'!E20,IFERROR(INDEX('名簿'!$P$5:$P$49,INDEX('calcC'!$B$3:$B$47,MATCH(63,'calcC'!$C$3:$C$47,0))),"")))</f>
        <v/>
      </c>
      <c r="F20" s="27">
        <f>IF('calcA'!CL$4=0,"",IF('調整・決定'!F20&lt;&gt;"",'調整・決定'!F20,IFERROR(INDEX('名簿'!$P$5:$P$49,INDEX('calcC'!$B$3:$B$47,MATCH(87,'calcC'!$C$3:$C$47,0))),"")))</f>
        <v/>
      </c>
      <c r="G20" s="27">
        <f>IF('calcA'!DJ$4=0,"",IF('調整・決定'!G20&lt;&gt;"",'調整・決定'!G20,IFERROR(INDEX('名簿'!$P$5:$P$49,INDEX('calcC'!$B$3:$B$47,MATCH(111,'calcC'!$C$3:$C$47,0))),"")))</f>
        <v/>
      </c>
      <c r="H20" s="27">
        <f>IF('calcA'!EH$4=0,"",IF('調整・決定'!H20&lt;&gt;"",'調整・決定'!H20,IFERROR(INDEX('名簿'!$P$5:$P$49,INDEX('calcC'!$B$3:$B$47,MATCH(135,'calcC'!$C$3:$C$47,0))),"")))</f>
        <v/>
      </c>
    </row>
    <row r="21" ht="26" customHeight="1">
      <c r="B21" s="46">
        <f>'設定'!$I$26</f>
        <v/>
      </c>
      <c r="C21" s="27">
        <f>IF('calcA'!S$4=0,"",IF('調整・決定'!C21&lt;&gt;"",'調整・決定'!C21,IFERROR(INDEX('名簿'!$P$5:$P$49,INDEX('calcC'!$B$3:$B$47,MATCH(16,'calcC'!$C$3:$C$47,0))),"")))</f>
        <v/>
      </c>
      <c r="D21" s="27">
        <f>IF('calcA'!AQ$4=0,"",IF('調整・決定'!D21&lt;&gt;"",'調整・決定'!D21,IFERROR(INDEX('名簿'!$P$5:$P$49,INDEX('calcC'!$B$3:$B$47,MATCH(40,'calcC'!$C$3:$C$47,0))),"")))</f>
        <v/>
      </c>
      <c r="E21" s="27">
        <f>IF('calcA'!BO$4=0,"",IF('調整・決定'!E21&lt;&gt;"",'調整・決定'!E21,IFERROR(INDEX('名簿'!$P$5:$P$49,INDEX('calcC'!$B$3:$B$47,MATCH(64,'calcC'!$C$3:$C$47,0))),"")))</f>
        <v/>
      </c>
      <c r="F21" s="27">
        <f>IF('calcA'!CM$4=0,"",IF('調整・決定'!F21&lt;&gt;"",'調整・決定'!F21,IFERROR(INDEX('名簿'!$P$5:$P$49,INDEX('calcC'!$B$3:$B$47,MATCH(88,'calcC'!$C$3:$C$47,0))),"")))</f>
        <v/>
      </c>
      <c r="G21" s="27">
        <f>IF('calcA'!DK$4=0,"",IF('調整・決定'!G21&lt;&gt;"",'調整・決定'!G21,IFERROR(INDEX('名簿'!$P$5:$P$49,INDEX('calcC'!$B$3:$B$47,MATCH(112,'calcC'!$C$3:$C$47,0))),"")))</f>
        <v/>
      </c>
      <c r="H21" s="27">
        <f>IF('calcA'!EI$4=0,"",IF('調整・決定'!H21&lt;&gt;"",'調整・決定'!H21,IFERROR(INDEX('名簿'!$P$5:$P$49,INDEX('calcC'!$B$3:$B$47,MATCH(136,'calcC'!$C$3:$C$47,0))),"")))</f>
        <v/>
      </c>
    </row>
    <row r="22" ht="26" customHeight="1">
      <c r="B22" s="46">
        <f>'設定'!$I$27</f>
        <v/>
      </c>
      <c r="C22" s="27">
        <f>IF('calcA'!T$4=0,"",IF('調整・決定'!C22&lt;&gt;"",'調整・決定'!C22,IFERROR(INDEX('名簿'!$P$5:$P$49,INDEX('calcC'!$B$3:$B$47,MATCH(17,'calcC'!$C$3:$C$47,0))),"")))</f>
        <v/>
      </c>
      <c r="D22" s="27">
        <f>IF('calcA'!AR$4=0,"",IF('調整・決定'!D22&lt;&gt;"",'調整・決定'!D22,IFERROR(INDEX('名簿'!$P$5:$P$49,INDEX('calcC'!$B$3:$B$47,MATCH(41,'calcC'!$C$3:$C$47,0))),"")))</f>
        <v/>
      </c>
      <c r="E22" s="27">
        <f>IF('calcA'!BP$4=0,"",IF('調整・決定'!E22&lt;&gt;"",'調整・決定'!E22,IFERROR(INDEX('名簿'!$P$5:$P$49,INDEX('calcC'!$B$3:$B$47,MATCH(65,'calcC'!$C$3:$C$47,0))),"")))</f>
        <v/>
      </c>
      <c r="F22" s="27">
        <f>IF('calcA'!CN$4=0,"",IF('調整・決定'!F22&lt;&gt;"",'調整・決定'!F22,IFERROR(INDEX('名簿'!$P$5:$P$49,INDEX('calcC'!$B$3:$B$47,MATCH(89,'calcC'!$C$3:$C$47,0))),"")))</f>
        <v/>
      </c>
      <c r="G22" s="27">
        <f>IF('calcA'!DL$4=0,"",IF('調整・決定'!G22&lt;&gt;"",'調整・決定'!G22,IFERROR(INDEX('名簿'!$P$5:$P$49,INDEX('calcC'!$B$3:$B$47,MATCH(113,'calcC'!$C$3:$C$47,0))),"")))</f>
        <v/>
      </c>
      <c r="H22" s="27">
        <f>IF('calcA'!EJ$4=0,"",IF('調整・決定'!H22&lt;&gt;"",'調整・決定'!H22,IFERROR(INDEX('名簿'!$P$5:$P$49,INDEX('calcC'!$B$3:$B$47,MATCH(137,'calcC'!$C$3:$C$47,0))),"")))</f>
        <v/>
      </c>
    </row>
    <row r="23" ht="26" customHeight="1">
      <c r="B23" s="46">
        <f>'設定'!$I$28</f>
        <v/>
      </c>
      <c r="C23" s="27">
        <f>IF('calcA'!U$4=0,"",IF('調整・決定'!C23&lt;&gt;"",'調整・決定'!C23,IFERROR(INDEX('名簿'!$P$5:$P$49,INDEX('calcC'!$B$3:$B$47,MATCH(18,'calcC'!$C$3:$C$47,0))),"")))</f>
        <v/>
      </c>
      <c r="D23" s="27">
        <f>IF('calcA'!AS$4=0,"",IF('調整・決定'!D23&lt;&gt;"",'調整・決定'!D23,IFERROR(INDEX('名簿'!$P$5:$P$49,INDEX('calcC'!$B$3:$B$47,MATCH(42,'calcC'!$C$3:$C$47,0))),"")))</f>
        <v/>
      </c>
      <c r="E23" s="27">
        <f>IF('calcA'!BQ$4=0,"",IF('調整・決定'!E23&lt;&gt;"",'調整・決定'!E23,IFERROR(INDEX('名簿'!$P$5:$P$49,INDEX('calcC'!$B$3:$B$47,MATCH(66,'calcC'!$C$3:$C$47,0))),"")))</f>
        <v/>
      </c>
      <c r="F23" s="27">
        <f>IF('calcA'!CO$4=0,"",IF('調整・決定'!F23&lt;&gt;"",'調整・決定'!F23,IFERROR(INDEX('名簿'!$P$5:$P$49,INDEX('calcC'!$B$3:$B$47,MATCH(90,'calcC'!$C$3:$C$47,0))),"")))</f>
        <v/>
      </c>
      <c r="G23" s="27">
        <f>IF('calcA'!DM$4=0,"",IF('調整・決定'!G23&lt;&gt;"",'調整・決定'!G23,IFERROR(INDEX('名簿'!$P$5:$P$49,INDEX('calcC'!$B$3:$B$47,MATCH(114,'calcC'!$C$3:$C$47,0))),"")))</f>
        <v/>
      </c>
      <c r="H23" s="27">
        <f>IF('calcA'!EK$4=0,"",IF('調整・決定'!H23&lt;&gt;"",'調整・決定'!H23,IFERROR(INDEX('名簿'!$P$5:$P$49,INDEX('calcC'!$B$3:$B$47,MATCH(138,'calcC'!$C$3:$C$47,0))),"")))</f>
        <v/>
      </c>
    </row>
    <row r="24" ht="26" customHeight="1">
      <c r="B24" s="46">
        <f>'設定'!$I$29</f>
        <v/>
      </c>
      <c r="C24" s="27">
        <f>IF('calcA'!V$4=0,"",IF('調整・決定'!C24&lt;&gt;"",'調整・決定'!C24,IFERROR(INDEX('名簿'!$P$5:$P$49,INDEX('calcC'!$B$3:$B$47,MATCH(19,'calcC'!$C$3:$C$47,0))),"")))</f>
        <v/>
      </c>
      <c r="D24" s="27">
        <f>IF('calcA'!AT$4=0,"",IF('調整・決定'!D24&lt;&gt;"",'調整・決定'!D24,IFERROR(INDEX('名簿'!$P$5:$P$49,INDEX('calcC'!$B$3:$B$47,MATCH(43,'calcC'!$C$3:$C$47,0))),"")))</f>
        <v/>
      </c>
      <c r="E24" s="27">
        <f>IF('calcA'!BR$4=0,"",IF('調整・決定'!E24&lt;&gt;"",'調整・決定'!E24,IFERROR(INDEX('名簿'!$P$5:$P$49,INDEX('calcC'!$B$3:$B$47,MATCH(67,'calcC'!$C$3:$C$47,0))),"")))</f>
        <v/>
      </c>
      <c r="F24" s="27">
        <f>IF('calcA'!CP$4=0,"",IF('調整・決定'!F24&lt;&gt;"",'調整・決定'!F24,IFERROR(INDEX('名簿'!$P$5:$P$49,INDEX('calcC'!$B$3:$B$47,MATCH(91,'calcC'!$C$3:$C$47,0))),"")))</f>
        <v/>
      </c>
      <c r="G24" s="27">
        <f>IF('calcA'!DN$4=0,"",IF('調整・決定'!G24&lt;&gt;"",'調整・決定'!G24,IFERROR(INDEX('名簿'!$P$5:$P$49,INDEX('calcC'!$B$3:$B$47,MATCH(115,'calcC'!$C$3:$C$47,0))),"")))</f>
        <v/>
      </c>
      <c r="H24" s="27">
        <f>IF('calcA'!EL$4=0,"",IF('調整・決定'!H24&lt;&gt;"",'調整・決定'!H24,IFERROR(INDEX('名簿'!$P$5:$P$49,INDEX('calcC'!$B$3:$B$47,MATCH(139,'calcC'!$C$3:$C$47,0))),"")))</f>
        <v/>
      </c>
    </row>
    <row r="25" ht="26" customHeight="1">
      <c r="B25" s="46">
        <f>'設定'!$I$30</f>
        <v/>
      </c>
      <c r="C25" s="27">
        <f>IF('calcA'!W$4=0,"",IF('調整・決定'!C25&lt;&gt;"",'調整・決定'!C25,IFERROR(INDEX('名簿'!$P$5:$P$49,INDEX('calcC'!$B$3:$B$47,MATCH(20,'calcC'!$C$3:$C$47,0))),"")))</f>
        <v/>
      </c>
      <c r="D25" s="27">
        <f>IF('calcA'!AU$4=0,"",IF('調整・決定'!D25&lt;&gt;"",'調整・決定'!D25,IFERROR(INDEX('名簿'!$P$5:$P$49,INDEX('calcC'!$B$3:$B$47,MATCH(44,'calcC'!$C$3:$C$47,0))),"")))</f>
        <v/>
      </c>
      <c r="E25" s="27">
        <f>IF('calcA'!BS$4=0,"",IF('調整・決定'!E25&lt;&gt;"",'調整・決定'!E25,IFERROR(INDEX('名簿'!$P$5:$P$49,INDEX('calcC'!$B$3:$B$47,MATCH(68,'calcC'!$C$3:$C$47,0))),"")))</f>
        <v/>
      </c>
      <c r="F25" s="27">
        <f>IF('calcA'!CQ$4=0,"",IF('調整・決定'!F25&lt;&gt;"",'調整・決定'!F25,IFERROR(INDEX('名簿'!$P$5:$P$49,INDEX('calcC'!$B$3:$B$47,MATCH(92,'calcC'!$C$3:$C$47,0))),"")))</f>
        <v/>
      </c>
      <c r="G25" s="27">
        <f>IF('calcA'!DO$4=0,"",IF('調整・決定'!G25&lt;&gt;"",'調整・決定'!G25,IFERROR(INDEX('名簿'!$P$5:$P$49,INDEX('calcC'!$B$3:$B$47,MATCH(116,'calcC'!$C$3:$C$47,0))),"")))</f>
        <v/>
      </c>
      <c r="H25" s="27">
        <f>IF('calcA'!EM$4=0,"",IF('調整・決定'!H25&lt;&gt;"",'調整・決定'!H25,IFERROR(INDEX('名簿'!$P$5:$P$49,INDEX('calcC'!$B$3:$B$47,MATCH(140,'calcC'!$C$3:$C$47,0))),"")))</f>
        <v/>
      </c>
    </row>
    <row r="26" ht="26" customHeight="1">
      <c r="B26" s="46">
        <f>'設定'!$I$31</f>
        <v/>
      </c>
      <c r="C26" s="27">
        <f>IF('calcA'!X$4=0,"",IF('調整・決定'!C26&lt;&gt;"",'調整・決定'!C26,IFERROR(INDEX('名簿'!$P$5:$P$49,INDEX('calcC'!$B$3:$B$47,MATCH(21,'calcC'!$C$3:$C$47,0))),"")))</f>
        <v/>
      </c>
      <c r="D26" s="27">
        <f>IF('calcA'!AV$4=0,"",IF('調整・決定'!D26&lt;&gt;"",'調整・決定'!D26,IFERROR(INDEX('名簿'!$P$5:$P$49,INDEX('calcC'!$B$3:$B$47,MATCH(45,'calcC'!$C$3:$C$47,0))),"")))</f>
        <v/>
      </c>
      <c r="E26" s="27">
        <f>IF('calcA'!BT$4=0,"",IF('調整・決定'!E26&lt;&gt;"",'調整・決定'!E26,IFERROR(INDEX('名簿'!$P$5:$P$49,INDEX('calcC'!$B$3:$B$47,MATCH(69,'calcC'!$C$3:$C$47,0))),"")))</f>
        <v/>
      </c>
      <c r="F26" s="27">
        <f>IF('calcA'!CR$4=0,"",IF('調整・決定'!F26&lt;&gt;"",'調整・決定'!F26,IFERROR(INDEX('名簿'!$P$5:$P$49,INDEX('calcC'!$B$3:$B$47,MATCH(93,'calcC'!$C$3:$C$47,0))),"")))</f>
        <v/>
      </c>
      <c r="G26" s="27">
        <f>IF('calcA'!DP$4=0,"",IF('調整・決定'!G26&lt;&gt;"",'調整・決定'!G26,IFERROR(INDEX('名簿'!$P$5:$P$49,INDEX('calcC'!$B$3:$B$47,MATCH(117,'calcC'!$C$3:$C$47,0))),"")))</f>
        <v/>
      </c>
      <c r="H26" s="27">
        <f>IF('calcA'!EN$4=0,"",IF('調整・決定'!H26&lt;&gt;"",'調整・決定'!H26,IFERROR(INDEX('名簿'!$P$5:$P$49,INDEX('calcC'!$B$3:$B$47,MATCH(141,'calcC'!$C$3:$C$47,0))),"")))</f>
        <v/>
      </c>
    </row>
    <row r="27" ht="26" customHeight="1">
      <c r="B27" s="46">
        <f>'設定'!$I$32</f>
        <v/>
      </c>
      <c r="C27" s="27">
        <f>IF('calcA'!Y$4=0,"",IF('調整・決定'!C27&lt;&gt;"",'調整・決定'!C27,IFERROR(INDEX('名簿'!$P$5:$P$49,INDEX('calcC'!$B$3:$B$47,MATCH(22,'calcC'!$C$3:$C$47,0))),"")))</f>
        <v/>
      </c>
      <c r="D27" s="27">
        <f>IF('calcA'!AW$4=0,"",IF('調整・決定'!D27&lt;&gt;"",'調整・決定'!D27,IFERROR(INDEX('名簿'!$P$5:$P$49,INDEX('calcC'!$B$3:$B$47,MATCH(46,'calcC'!$C$3:$C$47,0))),"")))</f>
        <v/>
      </c>
      <c r="E27" s="27">
        <f>IF('calcA'!BU$4=0,"",IF('調整・決定'!E27&lt;&gt;"",'調整・決定'!E27,IFERROR(INDEX('名簿'!$P$5:$P$49,INDEX('calcC'!$B$3:$B$47,MATCH(70,'calcC'!$C$3:$C$47,0))),"")))</f>
        <v/>
      </c>
      <c r="F27" s="27">
        <f>IF('calcA'!CS$4=0,"",IF('調整・決定'!F27&lt;&gt;"",'調整・決定'!F27,IFERROR(INDEX('名簿'!$P$5:$P$49,INDEX('calcC'!$B$3:$B$47,MATCH(94,'calcC'!$C$3:$C$47,0))),"")))</f>
        <v/>
      </c>
      <c r="G27" s="27">
        <f>IF('calcA'!DQ$4=0,"",IF('調整・決定'!G27&lt;&gt;"",'調整・決定'!G27,IFERROR(INDEX('名簿'!$P$5:$P$49,INDEX('calcC'!$B$3:$B$47,MATCH(118,'calcC'!$C$3:$C$47,0))),"")))</f>
        <v/>
      </c>
      <c r="H27" s="27">
        <f>IF('calcA'!EO$4=0,"",IF('調整・決定'!H27&lt;&gt;"",'調整・決定'!H27,IFERROR(INDEX('名簿'!$P$5:$P$49,INDEX('calcC'!$B$3:$B$47,MATCH(142,'calcC'!$C$3:$C$47,0))),"")))</f>
        <v/>
      </c>
    </row>
    <row r="28" ht="26" customHeight="1">
      <c r="B28" s="46">
        <f>'設定'!$I$33</f>
        <v/>
      </c>
      <c r="C28" s="27">
        <f>IF('calcA'!Z$4=0,"",IF('調整・決定'!C28&lt;&gt;"",'調整・決定'!C28,IFERROR(INDEX('名簿'!$P$5:$P$49,INDEX('calcC'!$B$3:$B$47,MATCH(23,'calcC'!$C$3:$C$47,0))),"")))</f>
        <v/>
      </c>
      <c r="D28" s="27">
        <f>IF('calcA'!AX$4=0,"",IF('調整・決定'!D28&lt;&gt;"",'調整・決定'!D28,IFERROR(INDEX('名簿'!$P$5:$P$49,INDEX('calcC'!$B$3:$B$47,MATCH(47,'calcC'!$C$3:$C$47,0))),"")))</f>
        <v/>
      </c>
      <c r="E28" s="27">
        <f>IF('calcA'!BV$4=0,"",IF('調整・決定'!E28&lt;&gt;"",'調整・決定'!E28,IFERROR(INDEX('名簿'!$P$5:$P$49,INDEX('calcC'!$B$3:$B$47,MATCH(71,'calcC'!$C$3:$C$47,0))),"")))</f>
        <v/>
      </c>
      <c r="F28" s="27">
        <f>IF('calcA'!CT$4=0,"",IF('調整・決定'!F28&lt;&gt;"",'調整・決定'!F28,IFERROR(INDEX('名簿'!$P$5:$P$49,INDEX('calcC'!$B$3:$B$47,MATCH(95,'calcC'!$C$3:$C$47,0))),"")))</f>
        <v/>
      </c>
      <c r="G28" s="27">
        <f>IF('calcA'!DR$4=0,"",IF('調整・決定'!G28&lt;&gt;"",'調整・決定'!G28,IFERROR(INDEX('名簿'!$P$5:$P$49,INDEX('calcC'!$B$3:$B$47,MATCH(119,'calcC'!$C$3:$C$47,0))),"")))</f>
        <v/>
      </c>
      <c r="H28" s="27">
        <f>IF('calcA'!EP$4=0,"",IF('調整・決定'!H28&lt;&gt;"",'調整・決定'!H28,IFERROR(INDEX('名簿'!$P$5:$P$49,INDEX('calcC'!$B$3:$B$47,MATCH(143,'calcC'!$C$3:$C$47,0))),"")))</f>
        <v/>
      </c>
    </row>
    <row r="29" ht="26" customHeight="1">
      <c r="B29" s="46">
        <f>'設定'!$I$34</f>
        <v/>
      </c>
      <c r="C29" s="27">
        <f>IF('calcA'!AA$4=0,"",IF('調整・決定'!C29&lt;&gt;"",'調整・決定'!C29,IFERROR(INDEX('名簿'!$P$5:$P$49,INDEX('calcC'!$B$3:$B$47,MATCH(24,'calcC'!$C$3:$C$47,0))),"")))</f>
        <v/>
      </c>
      <c r="D29" s="27">
        <f>IF('calcA'!AY$4=0,"",IF('調整・決定'!D29&lt;&gt;"",'調整・決定'!D29,IFERROR(INDEX('名簿'!$P$5:$P$49,INDEX('calcC'!$B$3:$B$47,MATCH(48,'calcC'!$C$3:$C$47,0))),"")))</f>
        <v/>
      </c>
      <c r="E29" s="27">
        <f>IF('calcA'!BW$4=0,"",IF('調整・決定'!E29&lt;&gt;"",'調整・決定'!E29,IFERROR(INDEX('名簿'!$P$5:$P$49,INDEX('calcC'!$B$3:$B$47,MATCH(72,'calcC'!$C$3:$C$47,0))),"")))</f>
        <v/>
      </c>
      <c r="F29" s="27">
        <f>IF('calcA'!CU$4=0,"",IF('調整・決定'!F29&lt;&gt;"",'調整・決定'!F29,IFERROR(INDEX('名簿'!$P$5:$P$49,INDEX('calcC'!$B$3:$B$47,MATCH(96,'calcC'!$C$3:$C$47,0))),"")))</f>
        <v/>
      </c>
      <c r="G29" s="27">
        <f>IF('calcA'!DS$4=0,"",IF('調整・決定'!G29&lt;&gt;"",'調整・決定'!G29,IFERROR(INDEX('名簿'!$P$5:$P$49,INDEX('calcC'!$B$3:$B$47,MATCH(120,'calcC'!$C$3:$C$47,0))),"")))</f>
        <v/>
      </c>
      <c r="H29" s="27">
        <f>IF('calcA'!EQ$4=0,"",IF('調整・決定'!H29&lt;&gt;"",'調整・決定'!H29,IFERROR(INDEX('名簿'!$P$5:$P$49,INDEX('calcC'!$B$3:$B$47,MATCH(144,'calcC'!$C$3:$C$47,0))),"")))</f>
        <v/>
      </c>
    </row>
  </sheetData>
  <mergeCells count="3">
    <mergeCell ref="K8:K9"/>
    <mergeCell ref="C4:H4"/>
    <mergeCell ref="K10:K11"/>
  </mergeCells>
  <conditionalFormatting sqref="B6:B29">
    <cfRule type="expression" priority="1" dxfId="3" stopIfTrue="1">
      <formula>B6=""</formula>
    </cfRule>
  </conditionalFormatting>
  <conditionalFormatting sqref="C6:H29">
    <cfRule type="expression" priority="2" dxfId="3" stopIfTrue="1">
      <formula>INDEX('calcA'!$D$115:$EQ$115,(COLUMN(C6)-3)*24+ROW(C6)-5)=0</formula>
    </cfRule>
    <cfRule type="expression" priority="3" dxfId="11" stopIfTrue="1">
      <formula>INDEX('calcA'!$D$4:$EQ$4,(COLUMN(C6)-3)*24+ROW(C6)-5)=0</formula>
    </cfRule>
    <cfRule type="expression" priority="4" dxfId="13" stopIfTrue="1">
      <formula>AND(C6&lt;&gt;"",'調整・決定'!C6="")</formula>
    </cfRule>
    <cfRule type="expression" priority="5" dxfId="14" stopIfTrue="1">
      <formula>AND(C6="",INDEX('calcA'!$D$116:$EQ$116,(COLUMN(C6)-3)*24+ROW(C6)-5)+INDEX('calcA'!$D$108:$EQ$108,(COLUMN(C6)-3)*24+ROW(C6)-5)&gt;0)</formula>
    </cfRule>
    <cfRule type="expression" priority="6" dxfId="15" stopIfTrue="1">
      <formula>AND(C6="",INDEX('calcA'!$D$5:$EQ$5,(COLUMN(C6)-3)*24+ROW(C6)-5)=1)</formula>
    </cfRule>
    <cfRule type="expression" priority="7" dxfId="4">
      <formula>TRUE</formula>
    </cfRule>
  </conditionalFormatting>
  <conditionalFormatting sqref="C4:H4">
    <cfRule type="expression" priority="8" dxfId="16">
      <formula>calcA!$A$6&lt;&gt;1</formula>
    </cfRule>
  </conditionalFormatting>
  <conditionalFormatting sqref="C5:H5">
    <cfRule type="expression" priority="9" dxfId="3">
      <formula>C5=""</formula>
    </cfRule>
  </conditionalFormatting>
  <hyperlinks>
    <hyperlink ref="J3" location="'自動案B'!J3" display="▶ 自動案を作る（A・B両方）"/>
    <hyperlink ref="K3" location="'自動案B'!K3" display="▶ この案を「調整・決定」へ写す"/>
  </hyperlinks>
  <pageMargins left="0.75" right="0.75" top="1" bottom="1" header="0.5" footer="0.5"/>
</worksheet>
</file>

<file path=xl/worksheets/sheet7.xml><?xml version="1.0" encoding="utf-8"?>
<worksheet xmlns="http://schemas.openxmlformats.org/spreadsheetml/2006/main">
  <sheetPr>
    <tabColor rgb="00C77D1A"/>
    <outlinePr summaryBelow="1" summaryRight="1"/>
    <pageSetUpPr/>
  </sheetPr>
  <dimension ref="A1:AF58"/>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9" customWidth="1" min="2" max="2"/>
    <col width="15" customWidth="1" min="3" max="3"/>
    <col width="15" customWidth="1" min="4" max="4"/>
    <col width="15" customWidth="1" min="5" max="5"/>
    <col width="15" customWidth="1" min="6" max="6"/>
    <col width="15" customWidth="1" min="7" max="7"/>
    <col width="15" customWidth="1" min="8" max="8"/>
    <col width="3" customWidth="1" min="9" max="9"/>
    <col width="22" customWidth="1" min="10" max="10"/>
    <col width="4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1" t="inlineStr">
        <is>
          <t>調整・決定</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2">
        <f>HYPERLINK("#'自動案B'!A1","④ 自動案B")</f>
        <v/>
      </c>
      <c r="N1" s="23">
        <f>HYPERLINK("#'調整・決定'!A1","⑤ 調整・決定")</f>
        <v/>
      </c>
      <c r="O1" s="22">
        <f>HYPERLINK("#'兄弟確認用'!A1","⑥ 兄弟確認")</f>
        <v/>
      </c>
      <c r="P1" s="22">
        <f>HYPERLINK("#'お手紙（夏）'!A1","⑦ お手紙 夏")</f>
        <v/>
      </c>
      <c r="Q1" s="22">
        <f>HYPERLINK("#'お手紙（秋）'!A1","⑧ お手紙 秋")</f>
        <v/>
      </c>
    </row>
    <row r="2" ht="24" customHeight="1">
      <c r="A2" s="5" t="n"/>
      <c r="B2" s="72" t="inlineStr">
        <is>
          <t>ここに入れた人は、自動案では動きません（固定）。名前をクリック→入れられる枠に色。ダブルクリック2回で入れ替え（空いたマスなら移動）。プルダウンでも手直しできます。</t>
        </is>
      </c>
      <c r="C2" s="5" t="n"/>
      <c r="D2" s="5" t="n"/>
      <c r="E2" s="5" t="n"/>
      <c r="F2" s="5" t="n"/>
      <c r="G2" s="5" t="n"/>
      <c r="H2" s="5" t="n"/>
      <c r="I2" s="5" t="n"/>
      <c r="J2" s="5" t="n"/>
      <c r="K2" s="5" t="n"/>
      <c r="L2" s="5" t="n"/>
      <c r="M2" s="5" t="n"/>
      <c r="N2" s="5" t="n"/>
      <c r="O2" s="5" t="n"/>
      <c r="P2" s="5" t="n"/>
      <c r="Q2" s="5" t="n"/>
    </row>
    <row r="3" ht="56" customHeight="1">
      <c r="J3" s="103" t="inlineStr">
        <is>
          <t>▶ ひとつ前に戻す</t>
        </is>
      </c>
    </row>
    <row r="4" ht="32" customHeight="1">
      <c r="C4" s="104">
        <f t="array" ref="C4">IF('calcA'!$A$5&lt;&gt;"","入れ替え：「"&amp;'calcA'!$B$5&amp;"」を選んでいます。入れ替える相手（空いたマスなら移動先）をダブルクリック。やめるときは同じマスをもう一度ダブルクリック。",IF(SUMPRODUCT(_xlfn.ISFORMULA(C6:H29)*1)&gt;0,"⚠ ふつうの貼り付けになっています。［ひとつ前に戻す］を押すか、［値の貼り付け］（右クリック →「値」）をしてください。",""))</f>
        <v/>
      </c>
      <c r="J4" s="96" t="inlineStr">
        <is>
          <t>児童を選ぶ ▼</t>
        </is>
      </c>
    </row>
    <row r="5">
      <c r="B5" s="38" t="inlineStr"/>
      <c r="C5" s="39">
        <f>'設定'!$E$11</f>
        <v/>
      </c>
      <c r="D5" s="39">
        <f>'設定'!$E$12</f>
        <v/>
      </c>
      <c r="E5" s="39">
        <f>'設定'!$E$13</f>
        <v/>
      </c>
      <c r="F5" s="39">
        <f>'設定'!$E$14</f>
        <v/>
      </c>
      <c r="G5" s="39">
        <f>'設定'!$E$15</f>
        <v/>
      </c>
      <c r="H5" s="39">
        <f>'設定'!$E$16</f>
        <v/>
      </c>
      <c r="J5" s="105" t="n"/>
      <c r="K5" s="33" t="n"/>
    </row>
    <row r="6" ht="26" customHeight="1">
      <c r="B6" s="46">
        <f>'設定'!$I$11</f>
        <v/>
      </c>
      <c r="C6" s="27" t="n"/>
      <c r="D6" s="27" t="n"/>
      <c r="E6" s="27" t="n"/>
      <c r="F6" s="27" t="n"/>
      <c r="G6" s="27" t="n"/>
      <c r="H6" s="27" t="n"/>
      <c r="AA6">
        <f>IF(AND(C6="",'calcA'!D$115=0),0,IF(AND(C6&lt;&gt;"",'calcA'!D$4=0),1,IF(IF(C6="",0,IFERROR(INDEX('calcA'!D$10:D$54,MATCH(C6,'calcA'!$B$10:$B$54,0)),0))=1,2,IF(AND(C6&lt;&gt;"",COUNTIF($C$6:$H$29,C6)&gt;1),3,IF('calcA'!D$4=0,4,IF(AND(C6&lt;&gt;"",'calcA'!D$108=1),5,IF(AND(C6="",'calcA'!D$108=1),6,IF(AND(C6&lt;&gt;"",C6=$J$5),7,IF(IF('calcA'!$B$8&gt;0,INDEX('calcA'!D$10:D$54,'calcA'!$B$8),0)=1,8,IF(AND(C6="",IF('calcA'!$B$8&gt;0,INDEX('calcA'!D$60:D$104,'calcA'!$B$8),0)=1),9,IF(AND(C6&lt;&gt;"",IF('calcA'!$B$8&gt;0,INDEX('calcA'!D$60:D$104,'calcA'!$B$8),0)=1),10,IF(AND(C6="",'calcA'!D$5=1),11,12))))))))))))</f>
        <v/>
      </c>
      <c r="AB6">
        <f>IF(AND(D6="",'calcA'!AB$115=0),0,IF(AND(D6&lt;&gt;"",'calcA'!AB$4=0),1,IF(IF(D6="",0,IFERROR(INDEX('calcA'!AB$10:AB$54,MATCH(D6,'calcA'!$B$10:$B$54,0)),0))=1,2,IF(AND(D6&lt;&gt;"",COUNTIF($C$6:$H$29,D6)&gt;1),3,IF('calcA'!AB$4=0,4,IF(AND(D6&lt;&gt;"",'calcA'!AB$108=1),5,IF(AND(D6="",'calcA'!AB$108=1),6,IF(AND(D6&lt;&gt;"",D6=$J$5),7,IF(IF('calcA'!$B$8&gt;0,INDEX('calcA'!AB$10:AB$54,'calcA'!$B$8),0)=1,8,IF(AND(D6="",IF('calcA'!$B$8&gt;0,INDEX('calcA'!AB$60:AB$104,'calcA'!$B$8),0)=1),9,IF(AND(D6&lt;&gt;"",IF('calcA'!$B$8&gt;0,INDEX('calcA'!AB$60:AB$104,'calcA'!$B$8),0)=1),10,IF(AND(D6="",'calcA'!AB$5=1),11,12))))))))))))</f>
        <v/>
      </c>
      <c r="AC6">
        <f>IF(AND(E6="",'calcA'!AZ$115=0),0,IF(AND(E6&lt;&gt;"",'calcA'!AZ$4=0),1,IF(IF(E6="",0,IFERROR(INDEX('calcA'!AZ$10:AZ$54,MATCH(E6,'calcA'!$B$10:$B$54,0)),0))=1,2,IF(AND(E6&lt;&gt;"",COUNTIF($C$6:$H$29,E6)&gt;1),3,IF('calcA'!AZ$4=0,4,IF(AND(E6&lt;&gt;"",'calcA'!AZ$108=1),5,IF(AND(E6="",'calcA'!AZ$108=1),6,IF(AND(E6&lt;&gt;"",E6=$J$5),7,IF(IF('calcA'!$B$8&gt;0,INDEX('calcA'!AZ$10:AZ$54,'calcA'!$B$8),0)=1,8,IF(AND(E6="",IF('calcA'!$B$8&gt;0,INDEX('calcA'!AZ$60:AZ$104,'calcA'!$B$8),0)=1),9,IF(AND(E6&lt;&gt;"",IF('calcA'!$B$8&gt;0,INDEX('calcA'!AZ$60:AZ$104,'calcA'!$B$8),0)=1),10,IF(AND(E6="",'calcA'!AZ$5=1),11,12))))))))))))</f>
        <v/>
      </c>
      <c r="AD6">
        <f>IF(AND(F6="",'calcA'!BX$115=0),0,IF(AND(F6&lt;&gt;"",'calcA'!BX$4=0),1,IF(IF(F6="",0,IFERROR(INDEX('calcA'!BX$10:BX$54,MATCH(F6,'calcA'!$B$10:$B$54,0)),0))=1,2,IF(AND(F6&lt;&gt;"",COUNTIF($C$6:$H$29,F6)&gt;1),3,IF('calcA'!BX$4=0,4,IF(AND(F6&lt;&gt;"",'calcA'!BX$108=1),5,IF(AND(F6="",'calcA'!BX$108=1),6,IF(AND(F6&lt;&gt;"",F6=$J$5),7,IF(IF('calcA'!$B$8&gt;0,INDEX('calcA'!BX$10:BX$54,'calcA'!$B$8),0)=1,8,IF(AND(F6="",IF('calcA'!$B$8&gt;0,INDEX('calcA'!BX$60:BX$104,'calcA'!$B$8),0)=1),9,IF(AND(F6&lt;&gt;"",IF('calcA'!$B$8&gt;0,INDEX('calcA'!BX$60:BX$104,'calcA'!$B$8),0)=1),10,IF(AND(F6="",'calcA'!BX$5=1),11,12))))))))))))</f>
        <v/>
      </c>
      <c r="AE6">
        <f>IF(AND(G6="",'calcA'!CV$115=0),0,IF(AND(G6&lt;&gt;"",'calcA'!CV$4=0),1,IF(IF(G6="",0,IFERROR(INDEX('calcA'!CV$10:CV$54,MATCH(G6,'calcA'!$B$10:$B$54,0)),0))=1,2,IF(AND(G6&lt;&gt;"",COUNTIF($C$6:$H$29,G6)&gt;1),3,IF('calcA'!CV$4=0,4,IF(AND(G6&lt;&gt;"",'calcA'!CV$108=1),5,IF(AND(G6="",'calcA'!CV$108=1),6,IF(AND(G6&lt;&gt;"",G6=$J$5),7,IF(IF('calcA'!$B$8&gt;0,INDEX('calcA'!CV$10:CV$54,'calcA'!$B$8),0)=1,8,IF(AND(G6="",IF('calcA'!$B$8&gt;0,INDEX('calcA'!CV$60:CV$104,'calcA'!$B$8),0)=1),9,IF(AND(G6&lt;&gt;"",IF('calcA'!$B$8&gt;0,INDEX('calcA'!CV$60:CV$104,'calcA'!$B$8),0)=1),10,IF(AND(G6="",'calcA'!CV$5=1),11,12))))))))))))</f>
        <v/>
      </c>
      <c r="AF6">
        <f>IF(AND(H6="",'calcA'!DT$115=0),0,IF(AND(H6&lt;&gt;"",'calcA'!DT$4=0),1,IF(IF(H6="",0,IFERROR(INDEX('calcA'!DT$10:DT$54,MATCH(H6,'calcA'!$B$10:$B$54,0)),0))=1,2,IF(AND(H6&lt;&gt;"",COUNTIF($C$6:$H$29,H6)&gt;1),3,IF('calcA'!DT$4=0,4,IF(AND(H6&lt;&gt;"",'calcA'!DT$108=1),5,IF(AND(H6="",'calcA'!DT$108=1),6,IF(AND(H6&lt;&gt;"",H6=$J$5),7,IF(IF('calcA'!$B$8&gt;0,INDEX('calcA'!DT$10:DT$54,'calcA'!$B$8),0)=1,8,IF(AND(H6="",IF('calcA'!$B$8&gt;0,INDEX('calcA'!DT$60:DT$104,'calcA'!$B$8),0)=1),9,IF(AND(H6&lt;&gt;"",IF('calcA'!$B$8&gt;0,INDEX('calcA'!DT$60:DT$104,'calcA'!$B$8),0)=1),10,IF(AND(H6="",'calcA'!DT$5=1),11,12))))))))))))</f>
        <v/>
      </c>
    </row>
    <row r="7" ht="26" customHeight="1">
      <c r="B7" s="46">
        <f>'設定'!$I$12</f>
        <v/>
      </c>
      <c r="C7" s="27" t="n"/>
      <c r="D7" s="27" t="n"/>
      <c r="E7" s="27" t="n"/>
      <c r="F7" s="27" t="n"/>
      <c r="G7" s="27" t="n"/>
      <c r="H7" s="27" t="n"/>
      <c r="J7" s="95" t="inlineStr">
        <is>
          <t>状況</t>
        </is>
      </c>
      <c r="K7" s="106">
        <f>IF('calcA'!$B$8=0,"",INDEX('名簿'!$Q$5:$Q$49,'calcA'!$B$8))</f>
        <v/>
      </c>
      <c r="AA7">
        <f>IF(AND(C7="",'calcA'!E$115=0),0,IF(AND(C7&lt;&gt;"",'calcA'!E$4=0),1,IF(IF(C7="",0,IFERROR(INDEX('calcA'!E$10:E$54,MATCH(C7,'calcA'!$B$10:$B$54,0)),0))=1,2,IF(AND(C7&lt;&gt;"",COUNTIF($C$6:$H$29,C7)&gt;1),3,IF('calcA'!E$4=0,4,IF(AND(C7&lt;&gt;"",'calcA'!E$108=1),5,IF(AND(C7="",'calcA'!E$108=1),6,IF(AND(C7&lt;&gt;"",C7=$J$5),7,IF(IF('calcA'!$B$8&gt;0,INDEX('calcA'!E$10:E$54,'calcA'!$B$8),0)=1,8,IF(AND(C7="",IF('calcA'!$B$8&gt;0,INDEX('calcA'!E$60:E$104,'calcA'!$B$8),0)=1),9,IF(AND(C7&lt;&gt;"",IF('calcA'!$B$8&gt;0,INDEX('calcA'!E$60:E$104,'calcA'!$B$8),0)=1),10,IF(AND(C7="",'calcA'!E$5=1),11,12))))))))))))</f>
        <v/>
      </c>
      <c r="AB7">
        <f>IF(AND(D7="",'calcA'!AC$115=0),0,IF(AND(D7&lt;&gt;"",'calcA'!AC$4=0),1,IF(IF(D7="",0,IFERROR(INDEX('calcA'!AC$10:AC$54,MATCH(D7,'calcA'!$B$10:$B$54,0)),0))=1,2,IF(AND(D7&lt;&gt;"",COUNTIF($C$6:$H$29,D7)&gt;1),3,IF('calcA'!AC$4=0,4,IF(AND(D7&lt;&gt;"",'calcA'!AC$108=1),5,IF(AND(D7="",'calcA'!AC$108=1),6,IF(AND(D7&lt;&gt;"",D7=$J$5),7,IF(IF('calcA'!$B$8&gt;0,INDEX('calcA'!AC$10:AC$54,'calcA'!$B$8),0)=1,8,IF(AND(D7="",IF('calcA'!$B$8&gt;0,INDEX('calcA'!AC$60:AC$104,'calcA'!$B$8),0)=1),9,IF(AND(D7&lt;&gt;"",IF('calcA'!$B$8&gt;0,INDEX('calcA'!AC$60:AC$104,'calcA'!$B$8),0)=1),10,IF(AND(D7="",'calcA'!AC$5=1),11,12))))))))))))</f>
        <v/>
      </c>
      <c r="AC7">
        <f>IF(AND(E7="",'calcA'!BA$115=0),0,IF(AND(E7&lt;&gt;"",'calcA'!BA$4=0),1,IF(IF(E7="",0,IFERROR(INDEX('calcA'!BA$10:BA$54,MATCH(E7,'calcA'!$B$10:$B$54,0)),0))=1,2,IF(AND(E7&lt;&gt;"",COUNTIF($C$6:$H$29,E7)&gt;1),3,IF('calcA'!BA$4=0,4,IF(AND(E7&lt;&gt;"",'calcA'!BA$108=1),5,IF(AND(E7="",'calcA'!BA$108=1),6,IF(AND(E7&lt;&gt;"",E7=$J$5),7,IF(IF('calcA'!$B$8&gt;0,INDEX('calcA'!BA$10:BA$54,'calcA'!$B$8),0)=1,8,IF(AND(E7="",IF('calcA'!$B$8&gt;0,INDEX('calcA'!BA$60:BA$104,'calcA'!$B$8),0)=1),9,IF(AND(E7&lt;&gt;"",IF('calcA'!$B$8&gt;0,INDEX('calcA'!BA$60:BA$104,'calcA'!$B$8),0)=1),10,IF(AND(E7="",'calcA'!BA$5=1),11,12))))))))))))</f>
        <v/>
      </c>
      <c r="AD7">
        <f>IF(AND(F7="",'calcA'!BY$115=0),0,IF(AND(F7&lt;&gt;"",'calcA'!BY$4=0),1,IF(IF(F7="",0,IFERROR(INDEX('calcA'!BY$10:BY$54,MATCH(F7,'calcA'!$B$10:$B$54,0)),0))=1,2,IF(AND(F7&lt;&gt;"",COUNTIF($C$6:$H$29,F7)&gt;1),3,IF('calcA'!BY$4=0,4,IF(AND(F7&lt;&gt;"",'calcA'!BY$108=1),5,IF(AND(F7="",'calcA'!BY$108=1),6,IF(AND(F7&lt;&gt;"",F7=$J$5),7,IF(IF('calcA'!$B$8&gt;0,INDEX('calcA'!BY$10:BY$54,'calcA'!$B$8),0)=1,8,IF(AND(F7="",IF('calcA'!$B$8&gt;0,INDEX('calcA'!BY$60:BY$104,'calcA'!$B$8),0)=1),9,IF(AND(F7&lt;&gt;"",IF('calcA'!$B$8&gt;0,INDEX('calcA'!BY$60:BY$104,'calcA'!$B$8),0)=1),10,IF(AND(F7="",'calcA'!BY$5=1),11,12))))))))))))</f>
        <v/>
      </c>
      <c r="AE7">
        <f>IF(AND(G7="",'calcA'!CW$115=0),0,IF(AND(G7&lt;&gt;"",'calcA'!CW$4=0),1,IF(IF(G7="",0,IFERROR(INDEX('calcA'!CW$10:CW$54,MATCH(G7,'calcA'!$B$10:$B$54,0)),0))=1,2,IF(AND(G7&lt;&gt;"",COUNTIF($C$6:$H$29,G7)&gt;1),3,IF('calcA'!CW$4=0,4,IF(AND(G7&lt;&gt;"",'calcA'!CW$108=1),5,IF(AND(G7="",'calcA'!CW$108=1),6,IF(AND(G7&lt;&gt;"",G7=$J$5),7,IF(IF('calcA'!$B$8&gt;0,INDEX('calcA'!CW$10:CW$54,'calcA'!$B$8),0)=1,8,IF(AND(G7="",IF('calcA'!$B$8&gt;0,INDEX('calcA'!CW$60:CW$104,'calcA'!$B$8),0)=1),9,IF(AND(G7&lt;&gt;"",IF('calcA'!$B$8&gt;0,INDEX('calcA'!CW$60:CW$104,'calcA'!$B$8),0)=1),10,IF(AND(G7="",'calcA'!CW$5=1),11,12))))))))))))</f>
        <v/>
      </c>
      <c r="AF7">
        <f>IF(AND(H7="",'calcA'!DU$115=0),0,IF(AND(H7&lt;&gt;"",'calcA'!DU$4=0),1,IF(IF(H7="",0,IFERROR(INDEX('calcA'!DU$10:DU$54,MATCH(H7,'calcA'!$B$10:$B$54,0)),0))=1,2,IF(AND(H7&lt;&gt;"",COUNTIF($C$6:$H$29,H7)&gt;1),3,IF('calcA'!DU$4=0,4,IF(AND(H7&lt;&gt;"",'calcA'!DU$108=1),5,IF(AND(H7="",'calcA'!DU$108=1),6,IF(AND(H7&lt;&gt;"",H7=$J$5),7,IF(IF('calcA'!$B$8&gt;0,INDEX('calcA'!DU$10:DU$54,'calcA'!$B$8),0)=1,8,IF(AND(H7="",IF('calcA'!$B$8&gt;0,INDEX('calcA'!DU$60:DU$104,'calcA'!$B$8),0)=1),9,IF(AND(H7&lt;&gt;"",IF('calcA'!$B$8&gt;0,INDEX('calcA'!DU$60:DU$104,'calcA'!$B$8),0)=1),10,IF(AND(H7="",'calcA'!DU$5=1),11,12))))))))))))</f>
        <v/>
      </c>
    </row>
    <row r="8" ht="26" customHeight="1">
      <c r="B8" s="46">
        <f>'設定'!$I$13</f>
        <v/>
      </c>
      <c r="C8" s="27" t="n"/>
      <c r="D8" s="27" t="n"/>
      <c r="E8" s="27" t="n"/>
      <c r="F8" s="27" t="n"/>
      <c r="G8" s="27" t="n"/>
      <c r="H8" s="27" t="n"/>
      <c r="J8" s="95" t="inlineStr">
        <is>
          <t>×の数</t>
        </is>
      </c>
      <c r="K8" s="106">
        <f>IF('calcA'!$B$8=0,"",INDEX('名簿'!$R$5:$R$49,'calcA'!$B$8))</f>
        <v/>
      </c>
      <c r="AA8">
        <f>IF(AND(C8="",'calcA'!F$115=0),0,IF(AND(C8&lt;&gt;"",'calcA'!F$4=0),1,IF(IF(C8="",0,IFERROR(INDEX('calcA'!F$10:F$54,MATCH(C8,'calcA'!$B$10:$B$54,0)),0))=1,2,IF(AND(C8&lt;&gt;"",COUNTIF($C$6:$H$29,C8)&gt;1),3,IF('calcA'!F$4=0,4,IF(AND(C8&lt;&gt;"",'calcA'!F$108=1),5,IF(AND(C8="",'calcA'!F$108=1),6,IF(AND(C8&lt;&gt;"",C8=$J$5),7,IF(IF('calcA'!$B$8&gt;0,INDEX('calcA'!F$10:F$54,'calcA'!$B$8),0)=1,8,IF(AND(C8="",IF('calcA'!$B$8&gt;0,INDEX('calcA'!F$60:F$104,'calcA'!$B$8),0)=1),9,IF(AND(C8&lt;&gt;"",IF('calcA'!$B$8&gt;0,INDEX('calcA'!F$60:F$104,'calcA'!$B$8),0)=1),10,IF(AND(C8="",'calcA'!F$5=1),11,12))))))))))))</f>
        <v/>
      </c>
      <c r="AB8">
        <f>IF(AND(D8="",'calcA'!AD$115=0),0,IF(AND(D8&lt;&gt;"",'calcA'!AD$4=0),1,IF(IF(D8="",0,IFERROR(INDEX('calcA'!AD$10:AD$54,MATCH(D8,'calcA'!$B$10:$B$54,0)),0))=1,2,IF(AND(D8&lt;&gt;"",COUNTIF($C$6:$H$29,D8)&gt;1),3,IF('calcA'!AD$4=0,4,IF(AND(D8&lt;&gt;"",'calcA'!AD$108=1),5,IF(AND(D8="",'calcA'!AD$108=1),6,IF(AND(D8&lt;&gt;"",D8=$J$5),7,IF(IF('calcA'!$B$8&gt;0,INDEX('calcA'!AD$10:AD$54,'calcA'!$B$8),0)=1,8,IF(AND(D8="",IF('calcA'!$B$8&gt;0,INDEX('calcA'!AD$60:AD$104,'calcA'!$B$8),0)=1),9,IF(AND(D8&lt;&gt;"",IF('calcA'!$B$8&gt;0,INDEX('calcA'!AD$60:AD$104,'calcA'!$B$8),0)=1),10,IF(AND(D8="",'calcA'!AD$5=1),11,12))))))))))))</f>
        <v/>
      </c>
      <c r="AC8">
        <f>IF(AND(E8="",'calcA'!BB$115=0),0,IF(AND(E8&lt;&gt;"",'calcA'!BB$4=0),1,IF(IF(E8="",0,IFERROR(INDEX('calcA'!BB$10:BB$54,MATCH(E8,'calcA'!$B$10:$B$54,0)),0))=1,2,IF(AND(E8&lt;&gt;"",COUNTIF($C$6:$H$29,E8)&gt;1),3,IF('calcA'!BB$4=0,4,IF(AND(E8&lt;&gt;"",'calcA'!BB$108=1),5,IF(AND(E8="",'calcA'!BB$108=1),6,IF(AND(E8&lt;&gt;"",E8=$J$5),7,IF(IF('calcA'!$B$8&gt;0,INDEX('calcA'!BB$10:BB$54,'calcA'!$B$8),0)=1,8,IF(AND(E8="",IF('calcA'!$B$8&gt;0,INDEX('calcA'!BB$60:BB$104,'calcA'!$B$8),0)=1),9,IF(AND(E8&lt;&gt;"",IF('calcA'!$B$8&gt;0,INDEX('calcA'!BB$60:BB$104,'calcA'!$B$8),0)=1),10,IF(AND(E8="",'calcA'!BB$5=1),11,12))))))))))))</f>
        <v/>
      </c>
      <c r="AD8">
        <f>IF(AND(F8="",'calcA'!BZ$115=0),0,IF(AND(F8&lt;&gt;"",'calcA'!BZ$4=0),1,IF(IF(F8="",0,IFERROR(INDEX('calcA'!BZ$10:BZ$54,MATCH(F8,'calcA'!$B$10:$B$54,0)),0))=1,2,IF(AND(F8&lt;&gt;"",COUNTIF($C$6:$H$29,F8)&gt;1),3,IF('calcA'!BZ$4=0,4,IF(AND(F8&lt;&gt;"",'calcA'!BZ$108=1),5,IF(AND(F8="",'calcA'!BZ$108=1),6,IF(AND(F8&lt;&gt;"",F8=$J$5),7,IF(IF('calcA'!$B$8&gt;0,INDEX('calcA'!BZ$10:BZ$54,'calcA'!$B$8),0)=1,8,IF(AND(F8="",IF('calcA'!$B$8&gt;0,INDEX('calcA'!BZ$60:BZ$104,'calcA'!$B$8),0)=1),9,IF(AND(F8&lt;&gt;"",IF('calcA'!$B$8&gt;0,INDEX('calcA'!BZ$60:BZ$104,'calcA'!$B$8),0)=1),10,IF(AND(F8="",'calcA'!BZ$5=1),11,12))))))))))))</f>
        <v/>
      </c>
      <c r="AE8">
        <f>IF(AND(G8="",'calcA'!CX$115=0),0,IF(AND(G8&lt;&gt;"",'calcA'!CX$4=0),1,IF(IF(G8="",0,IFERROR(INDEX('calcA'!CX$10:CX$54,MATCH(G8,'calcA'!$B$10:$B$54,0)),0))=1,2,IF(AND(G8&lt;&gt;"",COUNTIF($C$6:$H$29,G8)&gt;1),3,IF('calcA'!CX$4=0,4,IF(AND(G8&lt;&gt;"",'calcA'!CX$108=1),5,IF(AND(G8="",'calcA'!CX$108=1),6,IF(AND(G8&lt;&gt;"",G8=$J$5),7,IF(IF('calcA'!$B$8&gt;0,INDEX('calcA'!CX$10:CX$54,'calcA'!$B$8),0)=1,8,IF(AND(G8="",IF('calcA'!$B$8&gt;0,INDEX('calcA'!CX$60:CX$104,'calcA'!$B$8),0)=1),9,IF(AND(G8&lt;&gt;"",IF('calcA'!$B$8&gt;0,INDEX('calcA'!CX$60:CX$104,'calcA'!$B$8),0)=1),10,IF(AND(G8="",'calcA'!CX$5=1),11,12))))))))))))</f>
        <v/>
      </c>
      <c r="AF8">
        <f>IF(AND(H8="",'calcA'!DV$115=0),0,IF(AND(H8&lt;&gt;"",'calcA'!DV$4=0),1,IF(IF(H8="",0,IFERROR(INDEX('calcA'!DV$10:DV$54,MATCH(H8,'calcA'!$B$10:$B$54,0)),0))=1,2,IF(AND(H8&lt;&gt;"",COUNTIF($C$6:$H$29,H8)&gt;1),3,IF('calcA'!DV$4=0,4,IF(AND(H8&lt;&gt;"",'calcA'!DV$108=1),5,IF(AND(H8="",'calcA'!DV$108=1),6,IF(AND(H8&lt;&gt;"",H8=$J$5),7,IF(IF('calcA'!$B$8&gt;0,INDEX('calcA'!DV$10:DV$54,'calcA'!$B$8),0)=1,8,IF(AND(H8="",IF('calcA'!$B$8&gt;0,INDEX('calcA'!DV$60:DV$104,'calcA'!$B$8),0)=1),9,IF(AND(H8&lt;&gt;"",IF('calcA'!$B$8&gt;0,INDEX('calcA'!DV$60:DV$104,'calcA'!$B$8),0)=1),10,IF(AND(H8="",'calcA'!DV$5=1),11,12))))))))))))</f>
        <v/>
      </c>
    </row>
    <row r="9" ht="26" customHeight="1">
      <c r="B9" s="46">
        <f>'設定'!$I$14</f>
        <v/>
      </c>
      <c r="C9" s="27" t="n"/>
      <c r="D9" s="27" t="n"/>
      <c r="E9" s="27" t="n"/>
      <c r="F9" s="27" t="n"/>
      <c r="G9" s="27" t="n"/>
      <c r="H9" s="27" t="n"/>
      <c r="J9" s="95" t="inlineStr">
        <is>
          <t>今の枠</t>
        </is>
      </c>
      <c r="K9" s="106">
        <f>IF('calcA'!$B$8=0,"",INDEX('名簿'!$U$5:$U$49,'calcA'!$B$8)&amp;" "&amp;INDEX('名簿'!$V$5:$V$49,'calcA'!$B$8))</f>
        <v/>
      </c>
      <c r="AA9">
        <f>IF(AND(C9="",'calcA'!G$115=0),0,IF(AND(C9&lt;&gt;"",'calcA'!G$4=0),1,IF(IF(C9="",0,IFERROR(INDEX('calcA'!G$10:G$54,MATCH(C9,'calcA'!$B$10:$B$54,0)),0))=1,2,IF(AND(C9&lt;&gt;"",COUNTIF($C$6:$H$29,C9)&gt;1),3,IF('calcA'!G$4=0,4,IF(AND(C9&lt;&gt;"",'calcA'!G$108=1),5,IF(AND(C9="",'calcA'!G$108=1),6,IF(AND(C9&lt;&gt;"",C9=$J$5),7,IF(IF('calcA'!$B$8&gt;0,INDEX('calcA'!G$10:G$54,'calcA'!$B$8),0)=1,8,IF(AND(C9="",IF('calcA'!$B$8&gt;0,INDEX('calcA'!G$60:G$104,'calcA'!$B$8),0)=1),9,IF(AND(C9&lt;&gt;"",IF('calcA'!$B$8&gt;0,INDEX('calcA'!G$60:G$104,'calcA'!$B$8),0)=1),10,IF(AND(C9="",'calcA'!G$5=1),11,12))))))))))))</f>
        <v/>
      </c>
      <c r="AB9">
        <f>IF(AND(D9="",'calcA'!AE$115=0),0,IF(AND(D9&lt;&gt;"",'calcA'!AE$4=0),1,IF(IF(D9="",0,IFERROR(INDEX('calcA'!AE$10:AE$54,MATCH(D9,'calcA'!$B$10:$B$54,0)),0))=1,2,IF(AND(D9&lt;&gt;"",COUNTIF($C$6:$H$29,D9)&gt;1),3,IF('calcA'!AE$4=0,4,IF(AND(D9&lt;&gt;"",'calcA'!AE$108=1),5,IF(AND(D9="",'calcA'!AE$108=1),6,IF(AND(D9&lt;&gt;"",D9=$J$5),7,IF(IF('calcA'!$B$8&gt;0,INDEX('calcA'!AE$10:AE$54,'calcA'!$B$8),0)=1,8,IF(AND(D9="",IF('calcA'!$B$8&gt;0,INDEX('calcA'!AE$60:AE$104,'calcA'!$B$8),0)=1),9,IF(AND(D9&lt;&gt;"",IF('calcA'!$B$8&gt;0,INDEX('calcA'!AE$60:AE$104,'calcA'!$B$8),0)=1),10,IF(AND(D9="",'calcA'!AE$5=1),11,12))))))))))))</f>
        <v/>
      </c>
      <c r="AC9">
        <f>IF(AND(E9="",'calcA'!BC$115=0),0,IF(AND(E9&lt;&gt;"",'calcA'!BC$4=0),1,IF(IF(E9="",0,IFERROR(INDEX('calcA'!BC$10:BC$54,MATCH(E9,'calcA'!$B$10:$B$54,0)),0))=1,2,IF(AND(E9&lt;&gt;"",COUNTIF($C$6:$H$29,E9)&gt;1),3,IF('calcA'!BC$4=0,4,IF(AND(E9&lt;&gt;"",'calcA'!BC$108=1),5,IF(AND(E9="",'calcA'!BC$108=1),6,IF(AND(E9&lt;&gt;"",E9=$J$5),7,IF(IF('calcA'!$B$8&gt;0,INDEX('calcA'!BC$10:BC$54,'calcA'!$B$8),0)=1,8,IF(AND(E9="",IF('calcA'!$B$8&gt;0,INDEX('calcA'!BC$60:BC$104,'calcA'!$B$8),0)=1),9,IF(AND(E9&lt;&gt;"",IF('calcA'!$B$8&gt;0,INDEX('calcA'!BC$60:BC$104,'calcA'!$B$8),0)=1),10,IF(AND(E9="",'calcA'!BC$5=1),11,12))))))))))))</f>
        <v/>
      </c>
      <c r="AD9">
        <f>IF(AND(F9="",'calcA'!CA$115=0),0,IF(AND(F9&lt;&gt;"",'calcA'!CA$4=0),1,IF(IF(F9="",0,IFERROR(INDEX('calcA'!CA$10:CA$54,MATCH(F9,'calcA'!$B$10:$B$54,0)),0))=1,2,IF(AND(F9&lt;&gt;"",COUNTIF($C$6:$H$29,F9)&gt;1),3,IF('calcA'!CA$4=0,4,IF(AND(F9&lt;&gt;"",'calcA'!CA$108=1),5,IF(AND(F9="",'calcA'!CA$108=1),6,IF(AND(F9&lt;&gt;"",F9=$J$5),7,IF(IF('calcA'!$B$8&gt;0,INDEX('calcA'!CA$10:CA$54,'calcA'!$B$8),0)=1,8,IF(AND(F9="",IF('calcA'!$B$8&gt;0,INDEX('calcA'!CA$60:CA$104,'calcA'!$B$8),0)=1),9,IF(AND(F9&lt;&gt;"",IF('calcA'!$B$8&gt;0,INDEX('calcA'!CA$60:CA$104,'calcA'!$B$8),0)=1),10,IF(AND(F9="",'calcA'!CA$5=1),11,12))))))))))))</f>
        <v/>
      </c>
      <c r="AE9">
        <f>IF(AND(G9="",'calcA'!CY$115=0),0,IF(AND(G9&lt;&gt;"",'calcA'!CY$4=0),1,IF(IF(G9="",0,IFERROR(INDEX('calcA'!CY$10:CY$54,MATCH(G9,'calcA'!$B$10:$B$54,0)),0))=1,2,IF(AND(G9&lt;&gt;"",COUNTIF($C$6:$H$29,G9)&gt;1),3,IF('calcA'!CY$4=0,4,IF(AND(G9&lt;&gt;"",'calcA'!CY$108=1),5,IF(AND(G9="",'calcA'!CY$108=1),6,IF(AND(G9&lt;&gt;"",G9=$J$5),7,IF(IF('calcA'!$B$8&gt;0,INDEX('calcA'!CY$10:CY$54,'calcA'!$B$8),0)=1,8,IF(AND(G9="",IF('calcA'!$B$8&gt;0,INDEX('calcA'!CY$60:CY$104,'calcA'!$B$8),0)=1),9,IF(AND(G9&lt;&gt;"",IF('calcA'!$B$8&gt;0,INDEX('calcA'!CY$60:CY$104,'calcA'!$B$8),0)=1),10,IF(AND(G9="",'calcA'!CY$5=1),11,12))))))))))))</f>
        <v/>
      </c>
      <c r="AF9">
        <f>IF(AND(H9="",'calcA'!DW$115=0),0,IF(AND(H9&lt;&gt;"",'calcA'!DW$4=0),1,IF(IF(H9="",0,IFERROR(INDEX('calcA'!DW$10:DW$54,MATCH(H9,'calcA'!$B$10:$B$54,0)),0))=1,2,IF(AND(H9&lt;&gt;"",COUNTIF($C$6:$H$29,H9)&gt;1),3,IF('calcA'!DW$4=0,4,IF(AND(H9&lt;&gt;"",'calcA'!DW$108=1),5,IF(AND(H9="",'calcA'!DW$108=1),6,IF(AND(H9&lt;&gt;"",H9=$J$5),7,IF(IF('calcA'!$B$8&gt;0,INDEX('calcA'!DW$10:DW$54,'calcA'!$B$8),0)=1,8,IF(AND(H9="",IF('calcA'!$B$8&gt;0,INDEX('calcA'!DW$60:DW$104,'calcA'!$B$8),0)=1),9,IF(AND(H9&lt;&gt;"",IF('calcA'!$B$8&gt;0,INDEX('calcA'!DW$60:DW$104,'calcA'!$B$8),0)=1),10,IF(AND(H9="",'calcA'!DW$5=1),11,12))))))))))))</f>
        <v/>
      </c>
    </row>
    <row r="10" ht="26" customHeight="1">
      <c r="B10" s="46">
        <f>'設定'!$I$15</f>
        <v/>
      </c>
      <c r="C10" s="27" t="n"/>
      <c r="D10" s="27" t="n"/>
      <c r="E10" s="27" t="n"/>
      <c r="F10" s="27" t="n"/>
      <c r="G10" s="27" t="n"/>
      <c r="H10" s="27" t="n"/>
      <c r="J10" s="95" t="inlineStr">
        <is>
          <t>兄弟</t>
        </is>
      </c>
      <c r="K10" s="106">
        <f>IF('calcA'!$B$8=0,"",IF(INDEX('名簿'!$E$5:$E$49,'calcA'!$B$8)="","",INDEX('名簿'!$F$5:$F$49,'calcA'!$B$8)&amp;"　"&amp;INDEX('名簿'!$G$5:$G$49,'calcA'!$B$8)&amp;" "&amp;INDEX('名簿'!$H$5:$H$49,'calcA'!$B$8)))</f>
        <v/>
      </c>
      <c r="AA10">
        <f>IF(AND(C10="",'calcA'!H$115=0),0,IF(AND(C10&lt;&gt;"",'calcA'!H$4=0),1,IF(IF(C10="",0,IFERROR(INDEX('calcA'!H$10:H$54,MATCH(C10,'calcA'!$B$10:$B$54,0)),0))=1,2,IF(AND(C10&lt;&gt;"",COUNTIF($C$6:$H$29,C10)&gt;1),3,IF('calcA'!H$4=0,4,IF(AND(C10&lt;&gt;"",'calcA'!H$108=1),5,IF(AND(C10="",'calcA'!H$108=1),6,IF(AND(C10&lt;&gt;"",C10=$J$5),7,IF(IF('calcA'!$B$8&gt;0,INDEX('calcA'!H$10:H$54,'calcA'!$B$8),0)=1,8,IF(AND(C10="",IF('calcA'!$B$8&gt;0,INDEX('calcA'!H$60:H$104,'calcA'!$B$8),0)=1),9,IF(AND(C10&lt;&gt;"",IF('calcA'!$B$8&gt;0,INDEX('calcA'!H$60:H$104,'calcA'!$B$8),0)=1),10,IF(AND(C10="",'calcA'!H$5=1),11,12))))))))))))</f>
        <v/>
      </c>
      <c r="AB10">
        <f>IF(AND(D10="",'calcA'!AF$115=0),0,IF(AND(D10&lt;&gt;"",'calcA'!AF$4=0),1,IF(IF(D10="",0,IFERROR(INDEX('calcA'!AF$10:AF$54,MATCH(D10,'calcA'!$B$10:$B$54,0)),0))=1,2,IF(AND(D10&lt;&gt;"",COUNTIF($C$6:$H$29,D10)&gt;1),3,IF('calcA'!AF$4=0,4,IF(AND(D10&lt;&gt;"",'calcA'!AF$108=1),5,IF(AND(D10="",'calcA'!AF$108=1),6,IF(AND(D10&lt;&gt;"",D10=$J$5),7,IF(IF('calcA'!$B$8&gt;0,INDEX('calcA'!AF$10:AF$54,'calcA'!$B$8),0)=1,8,IF(AND(D10="",IF('calcA'!$B$8&gt;0,INDEX('calcA'!AF$60:AF$104,'calcA'!$B$8),0)=1),9,IF(AND(D10&lt;&gt;"",IF('calcA'!$B$8&gt;0,INDEX('calcA'!AF$60:AF$104,'calcA'!$B$8),0)=1),10,IF(AND(D10="",'calcA'!AF$5=1),11,12))))))))))))</f>
        <v/>
      </c>
      <c r="AC10">
        <f>IF(AND(E10="",'calcA'!BD$115=0),0,IF(AND(E10&lt;&gt;"",'calcA'!BD$4=0),1,IF(IF(E10="",0,IFERROR(INDEX('calcA'!BD$10:BD$54,MATCH(E10,'calcA'!$B$10:$B$54,0)),0))=1,2,IF(AND(E10&lt;&gt;"",COUNTIF($C$6:$H$29,E10)&gt;1),3,IF('calcA'!BD$4=0,4,IF(AND(E10&lt;&gt;"",'calcA'!BD$108=1),5,IF(AND(E10="",'calcA'!BD$108=1),6,IF(AND(E10&lt;&gt;"",E10=$J$5),7,IF(IF('calcA'!$B$8&gt;0,INDEX('calcA'!BD$10:BD$54,'calcA'!$B$8),0)=1,8,IF(AND(E10="",IF('calcA'!$B$8&gt;0,INDEX('calcA'!BD$60:BD$104,'calcA'!$B$8),0)=1),9,IF(AND(E10&lt;&gt;"",IF('calcA'!$B$8&gt;0,INDEX('calcA'!BD$60:BD$104,'calcA'!$B$8),0)=1),10,IF(AND(E10="",'calcA'!BD$5=1),11,12))))))))))))</f>
        <v/>
      </c>
      <c r="AD10">
        <f>IF(AND(F10="",'calcA'!CB$115=0),0,IF(AND(F10&lt;&gt;"",'calcA'!CB$4=0),1,IF(IF(F10="",0,IFERROR(INDEX('calcA'!CB$10:CB$54,MATCH(F10,'calcA'!$B$10:$B$54,0)),0))=1,2,IF(AND(F10&lt;&gt;"",COUNTIF($C$6:$H$29,F10)&gt;1),3,IF('calcA'!CB$4=0,4,IF(AND(F10&lt;&gt;"",'calcA'!CB$108=1),5,IF(AND(F10="",'calcA'!CB$108=1),6,IF(AND(F10&lt;&gt;"",F10=$J$5),7,IF(IF('calcA'!$B$8&gt;0,INDEX('calcA'!CB$10:CB$54,'calcA'!$B$8),0)=1,8,IF(AND(F10="",IF('calcA'!$B$8&gt;0,INDEX('calcA'!CB$60:CB$104,'calcA'!$B$8),0)=1),9,IF(AND(F10&lt;&gt;"",IF('calcA'!$B$8&gt;0,INDEX('calcA'!CB$60:CB$104,'calcA'!$B$8),0)=1),10,IF(AND(F10="",'calcA'!CB$5=1),11,12))))))))))))</f>
        <v/>
      </c>
      <c r="AE10">
        <f>IF(AND(G10="",'calcA'!CZ$115=0),0,IF(AND(G10&lt;&gt;"",'calcA'!CZ$4=0),1,IF(IF(G10="",0,IFERROR(INDEX('calcA'!CZ$10:CZ$54,MATCH(G10,'calcA'!$B$10:$B$54,0)),0))=1,2,IF(AND(G10&lt;&gt;"",COUNTIF($C$6:$H$29,G10)&gt;1),3,IF('calcA'!CZ$4=0,4,IF(AND(G10&lt;&gt;"",'calcA'!CZ$108=1),5,IF(AND(G10="",'calcA'!CZ$108=1),6,IF(AND(G10&lt;&gt;"",G10=$J$5),7,IF(IF('calcA'!$B$8&gt;0,INDEX('calcA'!CZ$10:CZ$54,'calcA'!$B$8),0)=1,8,IF(AND(G10="",IF('calcA'!$B$8&gt;0,INDEX('calcA'!CZ$60:CZ$104,'calcA'!$B$8),0)=1),9,IF(AND(G10&lt;&gt;"",IF('calcA'!$B$8&gt;0,INDEX('calcA'!CZ$60:CZ$104,'calcA'!$B$8),0)=1),10,IF(AND(G10="",'calcA'!CZ$5=1),11,12))))))))))))</f>
        <v/>
      </c>
      <c r="AF10">
        <f>IF(AND(H10="",'calcA'!DX$115=0),0,IF(AND(H10&lt;&gt;"",'calcA'!DX$4=0),1,IF(IF(H10="",0,IFERROR(INDEX('calcA'!DX$10:DX$54,MATCH(H10,'calcA'!$B$10:$B$54,0)),0))=1,2,IF(AND(H10&lt;&gt;"",COUNTIF($C$6:$H$29,H10)&gt;1),3,IF('calcA'!DX$4=0,4,IF(AND(H10&lt;&gt;"",'calcA'!DX$108=1),5,IF(AND(H10="",'calcA'!DX$108=1),6,IF(AND(H10&lt;&gt;"",H10=$J$5),7,IF(IF('calcA'!$B$8&gt;0,INDEX('calcA'!DX$10:DX$54,'calcA'!$B$8),0)=1,8,IF(AND(H10="",IF('calcA'!$B$8&gt;0,INDEX('calcA'!DX$60:DX$104,'calcA'!$B$8),0)=1),9,IF(AND(H10&lt;&gt;"",IF('calcA'!$B$8&gt;0,INDEX('calcA'!DX$60:DX$104,'calcA'!$B$8),0)=1),10,IF(AND(H10="",'calcA'!DX$5=1),11,12))))))))))))</f>
        <v/>
      </c>
    </row>
    <row r="11" ht="26" customHeight="1">
      <c r="B11" s="46">
        <f>'設定'!$I$16</f>
        <v/>
      </c>
      <c r="C11" s="27" t="n"/>
      <c r="D11" s="27" t="n"/>
      <c r="E11" s="27" t="n"/>
      <c r="F11" s="27" t="n"/>
      <c r="G11" s="27" t="n"/>
      <c r="H11" s="27" t="n"/>
      <c r="J11" s="95" t="inlineStr">
        <is>
          <t>入れられる空き枠</t>
        </is>
      </c>
      <c r="K11" s="100">
        <f t="array" ref="K11">IFERROR(IF('calcA'!$B$8=0,"",_xlfn.TEXTJOIN("、",TRUE,IF((INDEX('calcA'!$D$60:$EQ$104,'calcA'!$B$8,0)=1)*('calcA'!$D$7:$EQ$7=0),'calcA'!$D$8:$EQ$8,""))),"")</f>
        <v/>
      </c>
      <c r="AA11">
        <f>IF(AND(C11="",'calcA'!I$115=0),0,IF(AND(C11&lt;&gt;"",'calcA'!I$4=0),1,IF(IF(C11="",0,IFERROR(INDEX('calcA'!I$10:I$54,MATCH(C11,'calcA'!$B$10:$B$54,0)),0))=1,2,IF(AND(C11&lt;&gt;"",COUNTIF($C$6:$H$29,C11)&gt;1),3,IF('calcA'!I$4=0,4,IF(AND(C11&lt;&gt;"",'calcA'!I$108=1),5,IF(AND(C11="",'calcA'!I$108=1),6,IF(AND(C11&lt;&gt;"",C11=$J$5),7,IF(IF('calcA'!$B$8&gt;0,INDEX('calcA'!I$10:I$54,'calcA'!$B$8),0)=1,8,IF(AND(C11="",IF('calcA'!$B$8&gt;0,INDEX('calcA'!I$60:I$104,'calcA'!$B$8),0)=1),9,IF(AND(C11&lt;&gt;"",IF('calcA'!$B$8&gt;0,INDEX('calcA'!I$60:I$104,'calcA'!$B$8),0)=1),10,IF(AND(C11="",'calcA'!I$5=1),11,12))))))))))))</f>
        <v/>
      </c>
      <c r="AB11">
        <f>IF(AND(D11="",'calcA'!AG$115=0),0,IF(AND(D11&lt;&gt;"",'calcA'!AG$4=0),1,IF(IF(D11="",0,IFERROR(INDEX('calcA'!AG$10:AG$54,MATCH(D11,'calcA'!$B$10:$B$54,0)),0))=1,2,IF(AND(D11&lt;&gt;"",COUNTIF($C$6:$H$29,D11)&gt;1),3,IF('calcA'!AG$4=0,4,IF(AND(D11&lt;&gt;"",'calcA'!AG$108=1),5,IF(AND(D11="",'calcA'!AG$108=1),6,IF(AND(D11&lt;&gt;"",D11=$J$5),7,IF(IF('calcA'!$B$8&gt;0,INDEX('calcA'!AG$10:AG$54,'calcA'!$B$8),0)=1,8,IF(AND(D11="",IF('calcA'!$B$8&gt;0,INDEX('calcA'!AG$60:AG$104,'calcA'!$B$8),0)=1),9,IF(AND(D11&lt;&gt;"",IF('calcA'!$B$8&gt;0,INDEX('calcA'!AG$60:AG$104,'calcA'!$B$8),0)=1),10,IF(AND(D11="",'calcA'!AG$5=1),11,12))))))))))))</f>
        <v/>
      </c>
      <c r="AC11">
        <f>IF(AND(E11="",'calcA'!BE$115=0),0,IF(AND(E11&lt;&gt;"",'calcA'!BE$4=0),1,IF(IF(E11="",0,IFERROR(INDEX('calcA'!BE$10:BE$54,MATCH(E11,'calcA'!$B$10:$B$54,0)),0))=1,2,IF(AND(E11&lt;&gt;"",COUNTIF($C$6:$H$29,E11)&gt;1),3,IF('calcA'!BE$4=0,4,IF(AND(E11&lt;&gt;"",'calcA'!BE$108=1),5,IF(AND(E11="",'calcA'!BE$108=1),6,IF(AND(E11&lt;&gt;"",E11=$J$5),7,IF(IF('calcA'!$B$8&gt;0,INDEX('calcA'!BE$10:BE$54,'calcA'!$B$8),0)=1,8,IF(AND(E11="",IF('calcA'!$B$8&gt;0,INDEX('calcA'!BE$60:BE$104,'calcA'!$B$8),0)=1),9,IF(AND(E11&lt;&gt;"",IF('calcA'!$B$8&gt;0,INDEX('calcA'!BE$60:BE$104,'calcA'!$B$8),0)=1),10,IF(AND(E11="",'calcA'!BE$5=1),11,12))))))))))))</f>
        <v/>
      </c>
      <c r="AD11">
        <f>IF(AND(F11="",'calcA'!CC$115=0),0,IF(AND(F11&lt;&gt;"",'calcA'!CC$4=0),1,IF(IF(F11="",0,IFERROR(INDEX('calcA'!CC$10:CC$54,MATCH(F11,'calcA'!$B$10:$B$54,0)),0))=1,2,IF(AND(F11&lt;&gt;"",COUNTIF($C$6:$H$29,F11)&gt;1),3,IF('calcA'!CC$4=0,4,IF(AND(F11&lt;&gt;"",'calcA'!CC$108=1),5,IF(AND(F11="",'calcA'!CC$108=1),6,IF(AND(F11&lt;&gt;"",F11=$J$5),7,IF(IF('calcA'!$B$8&gt;0,INDEX('calcA'!CC$10:CC$54,'calcA'!$B$8),0)=1,8,IF(AND(F11="",IF('calcA'!$B$8&gt;0,INDEX('calcA'!CC$60:CC$104,'calcA'!$B$8),0)=1),9,IF(AND(F11&lt;&gt;"",IF('calcA'!$B$8&gt;0,INDEX('calcA'!CC$60:CC$104,'calcA'!$B$8),0)=1),10,IF(AND(F11="",'calcA'!CC$5=1),11,12))))))))))))</f>
        <v/>
      </c>
      <c r="AE11">
        <f>IF(AND(G11="",'calcA'!DA$115=0),0,IF(AND(G11&lt;&gt;"",'calcA'!DA$4=0),1,IF(IF(G11="",0,IFERROR(INDEX('calcA'!DA$10:DA$54,MATCH(G11,'calcA'!$B$10:$B$54,0)),0))=1,2,IF(AND(G11&lt;&gt;"",COUNTIF($C$6:$H$29,G11)&gt;1),3,IF('calcA'!DA$4=0,4,IF(AND(G11&lt;&gt;"",'calcA'!DA$108=1),5,IF(AND(G11="",'calcA'!DA$108=1),6,IF(AND(G11&lt;&gt;"",G11=$J$5),7,IF(IF('calcA'!$B$8&gt;0,INDEX('calcA'!DA$10:DA$54,'calcA'!$B$8),0)=1,8,IF(AND(G11="",IF('calcA'!$B$8&gt;0,INDEX('calcA'!DA$60:DA$104,'calcA'!$B$8),0)=1),9,IF(AND(G11&lt;&gt;"",IF('calcA'!$B$8&gt;0,INDEX('calcA'!DA$60:DA$104,'calcA'!$B$8),0)=1),10,IF(AND(G11="",'calcA'!DA$5=1),11,12))))))))))))</f>
        <v/>
      </c>
      <c r="AF11">
        <f>IF(AND(H11="",'calcA'!DY$115=0),0,IF(AND(H11&lt;&gt;"",'calcA'!DY$4=0),1,IF(IF(H11="",0,IFERROR(INDEX('calcA'!DY$10:DY$54,MATCH(H11,'calcA'!$B$10:$B$54,0)),0))=1,2,IF(AND(H11&lt;&gt;"",COUNTIF($C$6:$H$29,H11)&gt;1),3,IF('calcA'!DY$4=0,4,IF(AND(H11&lt;&gt;"",'calcA'!DY$108=1),5,IF(AND(H11="",'calcA'!DY$108=1),6,IF(AND(H11&lt;&gt;"",H11=$J$5),7,IF(IF('calcA'!$B$8&gt;0,INDEX('calcA'!DY$10:DY$54,'calcA'!$B$8),0)=1,8,IF(AND(H11="",IF('calcA'!$B$8&gt;0,INDEX('calcA'!DY$60:DY$104,'calcA'!$B$8),0)=1),9,IF(AND(H11&lt;&gt;"",IF('calcA'!$B$8&gt;0,INDEX('calcA'!DY$60:DY$104,'calcA'!$B$8),0)=1),10,IF(AND(H11="",'calcA'!DY$5=1),11,12))))))))))))</f>
        <v/>
      </c>
    </row>
    <row r="12" ht="26" customHeight="1">
      <c r="B12" s="46">
        <f>'設定'!$I$17</f>
        <v/>
      </c>
      <c r="C12" s="27" t="n"/>
      <c r="D12" s="27" t="n"/>
      <c r="E12" s="27" t="n"/>
      <c r="F12" s="27" t="n"/>
      <c r="G12" s="27" t="n"/>
      <c r="H12" s="27" t="n"/>
      <c r="AA12">
        <f>IF(AND(C12="",'calcA'!J$115=0),0,IF(AND(C12&lt;&gt;"",'calcA'!J$4=0),1,IF(IF(C12="",0,IFERROR(INDEX('calcA'!J$10:J$54,MATCH(C12,'calcA'!$B$10:$B$54,0)),0))=1,2,IF(AND(C12&lt;&gt;"",COUNTIF($C$6:$H$29,C12)&gt;1),3,IF('calcA'!J$4=0,4,IF(AND(C12&lt;&gt;"",'calcA'!J$108=1),5,IF(AND(C12="",'calcA'!J$108=1),6,IF(AND(C12&lt;&gt;"",C12=$J$5),7,IF(IF('calcA'!$B$8&gt;0,INDEX('calcA'!J$10:J$54,'calcA'!$B$8),0)=1,8,IF(AND(C12="",IF('calcA'!$B$8&gt;0,INDEX('calcA'!J$60:J$104,'calcA'!$B$8),0)=1),9,IF(AND(C12&lt;&gt;"",IF('calcA'!$B$8&gt;0,INDEX('calcA'!J$60:J$104,'calcA'!$B$8),0)=1),10,IF(AND(C12="",'calcA'!J$5=1),11,12))))))))))))</f>
        <v/>
      </c>
      <c r="AB12">
        <f>IF(AND(D12="",'calcA'!AH$115=0),0,IF(AND(D12&lt;&gt;"",'calcA'!AH$4=0),1,IF(IF(D12="",0,IFERROR(INDEX('calcA'!AH$10:AH$54,MATCH(D12,'calcA'!$B$10:$B$54,0)),0))=1,2,IF(AND(D12&lt;&gt;"",COUNTIF($C$6:$H$29,D12)&gt;1),3,IF('calcA'!AH$4=0,4,IF(AND(D12&lt;&gt;"",'calcA'!AH$108=1),5,IF(AND(D12="",'calcA'!AH$108=1),6,IF(AND(D12&lt;&gt;"",D12=$J$5),7,IF(IF('calcA'!$B$8&gt;0,INDEX('calcA'!AH$10:AH$54,'calcA'!$B$8),0)=1,8,IF(AND(D12="",IF('calcA'!$B$8&gt;0,INDEX('calcA'!AH$60:AH$104,'calcA'!$B$8),0)=1),9,IF(AND(D12&lt;&gt;"",IF('calcA'!$B$8&gt;0,INDEX('calcA'!AH$60:AH$104,'calcA'!$B$8),0)=1),10,IF(AND(D12="",'calcA'!AH$5=1),11,12))))))))))))</f>
        <v/>
      </c>
      <c r="AC12">
        <f>IF(AND(E12="",'calcA'!BF$115=0),0,IF(AND(E12&lt;&gt;"",'calcA'!BF$4=0),1,IF(IF(E12="",0,IFERROR(INDEX('calcA'!BF$10:BF$54,MATCH(E12,'calcA'!$B$10:$B$54,0)),0))=1,2,IF(AND(E12&lt;&gt;"",COUNTIF($C$6:$H$29,E12)&gt;1),3,IF('calcA'!BF$4=0,4,IF(AND(E12&lt;&gt;"",'calcA'!BF$108=1),5,IF(AND(E12="",'calcA'!BF$108=1),6,IF(AND(E12&lt;&gt;"",E12=$J$5),7,IF(IF('calcA'!$B$8&gt;0,INDEX('calcA'!BF$10:BF$54,'calcA'!$B$8),0)=1,8,IF(AND(E12="",IF('calcA'!$B$8&gt;0,INDEX('calcA'!BF$60:BF$104,'calcA'!$B$8),0)=1),9,IF(AND(E12&lt;&gt;"",IF('calcA'!$B$8&gt;0,INDEX('calcA'!BF$60:BF$104,'calcA'!$B$8),0)=1),10,IF(AND(E12="",'calcA'!BF$5=1),11,12))))))))))))</f>
        <v/>
      </c>
      <c r="AD12">
        <f>IF(AND(F12="",'calcA'!CD$115=0),0,IF(AND(F12&lt;&gt;"",'calcA'!CD$4=0),1,IF(IF(F12="",0,IFERROR(INDEX('calcA'!CD$10:CD$54,MATCH(F12,'calcA'!$B$10:$B$54,0)),0))=1,2,IF(AND(F12&lt;&gt;"",COUNTIF($C$6:$H$29,F12)&gt;1),3,IF('calcA'!CD$4=0,4,IF(AND(F12&lt;&gt;"",'calcA'!CD$108=1),5,IF(AND(F12="",'calcA'!CD$108=1),6,IF(AND(F12&lt;&gt;"",F12=$J$5),7,IF(IF('calcA'!$B$8&gt;0,INDEX('calcA'!CD$10:CD$54,'calcA'!$B$8),0)=1,8,IF(AND(F12="",IF('calcA'!$B$8&gt;0,INDEX('calcA'!CD$60:CD$104,'calcA'!$B$8),0)=1),9,IF(AND(F12&lt;&gt;"",IF('calcA'!$B$8&gt;0,INDEX('calcA'!CD$60:CD$104,'calcA'!$B$8),0)=1),10,IF(AND(F12="",'calcA'!CD$5=1),11,12))))))))))))</f>
        <v/>
      </c>
      <c r="AE12">
        <f>IF(AND(G12="",'calcA'!DB$115=0),0,IF(AND(G12&lt;&gt;"",'calcA'!DB$4=0),1,IF(IF(G12="",0,IFERROR(INDEX('calcA'!DB$10:DB$54,MATCH(G12,'calcA'!$B$10:$B$54,0)),0))=1,2,IF(AND(G12&lt;&gt;"",COUNTIF($C$6:$H$29,G12)&gt;1),3,IF('calcA'!DB$4=0,4,IF(AND(G12&lt;&gt;"",'calcA'!DB$108=1),5,IF(AND(G12="",'calcA'!DB$108=1),6,IF(AND(G12&lt;&gt;"",G12=$J$5),7,IF(IF('calcA'!$B$8&gt;0,INDEX('calcA'!DB$10:DB$54,'calcA'!$B$8),0)=1,8,IF(AND(G12="",IF('calcA'!$B$8&gt;0,INDEX('calcA'!DB$60:DB$104,'calcA'!$B$8),0)=1),9,IF(AND(G12&lt;&gt;"",IF('calcA'!$B$8&gt;0,INDEX('calcA'!DB$60:DB$104,'calcA'!$B$8),0)=1),10,IF(AND(G12="",'calcA'!DB$5=1),11,12))))))))))))</f>
        <v/>
      </c>
      <c r="AF12">
        <f>IF(AND(H12="",'calcA'!DZ$115=0),0,IF(AND(H12&lt;&gt;"",'calcA'!DZ$4=0),1,IF(IF(H12="",0,IFERROR(INDEX('calcA'!DZ$10:DZ$54,MATCH(H12,'calcA'!$B$10:$B$54,0)),0))=1,2,IF(AND(H12&lt;&gt;"",COUNTIF($C$6:$H$29,H12)&gt;1),3,IF('calcA'!DZ$4=0,4,IF(AND(H12&lt;&gt;"",'calcA'!DZ$108=1),5,IF(AND(H12="",'calcA'!DZ$108=1),6,IF(AND(H12&lt;&gt;"",H12=$J$5),7,IF(IF('calcA'!$B$8&gt;0,INDEX('calcA'!DZ$10:DZ$54,'calcA'!$B$8),0)=1,8,IF(AND(H12="",IF('calcA'!$B$8&gt;0,INDEX('calcA'!DZ$60:DZ$104,'calcA'!$B$8),0)=1),9,IF(AND(H12&lt;&gt;"",IF('calcA'!$B$8&gt;0,INDEX('calcA'!DZ$60:DZ$104,'calcA'!$B$8),0)=1),10,IF(AND(H12="",'calcA'!DZ$5=1),11,12))))))))))))</f>
        <v/>
      </c>
    </row>
    <row r="13" ht="26" customHeight="1">
      <c r="B13" s="46">
        <f>'設定'!$I$18</f>
        <v/>
      </c>
      <c r="C13" s="27" t="n"/>
      <c r="D13" s="27" t="n"/>
      <c r="E13" s="27" t="n"/>
      <c r="F13" s="27" t="n"/>
      <c r="G13" s="27" t="n"/>
      <c r="H13" s="27" t="n"/>
      <c r="AA13">
        <f>IF(AND(C13="",'calcA'!K$115=0),0,IF(AND(C13&lt;&gt;"",'calcA'!K$4=0),1,IF(IF(C13="",0,IFERROR(INDEX('calcA'!K$10:K$54,MATCH(C13,'calcA'!$B$10:$B$54,0)),0))=1,2,IF(AND(C13&lt;&gt;"",COUNTIF($C$6:$H$29,C13)&gt;1),3,IF('calcA'!K$4=0,4,IF(AND(C13&lt;&gt;"",'calcA'!K$108=1),5,IF(AND(C13="",'calcA'!K$108=1),6,IF(AND(C13&lt;&gt;"",C13=$J$5),7,IF(IF('calcA'!$B$8&gt;0,INDEX('calcA'!K$10:K$54,'calcA'!$B$8),0)=1,8,IF(AND(C13="",IF('calcA'!$B$8&gt;0,INDEX('calcA'!K$60:K$104,'calcA'!$B$8),0)=1),9,IF(AND(C13&lt;&gt;"",IF('calcA'!$B$8&gt;0,INDEX('calcA'!K$60:K$104,'calcA'!$B$8),0)=1),10,IF(AND(C13="",'calcA'!K$5=1),11,12))))))))))))</f>
        <v/>
      </c>
      <c r="AB13">
        <f>IF(AND(D13="",'calcA'!AI$115=0),0,IF(AND(D13&lt;&gt;"",'calcA'!AI$4=0),1,IF(IF(D13="",0,IFERROR(INDEX('calcA'!AI$10:AI$54,MATCH(D13,'calcA'!$B$10:$B$54,0)),0))=1,2,IF(AND(D13&lt;&gt;"",COUNTIF($C$6:$H$29,D13)&gt;1),3,IF('calcA'!AI$4=0,4,IF(AND(D13&lt;&gt;"",'calcA'!AI$108=1),5,IF(AND(D13="",'calcA'!AI$108=1),6,IF(AND(D13&lt;&gt;"",D13=$J$5),7,IF(IF('calcA'!$B$8&gt;0,INDEX('calcA'!AI$10:AI$54,'calcA'!$B$8),0)=1,8,IF(AND(D13="",IF('calcA'!$B$8&gt;0,INDEX('calcA'!AI$60:AI$104,'calcA'!$B$8),0)=1),9,IF(AND(D13&lt;&gt;"",IF('calcA'!$B$8&gt;0,INDEX('calcA'!AI$60:AI$104,'calcA'!$B$8),0)=1),10,IF(AND(D13="",'calcA'!AI$5=1),11,12))))))))))))</f>
        <v/>
      </c>
      <c r="AC13">
        <f>IF(AND(E13="",'calcA'!BG$115=0),0,IF(AND(E13&lt;&gt;"",'calcA'!BG$4=0),1,IF(IF(E13="",0,IFERROR(INDEX('calcA'!BG$10:BG$54,MATCH(E13,'calcA'!$B$10:$B$54,0)),0))=1,2,IF(AND(E13&lt;&gt;"",COUNTIF($C$6:$H$29,E13)&gt;1),3,IF('calcA'!BG$4=0,4,IF(AND(E13&lt;&gt;"",'calcA'!BG$108=1),5,IF(AND(E13="",'calcA'!BG$108=1),6,IF(AND(E13&lt;&gt;"",E13=$J$5),7,IF(IF('calcA'!$B$8&gt;0,INDEX('calcA'!BG$10:BG$54,'calcA'!$B$8),0)=1,8,IF(AND(E13="",IF('calcA'!$B$8&gt;0,INDEX('calcA'!BG$60:BG$104,'calcA'!$B$8),0)=1),9,IF(AND(E13&lt;&gt;"",IF('calcA'!$B$8&gt;0,INDEX('calcA'!BG$60:BG$104,'calcA'!$B$8),0)=1),10,IF(AND(E13="",'calcA'!BG$5=1),11,12))))))))))))</f>
        <v/>
      </c>
      <c r="AD13">
        <f>IF(AND(F13="",'calcA'!CE$115=0),0,IF(AND(F13&lt;&gt;"",'calcA'!CE$4=0),1,IF(IF(F13="",0,IFERROR(INDEX('calcA'!CE$10:CE$54,MATCH(F13,'calcA'!$B$10:$B$54,0)),0))=1,2,IF(AND(F13&lt;&gt;"",COUNTIF($C$6:$H$29,F13)&gt;1),3,IF('calcA'!CE$4=0,4,IF(AND(F13&lt;&gt;"",'calcA'!CE$108=1),5,IF(AND(F13="",'calcA'!CE$108=1),6,IF(AND(F13&lt;&gt;"",F13=$J$5),7,IF(IF('calcA'!$B$8&gt;0,INDEX('calcA'!CE$10:CE$54,'calcA'!$B$8),0)=1,8,IF(AND(F13="",IF('calcA'!$B$8&gt;0,INDEX('calcA'!CE$60:CE$104,'calcA'!$B$8),0)=1),9,IF(AND(F13&lt;&gt;"",IF('calcA'!$B$8&gt;0,INDEX('calcA'!CE$60:CE$104,'calcA'!$B$8),0)=1),10,IF(AND(F13="",'calcA'!CE$5=1),11,12))))))))))))</f>
        <v/>
      </c>
      <c r="AE13">
        <f>IF(AND(G13="",'calcA'!DC$115=0),0,IF(AND(G13&lt;&gt;"",'calcA'!DC$4=0),1,IF(IF(G13="",0,IFERROR(INDEX('calcA'!DC$10:DC$54,MATCH(G13,'calcA'!$B$10:$B$54,0)),0))=1,2,IF(AND(G13&lt;&gt;"",COUNTIF($C$6:$H$29,G13)&gt;1),3,IF('calcA'!DC$4=0,4,IF(AND(G13&lt;&gt;"",'calcA'!DC$108=1),5,IF(AND(G13="",'calcA'!DC$108=1),6,IF(AND(G13&lt;&gt;"",G13=$J$5),7,IF(IF('calcA'!$B$8&gt;0,INDEX('calcA'!DC$10:DC$54,'calcA'!$B$8),0)=1,8,IF(AND(G13="",IF('calcA'!$B$8&gt;0,INDEX('calcA'!DC$60:DC$104,'calcA'!$B$8),0)=1),9,IF(AND(G13&lt;&gt;"",IF('calcA'!$B$8&gt;0,INDEX('calcA'!DC$60:DC$104,'calcA'!$B$8),0)=1),10,IF(AND(G13="",'calcA'!DC$5=1),11,12))))))))))))</f>
        <v/>
      </c>
      <c r="AF13">
        <f>IF(AND(H13="",'calcA'!EA$115=0),0,IF(AND(H13&lt;&gt;"",'calcA'!EA$4=0),1,IF(IF(H13="",0,IFERROR(INDEX('calcA'!EA$10:EA$54,MATCH(H13,'calcA'!$B$10:$B$54,0)),0))=1,2,IF(AND(H13&lt;&gt;"",COUNTIF($C$6:$H$29,H13)&gt;1),3,IF('calcA'!EA$4=0,4,IF(AND(H13&lt;&gt;"",'calcA'!EA$108=1),5,IF(AND(H13="",'calcA'!EA$108=1),6,IF(AND(H13&lt;&gt;"",H13=$J$5),7,IF(IF('calcA'!$B$8&gt;0,INDEX('calcA'!EA$10:EA$54,'calcA'!$B$8),0)=1,8,IF(AND(H13="",IF('calcA'!$B$8&gt;0,INDEX('calcA'!EA$60:EA$104,'calcA'!$B$8),0)=1),9,IF(AND(H13&lt;&gt;"",IF('calcA'!$B$8&gt;0,INDEX('calcA'!EA$60:EA$104,'calcA'!$B$8),0)=1),10,IF(AND(H13="",'calcA'!EA$5=1),11,12))))))))))))</f>
        <v/>
      </c>
    </row>
    <row r="14" ht="26" customHeight="1">
      <c r="B14" s="46">
        <f>'設定'!$I$19</f>
        <v/>
      </c>
      <c r="C14" s="27" t="n"/>
      <c r="D14" s="27" t="n"/>
      <c r="E14" s="27" t="n"/>
      <c r="F14" s="27" t="n"/>
      <c r="G14" s="27" t="n"/>
      <c r="H14" s="27" t="n"/>
      <c r="AA14">
        <f>IF(AND(C14="",'calcA'!L$115=0),0,IF(AND(C14&lt;&gt;"",'calcA'!L$4=0),1,IF(IF(C14="",0,IFERROR(INDEX('calcA'!L$10:L$54,MATCH(C14,'calcA'!$B$10:$B$54,0)),0))=1,2,IF(AND(C14&lt;&gt;"",COUNTIF($C$6:$H$29,C14)&gt;1),3,IF('calcA'!L$4=0,4,IF(AND(C14&lt;&gt;"",'calcA'!L$108=1),5,IF(AND(C14="",'calcA'!L$108=1),6,IF(AND(C14&lt;&gt;"",C14=$J$5),7,IF(IF('calcA'!$B$8&gt;0,INDEX('calcA'!L$10:L$54,'calcA'!$B$8),0)=1,8,IF(AND(C14="",IF('calcA'!$B$8&gt;0,INDEX('calcA'!L$60:L$104,'calcA'!$B$8),0)=1),9,IF(AND(C14&lt;&gt;"",IF('calcA'!$B$8&gt;0,INDEX('calcA'!L$60:L$104,'calcA'!$B$8),0)=1),10,IF(AND(C14="",'calcA'!L$5=1),11,12))))))))))))</f>
        <v/>
      </c>
      <c r="AB14">
        <f>IF(AND(D14="",'calcA'!AJ$115=0),0,IF(AND(D14&lt;&gt;"",'calcA'!AJ$4=0),1,IF(IF(D14="",0,IFERROR(INDEX('calcA'!AJ$10:AJ$54,MATCH(D14,'calcA'!$B$10:$B$54,0)),0))=1,2,IF(AND(D14&lt;&gt;"",COUNTIF($C$6:$H$29,D14)&gt;1),3,IF('calcA'!AJ$4=0,4,IF(AND(D14&lt;&gt;"",'calcA'!AJ$108=1),5,IF(AND(D14="",'calcA'!AJ$108=1),6,IF(AND(D14&lt;&gt;"",D14=$J$5),7,IF(IF('calcA'!$B$8&gt;0,INDEX('calcA'!AJ$10:AJ$54,'calcA'!$B$8),0)=1,8,IF(AND(D14="",IF('calcA'!$B$8&gt;0,INDEX('calcA'!AJ$60:AJ$104,'calcA'!$B$8),0)=1),9,IF(AND(D14&lt;&gt;"",IF('calcA'!$B$8&gt;0,INDEX('calcA'!AJ$60:AJ$104,'calcA'!$B$8),0)=1),10,IF(AND(D14="",'calcA'!AJ$5=1),11,12))))))))))))</f>
        <v/>
      </c>
      <c r="AC14">
        <f>IF(AND(E14="",'calcA'!BH$115=0),0,IF(AND(E14&lt;&gt;"",'calcA'!BH$4=0),1,IF(IF(E14="",0,IFERROR(INDEX('calcA'!BH$10:BH$54,MATCH(E14,'calcA'!$B$10:$B$54,0)),0))=1,2,IF(AND(E14&lt;&gt;"",COUNTIF($C$6:$H$29,E14)&gt;1),3,IF('calcA'!BH$4=0,4,IF(AND(E14&lt;&gt;"",'calcA'!BH$108=1),5,IF(AND(E14="",'calcA'!BH$108=1),6,IF(AND(E14&lt;&gt;"",E14=$J$5),7,IF(IF('calcA'!$B$8&gt;0,INDEX('calcA'!BH$10:BH$54,'calcA'!$B$8),0)=1,8,IF(AND(E14="",IF('calcA'!$B$8&gt;0,INDEX('calcA'!BH$60:BH$104,'calcA'!$B$8),0)=1),9,IF(AND(E14&lt;&gt;"",IF('calcA'!$B$8&gt;0,INDEX('calcA'!BH$60:BH$104,'calcA'!$B$8),0)=1),10,IF(AND(E14="",'calcA'!BH$5=1),11,12))))))))))))</f>
        <v/>
      </c>
      <c r="AD14">
        <f>IF(AND(F14="",'calcA'!CF$115=0),0,IF(AND(F14&lt;&gt;"",'calcA'!CF$4=0),1,IF(IF(F14="",0,IFERROR(INDEX('calcA'!CF$10:CF$54,MATCH(F14,'calcA'!$B$10:$B$54,0)),0))=1,2,IF(AND(F14&lt;&gt;"",COUNTIF($C$6:$H$29,F14)&gt;1),3,IF('calcA'!CF$4=0,4,IF(AND(F14&lt;&gt;"",'calcA'!CF$108=1),5,IF(AND(F14="",'calcA'!CF$108=1),6,IF(AND(F14&lt;&gt;"",F14=$J$5),7,IF(IF('calcA'!$B$8&gt;0,INDEX('calcA'!CF$10:CF$54,'calcA'!$B$8),0)=1,8,IF(AND(F14="",IF('calcA'!$B$8&gt;0,INDEX('calcA'!CF$60:CF$104,'calcA'!$B$8),0)=1),9,IF(AND(F14&lt;&gt;"",IF('calcA'!$B$8&gt;0,INDEX('calcA'!CF$60:CF$104,'calcA'!$B$8),0)=1),10,IF(AND(F14="",'calcA'!CF$5=1),11,12))))))))))))</f>
        <v/>
      </c>
      <c r="AE14">
        <f>IF(AND(G14="",'calcA'!DD$115=0),0,IF(AND(G14&lt;&gt;"",'calcA'!DD$4=0),1,IF(IF(G14="",0,IFERROR(INDEX('calcA'!DD$10:DD$54,MATCH(G14,'calcA'!$B$10:$B$54,0)),0))=1,2,IF(AND(G14&lt;&gt;"",COUNTIF($C$6:$H$29,G14)&gt;1),3,IF('calcA'!DD$4=0,4,IF(AND(G14&lt;&gt;"",'calcA'!DD$108=1),5,IF(AND(G14="",'calcA'!DD$108=1),6,IF(AND(G14&lt;&gt;"",G14=$J$5),7,IF(IF('calcA'!$B$8&gt;0,INDEX('calcA'!DD$10:DD$54,'calcA'!$B$8),0)=1,8,IF(AND(G14="",IF('calcA'!$B$8&gt;0,INDEX('calcA'!DD$60:DD$104,'calcA'!$B$8),0)=1),9,IF(AND(G14&lt;&gt;"",IF('calcA'!$B$8&gt;0,INDEX('calcA'!DD$60:DD$104,'calcA'!$B$8),0)=1),10,IF(AND(G14="",'calcA'!DD$5=1),11,12))))))))))))</f>
        <v/>
      </c>
      <c r="AF14">
        <f>IF(AND(H14="",'calcA'!EB$115=0),0,IF(AND(H14&lt;&gt;"",'calcA'!EB$4=0),1,IF(IF(H14="",0,IFERROR(INDEX('calcA'!EB$10:EB$54,MATCH(H14,'calcA'!$B$10:$B$54,0)),0))=1,2,IF(AND(H14&lt;&gt;"",COUNTIF($C$6:$H$29,H14)&gt;1),3,IF('calcA'!EB$4=0,4,IF(AND(H14&lt;&gt;"",'calcA'!EB$108=1),5,IF(AND(H14="",'calcA'!EB$108=1),6,IF(AND(H14&lt;&gt;"",H14=$J$5),7,IF(IF('calcA'!$B$8&gt;0,INDEX('calcA'!EB$10:EB$54,'calcA'!$B$8),0)=1,8,IF(AND(H14="",IF('calcA'!$B$8&gt;0,INDEX('calcA'!EB$60:EB$104,'calcA'!$B$8),0)=1),9,IF(AND(H14&lt;&gt;"",IF('calcA'!$B$8&gt;0,INDEX('calcA'!EB$60:EB$104,'calcA'!$B$8),0)=1),10,IF(AND(H14="",'calcA'!EB$5=1),11,12))))))))))))</f>
        <v/>
      </c>
    </row>
    <row r="15" ht="26" customHeight="1">
      <c r="B15" s="46">
        <f>'設定'!$I$20</f>
        <v/>
      </c>
      <c r="C15" s="27" t="n"/>
      <c r="D15" s="27" t="n"/>
      <c r="E15" s="27" t="n"/>
      <c r="F15" s="27" t="n"/>
      <c r="G15" s="27" t="n"/>
      <c r="H15" s="27" t="n"/>
      <c r="AA15">
        <f>IF(AND(C15="",'calcA'!M$115=0),0,IF(AND(C15&lt;&gt;"",'calcA'!M$4=0),1,IF(IF(C15="",0,IFERROR(INDEX('calcA'!M$10:M$54,MATCH(C15,'calcA'!$B$10:$B$54,0)),0))=1,2,IF(AND(C15&lt;&gt;"",COUNTIF($C$6:$H$29,C15)&gt;1),3,IF('calcA'!M$4=0,4,IF(AND(C15&lt;&gt;"",'calcA'!M$108=1),5,IF(AND(C15="",'calcA'!M$108=1),6,IF(AND(C15&lt;&gt;"",C15=$J$5),7,IF(IF('calcA'!$B$8&gt;0,INDEX('calcA'!M$10:M$54,'calcA'!$B$8),0)=1,8,IF(AND(C15="",IF('calcA'!$B$8&gt;0,INDEX('calcA'!M$60:M$104,'calcA'!$B$8),0)=1),9,IF(AND(C15&lt;&gt;"",IF('calcA'!$B$8&gt;0,INDEX('calcA'!M$60:M$104,'calcA'!$B$8),0)=1),10,IF(AND(C15="",'calcA'!M$5=1),11,12))))))))))))</f>
        <v/>
      </c>
      <c r="AB15">
        <f>IF(AND(D15="",'calcA'!AK$115=0),0,IF(AND(D15&lt;&gt;"",'calcA'!AK$4=0),1,IF(IF(D15="",0,IFERROR(INDEX('calcA'!AK$10:AK$54,MATCH(D15,'calcA'!$B$10:$B$54,0)),0))=1,2,IF(AND(D15&lt;&gt;"",COUNTIF($C$6:$H$29,D15)&gt;1),3,IF('calcA'!AK$4=0,4,IF(AND(D15&lt;&gt;"",'calcA'!AK$108=1),5,IF(AND(D15="",'calcA'!AK$108=1),6,IF(AND(D15&lt;&gt;"",D15=$J$5),7,IF(IF('calcA'!$B$8&gt;0,INDEX('calcA'!AK$10:AK$54,'calcA'!$B$8),0)=1,8,IF(AND(D15="",IF('calcA'!$B$8&gt;0,INDEX('calcA'!AK$60:AK$104,'calcA'!$B$8),0)=1),9,IF(AND(D15&lt;&gt;"",IF('calcA'!$B$8&gt;0,INDEX('calcA'!AK$60:AK$104,'calcA'!$B$8),0)=1),10,IF(AND(D15="",'calcA'!AK$5=1),11,12))))))))))))</f>
        <v/>
      </c>
      <c r="AC15">
        <f>IF(AND(E15="",'calcA'!BI$115=0),0,IF(AND(E15&lt;&gt;"",'calcA'!BI$4=0),1,IF(IF(E15="",0,IFERROR(INDEX('calcA'!BI$10:BI$54,MATCH(E15,'calcA'!$B$10:$B$54,0)),0))=1,2,IF(AND(E15&lt;&gt;"",COUNTIF($C$6:$H$29,E15)&gt;1),3,IF('calcA'!BI$4=0,4,IF(AND(E15&lt;&gt;"",'calcA'!BI$108=1),5,IF(AND(E15="",'calcA'!BI$108=1),6,IF(AND(E15&lt;&gt;"",E15=$J$5),7,IF(IF('calcA'!$B$8&gt;0,INDEX('calcA'!BI$10:BI$54,'calcA'!$B$8),0)=1,8,IF(AND(E15="",IF('calcA'!$B$8&gt;0,INDEX('calcA'!BI$60:BI$104,'calcA'!$B$8),0)=1),9,IF(AND(E15&lt;&gt;"",IF('calcA'!$B$8&gt;0,INDEX('calcA'!BI$60:BI$104,'calcA'!$B$8),0)=1),10,IF(AND(E15="",'calcA'!BI$5=1),11,12))))))))))))</f>
        <v/>
      </c>
      <c r="AD15">
        <f>IF(AND(F15="",'calcA'!CG$115=0),0,IF(AND(F15&lt;&gt;"",'calcA'!CG$4=0),1,IF(IF(F15="",0,IFERROR(INDEX('calcA'!CG$10:CG$54,MATCH(F15,'calcA'!$B$10:$B$54,0)),0))=1,2,IF(AND(F15&lt;&gt;"",COUNTIF($C$6:$H$29,F15)&gt;1),3,IF('calcA'!CG$4=0,4,IF(AND(F15&lt;&gt;"",'calcA'!CG$108=1),5,IF(AND(F15="",'calcA'!CG$108=1),6,IF(AND(F15&lt;&gt;"",F15=$J$5),7,IF(IF('calcA'!$B$8&gt;0,INDEX('calcA'!CG$10:CG$54,'calcA'!$B$8),0)=1,8,IF(AND(F15="",IF('calcA'!$B$8&gt;0,INDEX('calcA'!CG$60:CG$104,'calcA'!$B$8),0)=1),9,IF(AND(F15&lt;&gt;"",IF('calcA'!$B$8&gt;0,INDEX('calcA'!CG$60:CG$104,'calcA'!$B$8),0)=1),10,IF(AND(F15="",'calcA'!CG$5=1),11,12))))))))))))</f>
        <v/>
      </c>
      <c r="AE15">
        <f>IF(AND(G15="",'calcA'!DE$115=0),0,IF(AND(G15&lt;&gt;"",'calcA'!DE$4=0),1,IF(IF(G15="",0,IFERROR(INDEX('calcA'!DE$10:DE$54,MATCH(G15,'calcA'!$B$10:$B$54,0)),0))=1,2,IF(AND(G15&lt;&gt;"",COUNTIF($C$6:$H$29,G15)&gt;1),3,IF('calcA'!DE$4=0,4,IF(AND(G15&lt;&gt;"",'calcA'!DE$108=1),5,IF(AND(G15="",'calcA'!DE$108=1),6,IF(AND(G15&lt;&gt;"",G15=$J$5),7,IF(IF('calcA'!$B$8&gt;0,INDEX('calcA'!DE$10:DE$54,'calcA'!$B$8),0)=1,8,IF(AND(G15="",IF('calcA'!$B$8&gt;0,INDEX('calcA'!DE$60:DE$104,'calcA'!$B$8),0)=1),9,IF(AND(G15&lt;&gt;"",IF('calcA'!$B$8&gt;0,INDEX('calcA'!DE$60:DE$104,'calcA'!$B$8),0)=1),10,IF(AND(G15="",'calcA'!DE$5=1),11,12))))))))))))</f>
        <v/>
      </c>
      <c r="AF15">
        <f>IF(AND(H15="",'calcA'!EC$115=0),0,IF(AND(H15&lt;&gt;"",'calcA'!EC$4=0),1,IF(IF(H15="",0,IFERROR(INDEX('calcA'!EC$10:EC$54,MATCH(H15,'calcA'!$B$10:$B$54,0)),0))=1,2,IF(AND(H15&lt;&gt;"",COUNTIF($C$6:$H$29,H15)&gt;1),3,IF('calcA'!EC$4=0,4,IF(AND(H15&lt;&gt;"",'calcA'!EC$108=1),5,IF(AND(H15="",'calcA'!EC$108=1),6,IF(AND(H15&lt;&gt;"",H15=$J$5),7,IF(IF('calcA'!$B$8&gt;0,INDEX('calcA'!EC$10:EC$54,'calcA'!$B$8),0)=1,8,IF(AND(H15="",IF('calcA'!$B$8&gt;0,INDEX('calcA'!EC$60:EC$104,'calcA'!$B$8),0)=1),9,IF(AND(H15&lt;&gt;"",IF('calcA'!$B$8&gt;0,INDEX('calcA'!EC$60:EC$104,'calcA'!$B$8),0)=1),10,IF(AND(H15="",'calcA'!EC$5=1),11,12))))))))))))</f>
        <v/>
      </c>
    </row>
    <row r="16" ht="26" customHeight="1">
      <c r="B16" s="46">
        <f>'設定'!$I$21</f>
        <v/>
      </c>
      <c r="C16" s="27" t="n"/>
      <c r="D16" s="27" t="n"/>
      <c r="E16" s="27" t="n"/>
      <c r="F16" s="27" t="n"/>
      <c r="G16" s="27" t="n"/>
      <c r="H16" s="27" t="n"/>
      <c r="AA16">
        <f>IF(AND(C16="",'calcA'!N$115=0),0,IF(AND(C16&lt;&gt;"",'calcA'!N$4=0),1,IF(IF(C16="",0,IFERROR(INDEX('calcA'!N$10:N$54,MATCH(C16,'calcA'!$B$10:$B$54,0)),0))=1,2,IF(AND(C16&lt;&gt;"",COUNTIF($C$6:$H$29,C16)&gt;1),3,IF('calcA'!N$4=0,4,IF(AND(C16&lt;&gt;"",'calcA'!N$108=1),5,IF(AND(C16="",'calcA'!N$108=1),6,IF(AND(C16&lt;&gt;"",C16=$J$5),7,IF(IF('calcA'!$B$8&gt;0,INDEX('calcA'!N$10:N$54,'calcA'!$B$8),0)=1,8,IF(AND(C16="",IF('calcA'!$B$8&gt;0,INDEX('calcA'!N$60:N$104,'calcA'!$B$8),0)=1),9,IF(AND(C16&lt;&gt;"",IF('calcA'!$B$8&gt;0,INDEX('calcA'!N$60:N$104,'calcA'!$B$8),0)=1),10,IF(AND(C16="",'calcA'!N$5=1),11,12))))))))))))</f>
        <v/>
      </c>
      <c r="AB16">
        <f>IF(AND(D16="",'calcA'!AL$115=0),0,IF(AND(D16&lt;&gt;"",'calcA'!AL$4=0),1,IF(IF(D16="",0,IFERROR(INDEX('calcA'!AL$10:AL$54,MATCH(D16,'calcA'!$B$10:$B$54,0)),0))=1,2,IF(AND(D16&lt;&gt;"",COUNTIF($C$6:$H$29,D16)&gt;1),3,IF('calcA'!AL$4=0,4,IF(AND(D16&lt;&gt;"",'calcA'!AL$108=1),5,IF(AND(D16="",'calcA'!AL$108=1),6,IF(AND(D16&lt;&gt;"",D16=$J$5),7,IF(IF('calcA'!$B$8&gt;0,INDEX('calcA'!AL$10:AL$54,'calcA'!$B$8),0)=1,8,IF(AND(D16="",IF('calcA'!$B$8&gt;0,INDEX('calcA'!AL$60:AL$104,'calcA'!$B$8),0)=1),9,IF(AND(D16&lt;&gt;"",IF('calcA'!$B$8&gt;0,INDEX('calcA'!AL$60:AL$104,'calcA'!$B$8),0)=1),10,IF(AND(D16="",'calcA'!AL$5=1),11,12))))))))))))</f>
        <v/>
      </c>
      <c r="AC16">
        <f>IF(AND(E16="",'calcA'!BJ$115=0),0,IF(AND(E16&lt;&gt;"",'calcA'!BJ$4=0),1,IF(IF(E16="",0,IFERROR(INDEX('calcA'!BJ$10:BJ$54,MATCH(E16,'calcA'!$B$10:$B$54,0)),0))=1,2,IF(AND(E16&lt;&gt;"",COUNTIF($C$6:$H$29,E16)&gt;1),3,IF('calcA'!BJ$4=0,4,IF(AND(E16&lt;&gt;"",'calcA'!BJ$108=1),5,IF(AND(E16="",'calcA'!BJ$108=1),6,IF(AND(E16&lt;&gt;"",E16=$J$5),7,IF(IF('calcA'!$B$8&gt;0,INDEX('calcA'!BJ$10:BJ$54,'calcA'!$B$8),0)=1,8,IF(AND(E16="",IF('calcA'!$B$8&gt;0,INDEX('calcA'!BJ$60:BJ$104,'calcA'!$B$8),0)=1),9,IF(AND(E16&lt;&gt;"",IF('calcA'!$B$8&gt;0,INDEX('calcA'!BJ$60:BJ$104,'calcA'!$B$8),0)=1),10,IF(AND(E16="",'calcA'!BJ$5=1),11,12))))))))))))</f>
        <v/>
      </c>
      <c r="AD16">
        <f>IF(AND(F16="",'calcA'!CH$115=0),0,IF(AND(F16&lt;&gt;"",'calcA'!CH$4=0),1,IF(IF(F16="",0,IFERROR(INDEX('calcA'!CH$10:CH$54,MATCH(F16,'calcA'!$B$10:$B$54,0)),0))=1,2,IF(AND(F16&lt;&gt;"",COUNTIF($C$6:$H$29,F16)&gt;1),3,IF('calcA'!CH$4=0,4,IF(AND(F16&lt;&gt;"",'calcA'!CH$108=1),5,IF(AND(F16="",'calcA'!CH$108=1),6,IF(AND(F16&lt;&gt;"",F16=$J$5),7,IF(IF('calcA'!$B$8&gt;0,INDEX('calcA'!CH$10:CH$54,'calcA'!$B$8),0)=1,8,IF(AND(F16="",IF('calcA'!$B$8&gt;0,INDEX('calcA'!CH$60:CH$104,'calcA'!$B$8),0)=1),9,IF(AND(F16&lt;&gt;"",IF('calcA'!$B$8&gt;0,INDEX('calcA'!CH$60:CH$104,'calcA'!$B$8),0)=1),10,IF(AND(F16="",'calcA'!CH$5=1),11,12))))))))))))</f>
        <v/>
      </c>
      <c r="AE16">
        <f>IF(AND(G16="",'calcA'!DF$115=0),0,IF(AND(G16&lt;&gt;"",'calcA'!DF$4=0),1,IF(IF(G16="",0,IFERROR(INDEX('calcA'!DF$10:DF$54,MATCH(G16,'calcA'!$B$10:$B$54,0)),0))=1,2,IF(AND(G16&lt;&gt;"",COUNTIF($C$6:$H$29,G16)&gt;1),3,IF('calcA'!DF$4=0,4,IF(AND(G16&lt;&gt;"",'calcA'!DF$108=1),5,IF(AND(G16="",'calcA'!DF$108=1),6,IF(AND(G16&lt;&gt;"",G16=$J$5),7,IF(IF('calcA'!$B$8&gt;0,INDEX('calcA'!DF$10:DF$54,'calcA'!$B$8),0)=1,8,IF(AND(G16="",IF('calcA'!$B$8&gt;0,INDEX('calcA'!DF$60:DF$104,'calcA'!$B$8),0)=1),9,IF(AND(G16&lt;&gt;"",IF('calcA'!$B$8&gt;0,INDEX('calcA'!DF$60:DF$104,'calcA'!$B$8),0)=1),10,IF(AND(G16="",'calcA'!DF$5=1),11,12))))))))))))</f>
        <v/>
      </c>
      <c r="AF16">
        <f>IF(AND(H16="",'calcA'!ED$115=0),0,IF(AND(H16&lt;&gt;"",'calcA'!ED$4=0),1,IF(IF(H16="",0,IFERROR(INDEX('calcA'!ED$10:ED$54,MATCH(H16,'calcA'!$B$10:$B$54,0)),0))=1,2,IF(AND(H16&lt;&gt;"",COUNTIF($C$6:$H$29,H16)&gt;1),3,IF('calcA'!ED$4=0,4,IF(AND(H16&lt;&gt;"",'calcA'!ED$108=1),5,IF(AND(H16="",'calcA'!ED$108=1),6,IF(AND(H16&lt;&gt;"",H16=$J$5),7,IF(IF('calcA'!$B$8&gt;0,INDEX('calcA'!ED$10:ED$54,'calcA'!$B$8),0)=1,8,IF(AND(H16="",IF('calcA'!$B$8&gt;0,INDEX('calcA'!ED$60:ED$104,'calcA'!$B$8),0)=1),9,IF(AND(H16&lt;&gt;"",IF('calcA'!$B$8&gt;0,INDEX('calcA'!ED$60:ED$104,'calcA'!$B$8),0)=1),10,IF(AND(H16="",'calcA'!ED$5=1),11,12))))))))))))</f>
        <v/>
      </c>
    </row>
    <row r="17" ht="26" customHeight="1">
      <c r="B17" s="46">
        <f>'設定'!$I$22</f>
        <v/>
      </c>
      <c r="C17" s="27" t="n"/>
      <c r="D17" s="27" t="n"/>
      <c r="E17" s="27" t="n"/>
      <c r="F17" s="27" t="n"/>
      <c r="G17" s="27" t="n"/>
      <c r="H17" s="27" t="n"/>
      <c r="AA17">
        <f>IF(AND(C17="",'calcA'!O$115=0),0,IF(AND(C17&lt;&gt;"",'calcA'!O$4=0),1,IF(IF(C17="",0,IFERROR(INDEX('calcA'!O$10:O$54,MATCH(C17,'calcA'!$B$10:$B$54,0)),0))=1,2,IF(AND(C17&lt;&gt;"",COUNTIF($C$6:$H$29,C17)&gt;1),3,IF('calcA'!O$4=0,4,IF(AND(C17&lt;&gt;"",'calcA'!O$108=1),5,IF(AND(C17="",'calcA'!O$108=1),6,IF(AND(C17&lt;&gt;"",C17=$J$5),7,IF(IF('calcA'!$B$8&gt;0,INDEX('calcA'!O$10:O$54,'calcA'!$B$8),0)=1,8,IF(AND(C17="",IF('calcA'!$B$8&gt;0,INDEX('calcA'!O$60:O$104,'calcA'!$B$8),0)=1),9,IF(AND(C17&lt;&gt;"",IF('calcA'!$B$8&gt;0,INDEX('calcA'!O$60:O$104,'calcA'!$B$8),0)=1),10,IF(AND(C17="",'calcA'!O$5=1),11,12))))))))))))</f>
        <v/>
      </c>
      <c r="AB17">
        <f>IF(AND(D17="",'calcA'!AM$115=0),0,IF(AND(D17&lt;&gt;"",'calcA'!AM$4=0),1,IF(IF(D17="",0,IFERROR(INDEX('calcA'!AM$10:AM$54,MATCH(D17,'calcA'!$B$10:$B$54,0)),0))=1,2,IF(AND(D17&lt;&gt;"",COUNTIF($C$6:$H$29,D17)&gt;1),3,IF('calcA'!AM$4=0,4,IF(AND(D17&lt;&gt;"",'calcA'!AM$108=1),5,IF(AND(D17="",'calcA'!AM$108=1),6,IF(AND(D17&lt;&gt;"",D17=$J$5),7,IF(IF('calcA'!$B$8&gt;0,INDEX('calcA'!AM$10:AM$54,'calcA'!$B$8),0)=1,8,IF(AND(D17="",IF('calcA'!$B$8&gt;0,INDEX('calcA'!AM$60:AM$104,'calcA'!$B$8),0)=1),9,IF(AND(D17&lt;&gt;"",IF('calcA'!$B$8&gt;0,INDEX('calcA'!AM$60:AM$104,'calcA'!$B$8),0)=1),10,IF(AND(D17="",'calcA'!AM$5=1),11,12))))))))))))</f>
        <v/>
      </c>
      <c r="AC17">
        <f>IF(AND(E17="",'calcA'!BK$115=0),0,IF(AND(E17&lt;&gt;"",'calcA'!BK$4=0),1,IF(IF(E17="",0,IFERROR(INDEX('calcA'!BK$10:BK$54,MATCH(E17,'calcA'!$B$10:$B$54,0)),0))=1,2,IF(AND(E17&lt;&gt;"",COUNTIF($C$6:$H$29,E17)&gt;1),3,IF('calcA'!BK$4=0,4,IF(AND(E17&lt;&gt;"",'calcA'!BK$108=1),5,IF(AND(E17="",'calcA'!BK$108=1),6,IF(AND(E17&lt;&gt;"",E17=$J$5),7,IF(IF('calcA'!$B$8&gt;0,INDEX('calcA'!BK$10:BK$54,'calcA'!$B$8),0)=1,8,IF(AND(E17="",IF('calcA'!$B$8&gt;0,INDEX('calcA'!BK$60:BK$104,'calcA'!$B$8),0)=1),9,IF(AND(E17&lt;&gt;"",IF('calcA'!$B$8&gt;0,INDEX('calcA'!BK$60:BK$104,'calcA'!$B$8),0)=1),10,IF(AND(E17="",'calcA'!BK$5=1),11,12))))))))))))</f>
        <v/>
      </c>
      <c r="AD17">
        <f>IF(AND(F17="",'calcA'!CI$115=0),0,IF(AND(F17&lt;&gt;"",'calcA'!CI$4=0),1,IF(IF(F17="",0,IFERROR(INDEX('calcA'!CI$10:CI$54,MATCH(F17,'calcA'!$B$10:$B$54,0)),0))=1,2,IF(AND(F17&lt;&gt;"",COUNTIF($C$6:$H$29,F17)&gt;1),3,IF('calcA'!CI$4=0,4,IF(AND(F17&lt;&gt;"",'calcA'!CI$108=1),5,IF(AND(F17="",'calcA'!CI$108=1),6,IF(AND(F17&lt;&gt;"",F17=$J$5),7,IF(IF('calcA'!$B$8&gt;0,INDEX('calcA'!CI$10:CI$54,'calcA'!$B$8),0)=1,8,IF(AND(F17="",IF('calcA'!$B$8&gt;0,INDEX('calcA'!CI$60:CI$104,'calcA'!$B$8),0)=1),9,IF(AND(F17&lt;&gt;"",IF('calcA'!$B$8&gt;0,INDEX('calcA'!CI$60:CI$104,'calcA'!$B$8),0)=1),10,IF(AND(F17="",'calcA'!CI$5=1),11,12))))))))))))</f>
        <v/>
      </c>
      <c r="AE17">
        <f>IF(AND(G17="",'calcA'!DG$115=0),0,IF(AND(G17&lt;&gt;"",'calcA'!DG$4=0),1,IF(IF(G17="",0,IFERROR(INDEX('calcA'!DG$10:DG$54,MATCH(G17,'calcA'!$B$10:$B$54,0)),0))=1,2,IF(AND(G17&lt;&gt;"",COUNTIF($C$6:$H$29,G17)&gt;1),3,IF('calcA'!DG$4=0,4,IF(AND(G17&lt;&gt;"",'calcA'!DG$108=1),5,IF(AND(G17="",'calcA'!DG$108=1),6,IF(AND(G17&lt;&gt;"",G17=$J$5),7,IF(IF('calcA'!$B$8&gt;0,INDEX('calcA'!DG$10:DG$54,'calcA'!$B$8),0)=1,8,IF(AND(G17="",IF('calcA'!$B$8&gt;0,INDEX('calcA'!DG$60:DG$104,'calcA'!$B$8),0)=1),9,IF(AND(G17&lt;&gt;"",IF('calcA'!$B$8&gt;0,INDEX('calcA'!DG$60:DG$104,'calcA'!$B$8),0)=1),10,IF(AND(G17="",'calcA'!DG$5=1),11,12))))))))))))</f>
        <v/>
      </c>
      <c r="AF17">
        <f>IF(AND(H17="",'calcA'!EE$115=0),0,IF(AND(H17&lt;&gt;"",'calcA'!EE$4=0),1,IF(IF(H17="",0,IFERROR(INDEX('calcA'!EE$10:EE$54,MATCH(H17,'calcA'!$B$10:$B$54,0)),0))=1,2,IF(AND(H17&lt;&gt;"",COUNTIF($C$6:$H$29,H17)&gt;1),3,IF('calcA'!EE$4=0,4,IF(AND(H17&lt;&gt;"",'calcA'!EE$108=1),5,IF(AND(H17="",'calcA'!EE$108=1),6,IF(AND(H17&lt;&gt;"",H17=$J$5),7,IF(IF('calcA'!$B$8&gt;0,INDEX('calcA'!EE$10:EE$54,'calcA'!$B$8),0)=1,8,IF(AND(H17="",IF('calcA'!$B$8&gt;0,INDEX('calcA'!EE$60:EE$104,'calcA'!$B$8),0)=1),9,IF(AND(H17&lt;&gt;"",IF('calcA'!$B$8&gt;0,INDEX('calcA'!EE$60:EE$104,'calcA'!$B$8),0)=1),10,IF(AND(H17="",'calcA'!EE$5=1),11,12))))))))))))</f>
        <v/>
      </c>
    </row>
    <row r="18" ht="26" customHeight="1">
      <c r="B18" s="46">
        <f>'設定'!$I$23</f>
        <v/>
      </c>
      <c r="C18" s="27" t="n"/>
      <c r="D18" s="27" t="n"/>
      <c r="E18" s="27" t="n"/>
      <c r="F18" s="27" t="n"/>
      <c r="G18" s="27" t="n"/>
      <c r="H18" s="27" t="n"/>
      <c r="AA18">
        <f>IF(AND(C18="",'calcA'!P$115=0),0,IF(AND(C18&lt;&gt;"",'calcA'!P$4=0),1,IF(IF(C18="",0,IFERROR(INDEX('calcA'!P$10:P$54,MATCH(C18,'calcA'!$B$10:$B$54,0)),0))=1,2,IF(AND(C18&lt;&gt;"",COUNTIF($C$6:$H$29,C18)&gt;1),3,IF('calcA'!P$4=0,4,IF(AND(C18&lt;&gt;"",'calcA'!P$108=1),5,IF(AND(C18="",'calcA'!P$108=1),6,IF(AND(C18&lt;&gt;"",C18=$J$5),7,IF(IF('calcA'!$B$8&gt;0,INDEX('calcA'!P$10:P$54,'calcA'!$B$8),0)=1,8,IF(AND(C18="",IF('calcA'!$B$8&gt;0,INDEX('calcA'!P$60:P$104,'calcA'!$B$8),0)=1),9,IF(AND(C18&lt;&gt;"",IF('calcA'!$B$8&gt;0,INDEX('calcA'!P$60:P$104,'calcA'!$B$8),0)=1),10,IF(AND(C18="",'calcA'!P$5=1),11,12))))))))))))</f>
        <v/>
      </c>
      <c r="AB18">
        <f>IF(AND(D18="",'calcA'!AN$115=0),0,IF(AND(D18&lt;&gt;"",'calcA'!AN$4=0),1,IF(IF(D18="",0,IFERROR(INDEX('calcA'!AN$10:AN$54,MATCH(D18,'calcA'!$B$10:$B$54,0)),0))=1,2,IF(AND(D18&lt;&gt;"",COUNTIF($C$6:$H$29,D18)&gt;1),3,IF('calcA'!AN$4=0,4,IF(AND(D18&lt;&gt;"",'calcA'!AN$108=1),5,IF(AND(D18="",'calcA'!AN$108=1),6,IF(AND(D18&lt;&gt;"",D18=$J$5),7,IF(IF('calcA'!$B$8&gt;0,INDEX('calcA'!AN$10:AN$54,'calcA'!$B$8),0)=1,8,IF(AND(D18="",IF('calcA'!$B$8&gt;0,INDEX('calcA'!AN$60:AN$104,'calcA'!$B$8),0)=1),9,IF(AND(D18&lt;&gt;"",IF('calcA'!$B$8&gt;0,INDEX('calcA'!AN$60:AN$104,'calcA'!$B$8),0)=1),10,IF(AND(D18="",'calcA'!AN$5=1),11,12))))))))))))</f>
        <v/>
      </c>
      <c r="AC18">
        <f>IF(AND(E18="",'calcA'!BL$115=0),0,IF(AND(E18&lt;&gt;"",'calcA'!BL$4=0),1,IF(IF(E18="",0,IFERROR(INDEX('calcA'!BL$10:BL$54,MATCH(E18,'calcA'!$B$10:$B$54,0)),0))=1,2,IF(AND(E18&lt;&gt;"",COUNTIF($C$6:$H$29,E18)&gt;1),3,IF('calcA'!BL$4=0,4,IF(AND(E18&lt;&gt;"",'calcA'!BL$108=1),5,IF(AND(E18="",'calcA'!BL$108=1),6,IF(AND(E18&lt;&gt;"",E18=$J$5),7,IF(IF('calcA'!$B$8&gt;0,INDEX('calcA'!BL$10:BL$54,'calcA'!$B$8),0)=1,8,IF(AND(E18="",IF('calcA'!$B$8&gt;0,INDEX('calcA'!BL$60:BL$104,'calcA'!$B$8),0)=1),9,IF(AND(E18&lt;&gt;"",IF('calcA'!$B$8&gt;0,INDEX('calcA'!BL$60:BL$104,'calcA'!$B$8),0)=1),10,IF(AND(E18="",'calcA'!BL$5=1),11,12))))))))))))</f>
        <v/>
      </c>
      <c r="AD18">
        <f>IF(AND(F18="",'calcA'!CJ$115=0),0,IF(AND(F18&lt;&gt;"",'calcA'!CJ$4=0),1,IF(IF(F18="",0,IFERROR(INDEX('calcA'!CJ$10:CJ$54,MATCH(F18,'calcA'!$B$10:$B$54,0)),0))=1,2,IF(AND(F18&lt;&gt;"",COUNTIF($C$6:$H$29,F18)&gt;1),3,IF('calcA'!CJ$4=0,4,IF(AND(F18&lt;&gt;"",'calcA'!CJ$108=1),5,IF(AND(F18="",'calcA'!CJ$108=1),6,IF(AND(F18&lt;&gt;"",F18=$J$5),7,IF(IF('calcA'!$B$8&gt;0,INDEX('calcA'!CJ$10:CJ$54,'calcA'!$B$8),0)=1,8,IF(AND(F18="",IF('calcA'!$B$8&gt;0,INDEX('calcA'!CJ$60:CJ$104,'calcA'!$B$8),0)=1),9,IF(AND(F18&lt;&gt;"",IF('calcA'!$B$8&gt;0,INDEX('calcA'!CJ$60:CJ$104,'calcA'!$B$8),0)=1),10,IF(AND(F18="",'calcA'!CJ$5=1),11,12))))))))))))</f>
        <v/>
      </c>
      <c r="AE18">
        <f>IF(AND(G18="",'calcA'!DH$115=0),0,IF(AND(G18&lt;&gt;"",'calcA'!DH$4=0),1,IF(IF(G18="",0,IFERROR(INDEX('calcA'!DH$10:DH$54,MATCH(G18,'calcA'!$B$10:$B$54,0)),0))=1,2,IF(AND(G18&lt;&gt;"",COUNTIF($C$6:$H$29,G18)&gt;1),3,IF('calcA'!DH$4=0,4,IF(AND(G18&lt;&gt;"",'calcA'!DH$108=1),5,IF(AND(G18="",'calcA'!DH$108=1),6,IF(AND(G18&lt;&gt;"",G18=$J$5),7,IF(IF('calcA'!$B$8&gt;0,INDEX('calcA'!DH$10:DH$54,'calcA'!$B$8),0)=1,8,IF(AND(G18="",IF('calcA'!$B$8&gt;0,INDEX('calcA'!DH$60:DH$104,'calcA'!$B$8),0)=1),9,IF(AND(G18&lt;&gt;"",IF('calcA'!$B$8&gt;0,INDEX('calcA'!DH$60:DH$104,'calcA'!$B$8),0)=1),10,IF(AND(G18="",'calcA'!DH$5=1),11,12))))))))))))</f>
        <v/>
      </c>
      <c r="AF18">
        <f>IF(AND(H18="",'calcA'!EF$115=0),0,IF(AND(H18&lt;&gt;"",'calcA'!EF$4=0),1,IF(IF(H18="",0,IFERROR(INDEX('calcA'!EF$10:EF$54,MATCH(H18,'calcA'!$B$10:$B$54,0)),0))=1,2,IF(AND(H18&lt;&gt;"",COUNTIF($C$6:$H$29,H18)&gt;1),3,IF('calcA'!EF$4=0,4,IF(AND(H18&lt;&gt;"",'calcA'!EF$108=1),5,IF(AND(H18="",'calcA'!EF$108=1),6,IF(AND(H18&lt;&gt;"",H18=$J$5),7,IF(IF('calcA'!$B$8&gt;0,INDEX('calcA'!EF$10:EF$54,'calcA'!$B$8),0)=1,8,IF(AND(H18="",IF('calcA'!$B$8&gt;0,INDEX('calcA'!EF$60:EF$104,'calcA'!$B$8),0)=1),9,IF(AND(H18&lt;&gt;"",IF('calcA'!$B$8&gt;0,INDEX('calcA'!EF$60:EF$104,'calcA'!$B$8),0)=1),10,IF(AND(H18="",'calcA'!EF$5=1),11,12))))))))))))</f>
        <v/>
      </c>
    </row>
    <row r="19" ht="26" customHeight="1">
      <c r="B19" s="46">
        <f>'設定'!$I$24</f>
        <v/>
      </c>
      <c r="C19" s="27" t="n"/>
      <c r="D19" s="27" t="n"/>
      <c r="E19" s="27" t="n"/>
      <c r="F19" s="27" t="n"/>
      <c r="G19" s="27" t="n"/>
      <c r="H19" s="27" t="n"/>
      <c r="AA19">
        <f>IF(AND(C19="",'calcA'!Q$115=0),0,IF(AND(C19&lt;&gt;"",'calcA'!Q$4=0),1,IF(IF(C19="",0,IFERROR(INDEX('calcA'!Q$10:Q$54,MATCH(C19,'calcA'!$B$10:$B$54,0)),0))=1,2,IF(AND(C19&lt;&gt;"",COUNTIF($C$6:$H$29,C19)&gt;1),3,IF('calcA'!Q$4=0,4,IF(AND(C19&lt;&gt;"",'calcA'!Q$108=1),5,IF(AND(C19="",'calcA'!Q$108=1),6,IF(AND(C19&lt;&gt;"",C19=$J$5),7,IF(IF('calcA'!$B$8&gt;0,INDEX('calcA'!Q$10:Q$54,'calcA'!$B$8),0)=1,8,IF(AND(C19="",IF('calcA'!$B$8&gt;0,INDEX('calcA'!Q$60:Q$104,'calcA'!$B$8),0)=1),9,IF(AND(C19&lt;&gt;"",IF('calcA'!$B$8&gt;0,INDEX('calcA'!Q$60:Q$104,'calcA'!$B$8),0)=1),10,IF(AND(C19="",'calcA'!Q$5=1),11,12))))))))))))</f>
        <v/>
      </c>
      <c r="AB19">
        <f>IF(AND(D19="",'calcA'!AO$115=0),0,IF(AND(D19&lt;&gt;"",'calcA'!AO$4=0),1,IF(IF(D19="",0,IFERROR(INDEX('calcA'!AO$10:AO$54,MATCH(D19,'calcA'!$B$10:$B$54,0)),0))=1,2,IF(AND(D19&lt;&gt;"",COUNTIF($C$6:$H$29,D19)&gt;1),3,IF('calcA'!AO$4=0,4,IF(AND(D19&lt;&gt;"",'calcA'!AO$108=1),5,IF(AND(D19="",'calcA'!AO$108=1),6,IF(AND(D19&lt;&gt;"",D19=$J$5),7,IF(IF('calcA'!$B$8&gt;0,INDEX('calcA'!AO$10:AO$54,'calcA'!$B$8),0)=1,8,IF(AND(D19="",IF('calcA'!$B$8&gt;0,INDEX('calcA'!AO$60:AO$104,'calcA'!$B$8),0)=1),9,IF(AND(D19&lt;&gt;"",IF('calcA'!$B$8&gt;0,INDEX('calcA'!AO$60:AO$104,'calcA'!$B$8),0)=1),10,IF(AND(D19="",'calcA'!AO$5=1),11,12))))))))))))</f>
        <v/>
      </c>
      <c r="AC19">
        <f>IF(AND(E19="",'calcA'!BM$115=0),0,IF(AND(E19&lt;&gt;"",'calcA'!BM$4=0),1,IF(IF(E19="",0,IFERROR(INDEX('calcA'!BM$10:BM$54,MATCH(E19,'calcA'!$B$10:$B$54,0)),0))=1,2,IF(AND(E19&lt;&gt;"",COUNTIF($C$6:$H$29,E19)&gt;1),3,IF('calcA'!BM$4=0,4,IF(AND(E19&lt;&gt;"",'calcA'!BM$108=1),5,IF(AND(E19="",'calcA'!BM$108=1),6,IF(AND(E19&lt;&gt;"",E19=$J$5),7,IF(IF('calcA'!$B$8&gt;0,INDEX('calcA'!BM$10:BM$54,'calcA'!$B$8),0)=1,8,IF(AND(E19="",IF('calcA'!$B$8&gt;0,INDEX('calcA'!BM$60:BM$104,'calcA'!$B$8),0)=1),9,IF(AND(E19&lt;&gt;"",IF('calcA'!$B$8&gt;0,INDEX('calcA'!BM$60:BM$104,'calcA'!$B$8),0)=1),10,IF(AND(E19="",'calcA'!BM$5=1),11,12))))))))))))</f>
        <v/>
      </c>
      <c r="AD19">
        <f>IF(AND(F19="",'calcA'!CK$115=0),0,IF(AND(F19&lt;&gt;"",'calcA'!CK$4=0),1,IF(IF(F19="",0,IFERROR(INDEX('calcA'!CK$10:CK$54,MATCH(F19,'calcA'!$B$10:$B$54,0)),0))=1,2,IF(AND(F19&lt;&gt;"",COUNTIF($C$6:$H$29,F19)&gt;1),3,IF('calcA'!CK$4=0,4,IF(AND(F19&lt;&gt;"",'calcA'!CK$108=1),5,IF(AND(F19="",'calcA'!CK$108=1),6,IF(AND(F19&lt;&gt;"",F19=$J$5),7,IF(IF('calcA'!$B$8&gt;0,INDEX('calcA'!CK$10:CK$54,'calcA'!$B$8),0)=1,8,IF(AND(F19="",IF('calcA'!$B$8&gt;0,INDEX('calcA'!CK$60:CK$104,'calcA'!$B$8),0)=1),9,IF(AND(F19&lt;&gt;"",IF('calcA'!$B$8&gt;0,INDEX('calcA'!CK$60:CK$104,'calcA'!$B$8),0)=1),10,IF(AND(F19="",'calcA'!CK$5=1),11,12))))))))))))</f>
        <v/>
      </c>
      <c r="AE19">
        <f>IF(AND(G19="",'calcA'!DI$115=0),0,IF(AND(G19&lt;&gt;"",'calcA'!DI$4=0),1,IF(IF(G19="",0,IFERROR(INDEX('calcA'!DI$10:DI$54,MATCH(G19,'calcA'!$B$10:$B$54,0)),0))=1,2,IF(AND(G19&lt;&gt;"",COUNTIF($C$6:$H$29,G19)&gt;1),3,IF('calcA'!DI$4=0,4,IF(AND(G19&lt;&gt;"",'calcA'!DI$108=1),5,IF(AND(G19="",'calcA'!DI$108=1),6,IF(AND(G19&lt;&gt;"",G19=$J$5),7,IF(IF('calcA'!$B$8&gt;0,INDEX('calcA'!DI$10:DI$54,'calcA'!$B$8),0)=1,8,IF(AND(G19="",IF('calcA'!$B$8&gt;0,INDEX('calcA'!DI$60:DI$104,'calcA'!$B$8),0)=1),9,IF(AND(G19&lt;&gt;"",IF('calcA'!$B$8&gt;0,INDEX('calcA'!DI$60:DI$104,'calcA'!$B$8),0)=1),10,IF(AND(G19="",'calcA'!DI$5=1),11,12))))))))))))</f>
        <v/>
      </c>
      <c r="AF19">
        <f>IF(AND(H19="",'calcA'!EG$115=0),0,IF(AND(H19&lt;&gt;"",'calcA'!EG$4=0),1,IF(IF(H19="",0,IFERROR(INDEX('calcA'!EG$10:EG$54,MATCH(H19,'calcA'!$B$10:$B$54,0)),0))=1,2,IF(AND(H19&lt;&gt;"",COUNTIF($C$6:$H$29,H19)&gt;1),3,IF('calcA'!EG$4=0,4,IF(AND(H19&lt;&gt;"",'calcA'!EG$108=1),5,IF(AND(H19="",'calcA'!EG$108=1),6,IF(AND(H19&lt;&gt;"",H19=$J$5),7,IF(IF('calcA'!$B$8&gt;0,INDEX('calcA'!EG$10:EG$54,'calcA'!$B$8),0)=1,8,IF(AND(H19="",IF('calcA'!$B$8&gt;0,INDEX('calcA'!EG$60:EG$104,'calcA'!$B$8),0)=1),9,IF(AND(H19&lt;&gt;"",IF('calcA'!$B$8&gt;0,INDEX('calcA'!EG$60:EG$104,'calcA'!$B$8),0)=1),10,IF(AND(H19="",'calcA'!EG$5=1),11,12))))))))))))</f>
        <v/>
      </c>
    </row>
    <row r="20" ht="26" customHeight="1">
      <c r="B20" s="46">
        <f>'設定'!$I$25</f>
        <v/>
      </c>
      <c r="C20" s="27" t="n"/>
      <c r="D20" s="27" t="n"/>
      <c r="E20" s="27" t="n"/>
      <c r="F20" s="27" t="n"/>
      <c r="G20" s="27" t="n"/>
      <c r="H20" s="27" t="n"/>
      <c r="AA20">
        <f>IF(AND(C20="",'calcA'!R$115=0),0,IF(AND(C20&lt;&gt;"",'calcA'!R$4=0),1,IF(IF(C20="",0,IFERROR(INDEX('calcA'!R$10:R$54,MATCH(C20,'calcA'!$B$10:$B$54,0)),0))=1,2,IF(AND(C20&lt;&gt;"",COUNTIF($C$6:$H$29,C20)&gt;1),3,IF('calcA'!R$4=0,4,IF(AND(C20&lt;&gt;"",'calcA'!R$108=1),5,IF(AND(C20="",'calcA'!R$108=1),6,IF(AND(C20&lt;&gt;"",C20=$J$5),7,IF(IF('calcA'!$B$8&gt;0,INDEX('calcA'!R$10:R$54,'calcA'!$B$8),0)=1,8,IF(AND(C20="",IF('calcA'!$B$8&gt;0,INDEX('calcA'!R$60:R$104,'calcA'!$B$8),0)=1),9,IF(AND(C20&lt;&gt;"",IF('calcA'!$B$8&gt;0,INDEX('calcA'!R$60:R$104,'calcA'!$B$8),0)=1),10,IF(AND(C20="",'calcA'!R$5=1),11,12))))))))))))</f>
        <v/>
      </c>
      <c r="AB20">
        <f>IF(AND(D20="",'calcA'!AP$115=0),0,IF(AND(D20&lt;&gt;"",'calcA'!AP$4=0),1,IF(IF(D20="",0,IFERROR(INDEX('calcA'!AP$10:AP$54,MATCH(D20,'calcA'!$B$10:$B$54,0)),0))=1,2,IF(AND(D20&lt;&gt;"",COUNTIF($C$6:$H$29,D20)&gt;1),3,IF('calcA'!AP$4=0,4,IF(AND(D20&lt;&gt;"",'calcA'!AP$108=1),5,IF(AND(D20="",'calcA'!AP$108=1),6,IF(AND(D20&lt;&gt;"",D20=$J$5),7,IF(IF('calcA'!$B$8&gt;0,INDEX('calcA'!AP$10:AP$54,'calcA'!$B$8),0)=1,8,IF(AND(D20="",IF('calcA'!$B$8&gt;0,INDEX('calcA'!AP$60:AP$104,'calcA'!$B$8),0)=1),9,IF(AND(D20&lt;&gt;"",IF('calcA'!$B$8&gt;0,INDEX('calcA'!AP$60:AP$104,'calcA'!$B$8),0)=1),10,IF(AND(D20="",'calcA'!AP$5=1),11,12))))))))))))</f>
        <v/>
      </c>
      <c r="AC20">
        <f>IF(AND(E20="",'calcA'!BN$115=0),0,IF(AND(E20&lt;&gt;"",'calcA'!BN$4=0),1,IF(IF(E20="",0,IFERROR(INDEX('calcA'!BN$10:BN$54,MATCH(E20,'calcA'!$B$10:$B$54,0)),0))=1,2,IF(AND(E20&lt;&gt;"",COUNTIF($C$6:$H$29,E20)&gt;1),3,IF('calcA'!BN$4=0,4,IF(AND(E20&lt;&gt;"",'calcA'!BN$108=1),5,IF(AND(E20="",'calcA'!BN$108=1),6,IF(AND(E20&lt;&gt;"",E20=$J$5),7,IF(IF('calcA'!$B$8&gt;0,INDEX('calcA'!BN$10:BN$54,'calcA'!$B$8),0)=1,8,IF(AND(E20="",IF('calcA'!$B$8&gt;0,INDEX('calcA'!BN$60:BN$104,'calcA'!$B$8),0)=1),9,IF(AND(E20&lt;&gt;"",IF('calcA'!$B$8&gt;0,INDEX('calcA'!BN$60:BN$104,'calcA'!$B$8),0)=1),10,IF(AND(E20="",'calcA'!BN$5=1),11,12))))))))))))</f>
        <v/>
      </c>
      <c r="AD20">
        <f>IF(AND(F20="",'calcA'!CL$115=0),0,IF(AND(F20&lt;&gt;"",'calcA'!CL$4=0),1,IF(IF(F20="",0,IFERROR(INDEX('calcA'!CL$10:CL$54,MATCH(F20,'calcA'!$B$10:$B$54,0)),0))=1,2,IF(AND(F20&lt;&gt;"",COUNTIF($C$6:$H$29,F20)&gt;1),3,IF('calcA'!CL$4=0,4,IF(AND(F20&lt;&gt;"",'calcA'!CL$108=1),5,IF(AND(F20="",'calcA'!CL$108=1),6,IF(AND(F20&lt;&gt;"",F20=$J$5),7,IF(IF('calcA'!$B$8&gt;0,INDEX('calcA'!CL$10:CL$54,'calcA'!$B$8),0)=1,8,IF(AND(F20="",IF('calcA'!$B$8&gt;0,INDEX('calcA'!CL$60:CL$104,'calcA'!$B$8),0)=1),9,IF(AND(F20&lt;&gt;"",IF('calcA'!$B$8&gt;0,INDEX('calcA'!CL$60:CL$104,'calcA'!$B$8),0)=1),10,IF(AND(F20="",'calcA'!CL$5=1),11,12))))))))))))</f>
        <v/>
      </c>
      <c r="AE20">
        <f>IF(AND(G20="",'calcA'!DJ$115=0),0,IF(AND(G20&lt;&gt;"",'calcA'!DJ$4=0),1,IF(IF(G20="",0,IFERROR(INDEX('calcA'!DJ$10:DJ$54,MATCH(G20,'calcA'!$B$10:$B$54,0)),0))=1,2,IF(AND(G20&lt;&gt;"",COUNTIF($C$6:$H$29,G20)&gt;1),3,IF('calcA'!DJ$4=0,4,IF(AND(G20&lt;&gt;"",'calcA'!DJ$108=1),5,IF(AND(G20="",'calcA'!DJ$108=1),6,IF(AND(G20&lt;&gt;"",G20=$J$5),7,IF(IF('calcA'!$B$8&gt;0,INDEX('calcA'!DJ$10:DJ$54,'calcA'!$B$8),0)=1,8,IF(AND(G20="",IF('calcA'!$B$8&gt;0,INDEX('calcA'!DJ$60:DJ$104,'calcA'!$B$8),0)=1),9,IF(AND(G20&lt;&gt;"",IF('calcA'!$B$8&gt;0,INDEX('calcA'!DJ$60:DJ$104,'calcA'!$B$8),0)=1),10,IF(AND(G20="",'calcA'!DJ$5=1),11,12))))))))))))</f>
        <v/>
      </c>
      <c r="AF20">
        <f>IF(AND(H20="",'calcA'!EH$115=0),0,IF(AND(H20&lt;&gt;"",'calcA'!EH$4=0),1,IF(IF(H20="",0,IFERROR(INDEX('calcA'!EH$10:EH$54,MATCH(H20,'calcA'!$B$10:$B$54,0)),0))=1,2,IF(AND(H20&lt;&gt;"",COUNTIF($C$6:$H$29,H20)&gt;1),3,IF('calcA'!EH$4=0,4,IF(AND(H20&lt;&gt;"",'calcA'!EH$108=1),5,IF(AND(H20="",'calcA'!EH$108=1),6,IF(AND(H20&lt;&gt;"",H20=$J$5),7,IF(IF('calcA'!$B$8&gt;0,INDEX('calcA'!EH$10:EH$54,'calcA'!$B$8),0)=1,8,IF(AND(H20="",IF('calcA'!$B$8&gt;0,INDEX('calcA'!EH$60:EH$104,'calcA'!$B$8),0)=1),9,IF(AND(H20&lt;&gt;"",IF('calcA'!$B$8&gt;0,INDEX('calcA'!EH$60:EH$104,'calcA'!$B$8),0)=1),10,IF(AND(H20="",'calcA'!EH$5=1),11,12))))))))))))</f>
        <v/>
      </c>
    </row>
    <row r="21" ht="26" customHeight="1">
      <c r="B21" s="46">
        <f>'設定'!$I$26</f>
        <v/>
      </c>
      <c r="C21" s="27" t="n"/>
      <c r="D21" s="27" t="n"/>
      <c r="E21" s="27" t="n"/>
      <c r="F21" s="27" t="n"/>
      <c r="G21" s="27" t="n"/>
      <c r="H21" s="27" t="n"/>
      <c r="AA21">
        <f>IF(AND(C21="",'calcA'!S$115=0),0,IF(AND(C21&lt;&gt;"",'calcA'!S$4=0),1,IF(IF(C21="",0,IFERROR(INDEX('calcA'!S$10:S$54,MATCH(C21,'calcA'!$B$10:$B$54,0)),0))=1,2,IF(AND(C21&lt;&gt;"",COUNTIF($C$6:$H$29,C21)&gt;1),3,IF('calcA'!S$4=0,4,IF(AND(C21&lt;&gt;"",'calcA'!S$108=1),5,IF(AND(C21="",'calcA'!S$108=1),6,IF(AND(C21&lt;&gt;"",C21=$J$5),7,IF(IF('calcA'!$B$8&gt;0,INDEX('calcA'!S$10:S$54,'calcA'!$B$8),0)=1,8,IF(AND(C21="",IF('calcA'!$B$8&gt;0,INDEX('calcA'!S$60:S$104,'calcA'!$B$8),0)=1),9,IF(AND(C21&lt;&gt;"",IF('calcA'!$B$8&gt;0,INDEX('calcA'!S$60:S$104,'calcA'!$B$8),0)=1),10,IF(AND(C21="",'calcA'!S$5=1),11,12))))))))))))</f>
        <v/>
      </c>
      <c r="AB21">
        <f>IF(AND(D21="",'calcA'!AQ$115=0),0,IF(AND(D21&lt;&gt;"",'calcA'!AQ$4=0),1,IF(IF(D21="",0,IFERROR(INDEX('calcA'!AQ$10:AQ$54,MATCH(D21,'calcA'!$B$10:$B$54,0)),0))=1,2,IF(AND(D21&lt;&gt;"",COUNTIF($C$6:$H$29,D21)&gt;1),3,IF('calcA'!AQ$4=0,4,IF(AND(D21&lt;&gt;"",'calcA'!AQ$108=1),5,IF(AND(D21="",'calcA'!AQ$108=1),6,IF(AND(D21&lt;&gt;"",D21=$J$5),7,IF(IF('calcA'!$B$8&gt;0,INDEX('calcA'!AQ$10:AQ$54,'calcA'!$B$8),0)=1,8,IF(AND(D21="",IF('calcA'!$B$8&gt;0,INDEX('calcA'!AQ$60:AQ$104,'calcA'!$B$8),0)=1),9,IF(AND(D21&lt;&gt;"",IF('calcA'!$B$8&gt;0,INDEX('calcA'!AQ$60:AQ$104,'calcA'!$B$8),0)=1),10,IF(AND(D21="",'calcA'!AQ$5=1),11,12))))))))))))</f>
        <v/>
      </c>
      <c r="AC21">
        <f>IF(AND(E21="",'calcA'!BO$115=0),0,IF(AND(E21&lt;&gt;"",'calcA'!BO$4=0),1,IF(IF(E21="",0,IFERROR(INDEX('calcA'!BO$10:BO$54,MATCH(E21,'calcA'!$B$10:$B$54,0)),0))=1,2,IF(AND(E21&lt;&gt;"",COUNTIF($C$6:$H$29,E21)&gt;1),3,IF('calcA'!BO$4=0,4,IF(AND(E21&lt;&gt;"",'calcA'!BO$108=1),5,IF(AND(E21="",'calcA'!BO$108=1),6,IF(AND(E21&lt;&gt;"",E21=$J$5),7,IF(IF('calcA'!$B$8&gt;0,INDEX('calcA'!BO$10:BO$54,'calcA'!$B$8),0)=1,8,IF(AND(E21="",IF('calcA'!$B$8&gt;0,INDEX('calcA'!BO$60:BO$104,'calcA'!$B$8),0)=1),9,IF(AND(E21&lt;&gt;"",IF('calcA'!$B$8&gt;0,INDEX('calcA'!BO$60:BO$104,'calcA'!$B$8),0)=1),10,IF(AND(E21="",'calcA'!BO$5=1),11,12))))))))))))</f>
        <v/>
      </c>
      <c r="AD21">
        <f>IF(AND(F21="",'calcA'!CM$115=0),0,IF(AND(F21&lt;&gt;"",'calcA'!CM$4=0),1,IF(IF(F21="",0,IFERROR(INDEX('calcA'!CM$10:CM$54,MATCH(F21,'calcA'!$B$10:$B$54,0)),0))=1,2,IF(AND(F21&lt;&gt;"",COUNTIF($C$6:$H$29,F21)&gt;1),3,IF('calcA'!CM$4=0,4,IF(AND(F21&lt;&gt;"",'calcA'!CM$108=1),5,IF(AND(F21="",'calcA'!CM$108=1),6,IF(AND(F21&lt;&gt;"",F21=$J$5),7,IF(IF('calcA'!$B$8&gt;0,INDEX('calcA'!CM$10:CM$54,'calcA'!$B$8),0)=1,8,IF(AND(F21="",IF('calcA'!$B$8&gt;0,INDEX('calcA'!CM$60:CM$104,'calcA'!$B$8),0)=1),9,IF(AND(F21&lt;&gt;"",IF('calcA'!$B$8&gt;0,INDEX('calcA'!CM$60:CM$104,'calcA'!$B$8),0)=1),10,IF(AND(F21="",'calcA'!CM$5=1),11,12))))))))))))</f>
        <v/>
      </c>
      <c r="AE21">
        <f>IF(AND(G21="",'calcA'!DK$115=0),0,IF(AND(G21&lt;&gt;"",'calcA'!DK$4=0),1,IF(IF(G21="",0,IFERROR(INDEX('calcA'!DK$10:DK$54,MATCH(G21,'calcA'!$B$10:$B$54,0)),0))=1,2,IF(AND(G21&lt;&gt;"",COUNTIF($C$6:$H$29,G21)&gt;1),3,IF('calcA'!DK$4=0,4,IF(AND(G21&lt;&gt;"",'calcA'!DK$108=1),5,IF(AND(G21="",'calcA'!DK$108=1),6,IF(AND(G21&lt;&gt;"",G21=$J$5),7,IF(IF('calcA'!$B$8&gt;0,INDEX('calcA'!DK$10:DK$54,'calcA'!$B$8),0)=1,8,IF(AND(G21="",IF('calcA'!$B$8&gt;0,INDEX('calcA'!DK$60:DK$104,'calcA'!$B$8),0)=1),9,IF(AND(G21&lt;&gt;"",IF('calcA'!$B$8&gt;0,INDEX('calcA'!DK$60:DK$104,'calcA'!$B$8),0)=1),10,IF(AND(G21="",'calcA'!DK$5=1),11,12))))))))))))</f>
        <v/>
      </c>
      <c r="AF21">
        <f>IF(AND(H21="",'calcA'!EI$115=0),0,IF(AND(H21&lt;&gt;"",'calcA'!EI$4=0),1,IF(IF(H21="",0,IFERROR(INDEX('calcA'!EI$10:EI$54,MATCH(H21,'calcA'!$B$10:$B$54,0)),0))=1,2,IF(AND(H21&lt;&gt;"",COUNTIF($C$6:$H$29,H21)&gt;1),3,IF('calcA'!EI$4=0,4,IF(AND(H21&lt;&gt;"",'calcA'!EI$108=1),5,IF(AND(H21="",'calcA'!EI$108=1),6,IF(AND(H21&lt;&gt;"",H21=$J$5),7,IF(IF('calcA'!$B$8&gt;0,INDEX('calcA'!EI$10:EI$54,'calcA'!$B$8),0)=1,8,IF(AND(H21="",IF('calcA'!$B$8&gt;0,INDEX('calcA'!EI$60:EI$104,'calcA'!$B$8),0)=1),9,IF(AND(H21&lt;&gt;"",IF('calcA'!$B$8&gt;0,INDEX('calcA'!EI$60:EI$104,'calcA'!$B$8),0)=1),10,IF(AND(H21="",'calcA'!EI$5=1),11,12))))))))))))</f>
        <v/>
      </c>
    </row>
    <row r="22" ht="26" customHeight="1">
      <c r="B22" s="46">
        <f>'設定'!$I$27</f>
        <v/>
      </c>
      <c r="C22" s="27" t="n"/>
      <c r="D22" s="27" t="n"/>
      <c r="E22" s="27" t="n"/>
      <c r="F22" s="27" t="n"/>
      <c r="G22" s="27" t="n"/>
      <c r="H22" s="27" t="n"/>
      <c r="AA22">
        <f>IF(AND(C22="",'calcA'!T$115=0),0,IF(AND(C22&lt;&gt;"",'calcA'!T$4=0),1,IF(IF(C22="",0,IFERROR(INDEX('calcA'!T$10:T$54,MATCH(C22,'calcA'!$B$10:$B$54,0)),0))=1,2,IF(AND(C22&lt;&gt;"",COUNTIF($C$6:$H$29,C22)&gt;1),3,IF('calcA'!T$4=0,4,IF(AND(C22&lt;&gt;"",'calcA'!T$108=1),5,IF(AND(C22="",'calcA'!T$108=1),6,IF(AND(C22&lt;&gt;"",C22=$J$5),7,IF(IF('calcA'!$B$8&gt;0,INDEX('calcA'!T$10:T$54,'calcA'!$B$8),0)=1,8,IF(AND(C22="",IF('calcA'!$B$8&gt;0,INDEX('calcA'!T$60:T$104,'calcA'!$B$8),0)=1),9,IF(AND(C22&lt;&gt;"",IF('calcA'!$B$8&gt;0,INDEX('calcA'!T$60:T$104,'calcA'!$B$8),0)=1),10,IF(AND(C22="",'calcA'!T$5=1),11,12))))))))))))</f>
        <v/>
      </c>
      <c r="AB22">
        <f>IF(AND(D22="",'calcA'!AR$115=0),0,IF(AND(D22&lt;&gt;"",'calcA'!AR$4=0),1,IF(IF(D22="",0,IFERROR(INDEX('calcA'!AR$10:AR$54,MATCH(D22,'calcA'!$B$10:$B$54,0)),0))=1,2,IF(AND(D22&lt;&gt;"",COUNTIF($C$6:$H$29,D22)&gt;1),3,IF('calcA'!AR$4=0,4,IF(AND(D22&lt;&gt;"",'calcA'!AR$108=1),5,IF(AND(D22="",'calcA'!AR$108=1),6,IF(AND(D22&lt;&gt;"",D22=$J$5),7,IF(IF('calcA'!$B$8&gt;0,INDEX('calcA'!AR$10:AR$54,'calcA'!$B$8),0)=1,8,IF(AND(D22="",IF('calcA'!$B$8&gt;0,INDEX('calcA'!AR$60:AR$104,'calcA'!$B$8),0)=1),9,IF(AND(D22&lt;&gt;"",IF('calcA'!$B$8&gt;0,INDEX('calcA'!AR$60:AR$104,'calcA'!$B$8),0)=1),10,IF(AND(D22="",'calcA'!AR$5=1),11,12))))))))))))</f>
        <v/>
      </c>
      <c r="AC22">
        <f>IF(AND(E22="",'calcA'!BP$115=0),0,IF(AND(E22&lt;&gt;"",'calcA'!BP$4=0),1,IF(IF(E22="",0,IFERROR(INDEX('calcA'!BP$10:BP$54,MATCH(E22,'calcA'!$B$10:$B$54,0)),0))=1,2,IF(AND(E22&lt;&gt;"",COUNTIF($C$6:$H$29,E22)&gt;1),3,IF('calcA'!BP$4=0,4,IF(AND(E22&lt;&gt;"",'calcA'!BP$108=1),5,IF(AND(E22="",'calcA'!BP$108=1),6,IF(AND(E22&lt;&gt;"",E22=$J$5),7,IF(IF('calcA'!$B$8&gt;0,INDEX('calcA'!BP$10:BP$54,'calcA'!$B$8),0)=1,8,IF(AND(E22="",IF('calcA'!$B$8&gt;0,INDEX('calcA'!BP$60:BP$104,'calcA'!$B$8),0)=1),9,IF(AND(E22&lt;&gt;"",IF('calcA'!$B$8&gt;0,INDEX('calcA'!BP$60:BP$104,'calcA'!$B$8),0)=1),10,IF(AND(E22="",'calcA'!BP$5=1),11,12))))))))))))</f>
        <v/>
      </c>
      <c r="AD22">
        <f>IF(AND(F22="",'calcA'!CN$115=0),0,IF(AND(F22&lt;&gt;"",'calcA'!CN$4=0),1,IF(IF(F22="",0,IFERROR(INDEX('calcA'!CN$10:CN$54,MATCH(F22,'calcA'!$B$10:$B$54,0)),0))=1,2,IF(AND(F22&lt;&gt;"",COUNTIF($C$6:$H$29,F22)&gt;1),3,IF('calcA'!CN$4=0,4,IF(AND(F22&lt;&gt;"",'calcA'!CN$108=1),5,IF(AND(F22="",'calcA'!CN$108=1),6,IF(AND(F22&lt;&gt;"",F22=$J$5),7,IF(IF('calcA'!$B$8&gt;0,INDEX('calcA'!CN$10:CN$54,'calcA'!$B$8),0)=1,8,IF(AND(F22="",IF('calcA'!$B$8&gt;0,INDEX('calcA'!CN$60:CN$104,'calcA'!$B$8),0)=1),9,IF(AND(F22&lt;&gt;"",IF('calcA'!$B$8&gt;0,INDEX('calcA'!CN$60:CN$104,'calcA'!$B$8),0)=1),10,IF(AND(F22="",'calcA'!CN$5=1),11,12))))))))))))</f>
        <v/>
      </c>
      <c r="AE22">
        <f>IF(AND(G22="",'calcA'!DL$115=0),0,IF(AND(G22&lt;&gt;"",'calcA'!DL$4=0),1,IF(IF(G22="",0,IFERROR(INDEX('calcA'!DL$10:DL$54,MATCH(G22,'calcA'!$B$10:$B$54,0)),0))=1,2,IF(AND(G22&lt;&gt;"",COUNTIF($C$6:$H$29,G22)&gt;1),3,IF('calcA'!DL$4=0,4,IF(AND(G22&lt;&gt;"",'calcA'!DL$108=1),5,IF(AND(G22="",'calcA'!DL$108=1),6,IF(AND(G22&lt;&gt;"",G22=$J$5),7,IF(IF('calcA'!$B$8&gt;0,INDEX('calcA'!DL$10:DL$54,'calcA'!$B$8),0)=1,8,IF(AND(G22="",IF('calcA'!$B$8&gt;0,INDEX('calcA'!DL$60:DL$104,'calcA'!$B$8),0)=1),9,IF(AND(G22&lt;&gt;"",IF('calcA'!$B$8&gt;0,INDEX('calcA'!DL$60:DL$104,'calcA'!$B$8),0)=1),10,IF(AND(G22="",'calcA'!DL$5=1),11,12))))))))))))</f>
        <v/>
      </c>
      <c r="AF22">
        <f>IF(AND(H22="",'calcA'!EJ$115=0),0,IF(AND(H22&lt;&gt;"",'calcA'!EJ$4=0),1,IF(IF(H22="",0,IFERROR(INDEX('calcA'!EJ$10:EJ$54,MATCH(H22,'calcA'!$B$10:$B$54,0)),0))=1,2,IF(AND(H22&lt;&gt;"",COUNTIF($C$6:$H$29,H22)&gt;1),3,IF('calcA'!EJ$4=0,4,IF(AND(H22&lt;&gt;"",'calcA'!EJ$108=1),5,IF(AND(H22="",'calcA'!EJ$108=1),6,IF(AND(H22&lt;&gt;"",H22=$J$5),7,IF(IF('calcA'!$B$8&gt;0,INDEX('calcA'!EJ$10:EJ$54,'calcA'!$B$8),0)=1,8,IF(AND(H22="",IF('calcA'!$B$8&gt;0,INDEX('calcA'!EJ$60:EJ$104,'calcA'!$B$8),0)=1),9,IF(AND(H22&lt;&gt;"",IF('calcA'!$B$8&gt;0,INDEX('calcA'!EJ$60:EJ$104,'calcA'!$B$8),0)=1),10,IF(AND(H22="",'calcA'!EJ$5=1),11,12))))))))))))</f>
        <v/>
      </c>
    </row>
    <row r="23" ht="26" customHeight="1">
      <c r="B23" s="46">
        <f>'設定'!$I$28</f>
        <v/>
      </c>
      <c r="C23" s="27" t="n"/>
      <c r="D23" s="27" t="n"/>
      <c r="E23" s="27" t="n"/>
      <c r="F23" s="27" t="n"/>
      <c r="G23" s="27" t="n"/>
      <c r="H23" s="27" t="n"/>
      <c r="AA23">
        <f>IF(AND(C23="",'calcA'!U$115=0),0,IF(AND(C23&lt;&gt;"",'calcA'!U$4=0),1,IF(IF(C23="",0,IFERROR(INDEX('calcA'!U$10:U$54,MATCH(C23,'calcA'!$B$10:$B$54,0)),0))=1,2,IF(AND(C23&lt;&gt;"",COUNTIF($C$6:$H$29,C23)&gt;1),3,IF('calcA'!U$4=0,4,IF(AND(C23&lt;&gt;"",'calcA'!U$108=1),5,IF(AND(C23="",'calcA'!U$108=1),6,IF(AND(C23&lt;&gt;"",C23=$J$5),7,IF(IF('calcA'!$B$8&gt;0,INDEX('calcA'!U$10:U$54,'calcA'!$B$8),0)=1,8,IF(AND(C23="",IF('calcA'!$B$8&gt;0,INDEX('calcA'!U$60:U$104,'calcA'!$B$8),0)=1),9,IF(AND(C23&lt;&gt;"",IF('calcA'!$B$8&gt;0,INDEX('calcA'!U$60:U$104,'calcA'!$B$8),0)=1),10,IF(AND(C23="",'calcA'!U$5=1),11,12))))))))))))</f>
        <v/>
      </c>
      <c r="AB23">
        <f>IF(AND(D23="",'calcA'!AS$115=0),0,IF(AND(D23&lt;&gt;"",'calcA'!AS$4=0),1,IF(IF(D23="",0,IFERROR(INDEX('calcA'!AS$10:AS$54,MATCH(D23,'calcA'!$B$10:$B$54,0)),0))=1,2,IF(AND(D23&lt;&gt;"",COUNTIF($C$6:$H$29,D23)&gt;1),3,IF('calcA'!AS$4=0,4,IF(AND(D23&lt;&gt;"",'calcA'!AS$108=1),5,IF(AND(D23="",'calcA'!AS$108=1),6,IF(AND(D23&lt;&gt;"",D23=$J$5),7,IF(IF('calcA'!$B$8&gt;0,INDEX('calcA'!AS$10:AS$54,'calcA'!$B$8),0)=1,8,IF(AND(D23="",IF('calcA'!$B$8&gt;0,INDEX('calcA'!AS$60:AS$104,'calcA'!$B$8),0)=1),9,IF(AND(D23&lt;&gt;"",IF('calcA'!$B$8&gt;0,INDEX('calcA'!AS$60:AS$104,'calcA'!$B$8),0)=1),10,IF(AND(D23="",'calcA'!AS$5=1),11,12))))))))))))</f>
        <v/>
      </c>
      <c r="AC23">
        <f>IF(AND(E23="",'calcA'!BQ$115=0),0,IF(AND(E23&lt;&gt;"",'calcA'!BQ$4=0),1,IF(IF(E23="",0,IFERROR(INDEX('calcA'!BQ$10:BQ$54,MATCH(E23,'calcA'!$B$10:$B$54,0)),0))=1,2,IF(AND(E23&lt;&gt;"",COUNTIF($C$6:$H$29,E23)&gt;1),3,IF('calcA'!BQ$4=0,4,IF(AND(E23&lt;&gt;"",'calcA'!BQ$108=1),5,IF(AND(E23="",'calcA'!BQ$108=1),6,IF(AND(E23&lt;&gt;"",E23=$J$5),7,IF(IF('calcA'!$B$8&gt;0,INDEX('calcA'!BQ$10:BQ$54,'calcA'!$B$8),0)=1,8,IF(AND(E23="",IF('calcA'!$B$8&gt;0,INDEX('calcA'!BQ$60:BQ$104,'calcA'!$B$8),0)=1),9,IF(AND(E23&lt;&gt;"",IF('calcA'!$B$8&gt;0,INDEX('calcA'!BQ$60:BQ$104,'calcA'!$B$8),0)=1),10,IF(AND(E23="",'calcA'!BQ$5=1),11,12))))))))))))</f>
        <v/>
      </c>
      <c r="AD23">
        <f>IF(AND(F23="",'calcA'!CO$115=0),0,IF(AND(F23&lt;&gt;"",'calcA'!CO$4=0),1,IF(IF(F23="",0,IFERROR(INDEX('calcA'!CO$10:CO$54,MATCH(F23,'calcA'!$B$10:$B$54,0)),0))=1,2,IF(AND(F23&lt;&gt;"",COUNTIF($C$6:$H$29,F23)&gt;1),3,IF('calcA'!CO$4=0,4,IF(AND(F23&lt;&gt;"",'calcA'!CO$108=1),5,IF(AND(F23="",'calcA'!CO$108=1),6,IF(AND(F23&lt;&gt;"",F23=$J$5),7,IF(IF('calcA'!$B$8&gt;0,INDEX('calcA'!CO$10:CO$54,'calcA'!$B$8),0)=1,8,IF(AND(F23="",IF('calcA'!$B$8&gt;0,INDEX('calcA'!CO$60:CO$104,'calcA'!$B$8),0)=1),9,IF(AND(F23&lt;&gt;"",IF('calcA'!$B$8&gt;0,INDEX('calcA'!CO$60:CO$104,'calcA'!$B$8),0)=1),10,IF(AND(F23="",'calcA'!CO$5=1),11,12))))))))))))</f>
        <v/>
      </c>
      <c r="AE23">
        <f>IF(AND(G23="",'calcA'!DM$115=0),0,IF(AND(G23&lt;&gt;"",'calcA'!DM$4=0),1,IF(IF(G23="",0,IFERROR(INDEX('calcA'!DM$10:DM$54,MATCH(G23,'calcA'!$B$10:$B$54,0)),0))=1,2,IF(AND(G23&lt;&gt;"",COUNTIF($C$6:$H$29,G23)&gt;1),3,IF('calcA'!DM$4=0,4,IF(AND(G23&lt;&gt;"",'calcA'!DM$108=1),5,IF(AND(G23="",'calcA'!DM$108=1),6,IF(AND(G23&lt;&gt;"",G23=$J$5),7,IF(IF('calcA'!$B$8&gt;0,INDEX('calcA'!DM$10:DM$54,'calcA'!$B$8),0)=1,8,IF(AND(G23="",IF('calcA'!$B$8&gt;0,INDEX('calcA'!DM$60:DM$104,'calcA'!$B$8),0)=1),9,IF(AND(G23&lt;&gt;"",IF('calcA'!$B$8&gt;0,INDEX('calcA'!DM$60:DM$104,'calcA'!$B$8),0)=1),10,IF(AND(G23="",'calcA'!DM$5=1),11,12))))))))))))</f>
        <v/>
      </c>
      <c r="AF23">
        <f>IF(AND(H23="",'calcA'!EK$115=0),0,IF(AND(H23&lt;&gt;"",'calcA'!EK$4=0),1,IF(IF(H23="",0,IFERROR(INDEX('calcA'!EK$10:EK$54,MATCH(H23,'calcA'!$B$10:$B$54,0)),0))=1,2,IF(AND(H23&lt;&gt;"",COUNTIF($C$6:$H$29,H23)&gt;1),3,IF('calcA'!EK$4=0,4,IF(AND(H23&lt;&gt;"",'calcA'!EK$108=1),5,IF(AND(H23="",'calcA'!EK$108=1),6,IF(AND(H23&lt;&gt;"",H23=$J$5),7,IF(IF('calcA'!$B$8&gt;0,INDEX('calcA'!EK$10:EK$54,'calcA'!$B$8),0)=1,8,IF(AND(H23="",IF('calcA'!$B$8&gt;0,INDEX('calcA'!EK$60:EK$104,'calcA'!$B$8),0)=1),9,IF(AND(H23&lt;&gt;"",IF('calcA'!$B$8&gt;0,INDEX('calcA'!EK$60:EK$104,'calcA'!$B$8),0)=1),10,IF(AND(H23="",'calcA'!EK$5=1),11,12))))))))))))</f>
        <v/>
      </c>
    </row>
    <row r="24" ht="26" customHeight="1">
      <c r="B24" s="46">
        <f>'設定'!$I$29</f>
        <v/>
      </c>
      <c r="C24" s="27" t="n"/>
      <c r="D24" s="27" t="n"/>
      <c r="E24" s="27" t="n"/>
      <c r="F24" s="27" t="n"/>
      <c r="G24" s="27" t="n"/>
      <c r="H24" s="27" t="n"/>
      <c r="AA24">
        <f>IF(AND(C24="",'calcA'!V$115=0),0,IF(AND(C24&lt;&gt;"",'calcA'!V$4=0),1,IF(IF(C24="",0,IFERROR(INDEX('calcA'!V$10:V$54,MATCH(C24,'calcA'!$B$10:$B$54,0)),0))=1,2,IF(AND(C24&lt;&gt;"",COUNTIF($C$6:$H$29,C24)&gt;1),3,IF('calcA'!V$4=0,4,IF(AND(C24&lt;&gt;"",'calcA'!V$108=1),5,IF(AND(C24="",'calcA'!V$108=1),6,IF(AND(C24&lt;&gt;"",C24=$J$5),7,IF(IF('calcA'!$B$8&gt;0,INDEX('calcA'!V$10:V$54,'calcA'!$B$8),0)=1,8,IF(AND(C24="",IF('calcA'!$B$8&gt;0,INDEX('calcA'!V$60:V$104,'calcA'!$B$8),0)=1),9,IF(AND(C24&lt;&gt;"",IF('calcA'!$B$8&gt;0,INDEX('calcA'!V$60:V$104,'calcA'!$B$8),0)=1),10,IF(AND(C24="",'calcA'!V$5=1),11,12))))))))))))</f>
        <v/>
      </c>
      <c r="AB24">
        <f>IF(AND(D24="",'calcA'!AT$115=0),0,IF(AND(D24&lt;&gt;"",'calcA'!AT$4=0),1,IF(IF(D24="",0,IFERROR(INDEX('calcA'!AT$10:AT$54,MATCH(D24,'calcA'!$B$10:$B$54,0)),0))=1,2,IF(AND(D24&lt;&gt;"",COUNTIF($C$6:$H$29,D24)&gt;1),3,IF('calcA'!AT$4=0,4,IF(AND(D24&lt;&gt;"",'calcA'!AT$108=1),5,IF(AND(D24="",'calcA'!AT$108=1),6,IF(AND(D24&lt;&gt;"",D24=$J$5),7,IF(IF('calcA'!$B$8&gt;0,INDEX('calcA'!AT$10:AT$54,'calcA'!$B$8),0)=1,8,IF(AND(D24="",IF('calcA'!$B$8&gt;0,INDEX('calcA'!AT$60:AT$104,'calcA'!$B$8),0)=1),9,IF(AND(D24&lt;&gt;"",IF('calcA'!$B$8&gt;0,INDEX('calcA'!AT$60:AT$104,'calcA'!$B$8),0)=1),10,IF(AND(D24="",'calcA'!AT$5=1),11,12))))))))))))</f>
        <v/>
      </c>
      <c r="AC24">
        <f>IF(AND(E24="",'calcA'!BR$115=0),0,IF(AND(E24&lt;&gt;"",'calcA'!BR$4=0),1,IF(IF(E24="",0,IFERROR(INDEX('calcA'!BR$10:BR$54,MATCH(E24,'calcA'!$B$10:$B$54,0)),0))=1,2,IF(AND(E24&lt;&gt;"",COUNTIF($C$6:$H$29,E24)&gt;1),3,IF('calcA'!BR$4=0,4,IF(AND(E24&lt;&gt;"",'calcA'!BR$108=1),5,IF(AND(E24="",'calcA'!BR$108=1),6,IF(AND(E24&lt;&gt;"",E24=$J$5),7,IF(IF('calcA'!$B$8&gt;0,INDEX('calcA'!BR$10:BR$54,'calcA'!$B$8),0)=1,8,IF(AND(E24="",IF('calcA'!$B$8&gt;0,INDEX('calcA'!BR$60:BR$104,'calcA'!$B$8),0)=1),9,IF(AND(E24&lt;&gt;"",IF('calcA'!$B$8&gt;0,INDEX('calcA'!BR$60:BR$104,'calcA'!$B$8),0)=1),10,IF(AND(E24="",'calcA'!BR$5=1),11,12))))))))))))</f>
        <v/>
      </c>
      <c r="AD24">
        <f>IF(AND(F24="",'calcA'!CP$115=0),0,IF(AND(F24&lt;&gt;"",'calcA'!CP$4=0),1,IF(IF(F24="",0,IFERROR(INDEX('calcA'!CP$10:CP$54,MATCH(F24,'calcA'!$B$10:$B$54,0)),0))=1,2,IF(AND(F24&lt;&gt;"",COUNTIF($C$6:$H$29,F24)&gt;1),3,IF('calcA'!CP$4=0,4,IF(AND(F24&lt;&gt;"",'calcA'!CP$108=1),5,IF(AND(F24="",'calcA'!CP$108=1),6,IF(AND(F24&lt;&gt;"",F24=$J$5),7,IF(IF('calcA'!$B$8&gt;0,INDEX('calcA'!CP$10:CP$54,'calcA'!$B$8),0)=1,8,IF(AND(F24="",IF('calcA'!$B$8&gt;0,INDEX('calcA'!CP$60:CP$104,'calcA'!$B$8),0)=1),9,IF(AND(F24&lt;&gt;"",IF('calcA'!$B$8&gt;0,INDEX('calcA'!CP$60:CP$104,'calcA'!$B$8),0)=1),10,IF(AND(F24="",'calcA'!CP$5=1),11,12))))))))))))</f>
        <v/>
      </c>
      <c r="AE24">
        <f>IF(AND(G24="",'calcA'!DN$115=0),0,IF(AND(G24&lt;&gt;"",'calcA'!DN$4=0),1,IF(IF(G24="",0,IFERROR(INDEX('calcA'!DN$10:DN$54,MATCH(G24,'calcA'!$B$10:$B$54,0)),0))=1,2,IF(AND(G24&lt;&gt;"",COUNTIF($C$6:$H$29,G24)&gt;1),3,IF('calcA'!DN$4=0,4,IF(AND(G24&lt;&gt;"",'calcA'!DN$108=1),5,IF(AND(G24="",'calcA'!DN$108=1),6,IF(AND(G24&lt;&gt;"",G24=$J$5),7,IF(IF('calcA'!$B$8&gt;0,INDEX('calcA'!DN$10:DN$54,'calcA'!$B$8),0)=1,8,IF(AND(G24="",IF('calcA'!$B$8&gt;0,INDEX('calcA'!DN$60:DN$104,'calcA'!$B$8),0)=1),9,IF(AND(G24&lt;&gt;"",IF('calcA'!$B$8&gt;0,INDEX('calcA'!DN$60:DN$104,'calcA'!$B$8),0)=1),10,IF(AND(G24="",'calcA'!DN$5=1),11,12))))))))))))</f>
        <v/>
      </c>
      <c r="AF24">
        <f>IF(AND(H24="",'calcA'!EL$115=0),0,IF(AND(H24&lt;&gt;"",'calcA'!EL$4=0),1,IF(IF(H24="",0,IFERROR(INDEX('calcA'!EL$10:EL$54,MATCH(H24,'calcA'!$B$10:$B$54,0)),0))=1,2,IF(AND(H24&lt;&gt;"",COUNTIF($C$6:$H$29,H24)&gt;1),3,IF('calcA'!EL$4=0,4,IF(AND(H24&lt;&gt;"",'calcA'!EL$108=1),5,IF(AND(H24="",'calcA'!EL$108=1),6,IF(AND(H24&lt;&gt;"",H24=$J$5),7,IF(IF('calcA'!$B$8&gt;0,INDEX('calcA'!EL$10:EL$54,'calcA'!$B$8),0)=1,8,IF(AND(H24="",IF('calcA'!$B$8&gt;0,INDEX('calcA'!EL$60:EL$104,'calcA'!$B$8),0)=1),9,IF(AND(H24&lt;&gt;"",IF('calcA'!$B$8&gt;0,INDEX('calcA'!EL$60:EL$104,'calcA'!$B$8),0)=1),10,IF(AND(H24="",'calcA'!EL$5=1),11,12))))))))))))</f>
        <v/>
      </c>
    </row>
    <row r="25" ht="26" customHeight="1">
      <c r="B25" s="46">
        <f>'設定'!$I$30</f>
        <v/>
      </c>
      <c r="C25" s="27" t="n"/>
      <c r="D25" s="27" t="n"/>
      <c r="E25" s="27" t="n"/>
      <c r="F25" s="27" t="n"/>
      <c r="G25" s="27" t="n"/>
      <c r="H25" s="27" t="n"/>
      <c r="AA25">
        <f>IF(AND(C25="",'calcA'!W$115=0),0,IF(AND(C25&lt;&gt;"",'calcA'!W$4=0),1,IF(IF(C25="",0,IFERROR(INDEX('calcA'!W$10:W$54,MATCH(C25,'calcA'!$B$10:$B$54,0)),0))=1,2,IF(AND(C25&lt;&gt;"",COUNTIF($C$6:$H$29,C25)&gt;1),3,IF('calcA'!W$4=0,4,IF(AND(C25&lt;&gt;"",'calcA'!W$108=1),5,IF(AND(C25="",'calcA'!W$108=1),6,IF(AND(C25&lt;&gt;"",C25=$J$5),7,IF(IF('calcA'!$B$8&gt;0,INDEX('calcA'!W$10:W$54,'calcA'!$B$8),0)=1,8,IF(AND(C25="",IF('calcA'!$B$8&gt;0,INDEX('calcA'!W$60:W$104,'calcA'!$B$8),0)=1),9,IF(AND(C25&lt;&gt;"",IF('calcA'!$B$8&gt;0,INDEX('calcA'!W$60:W$104,'calcA'!$B$8),0)=1),10,IF(AND(C25="",'calcA'!W$5=1),11,12))))))))))))</f>
        <v/>
      </c>
      <c r="AB25">
        <f>IF(AND(D25="",'calcA'!AU$115=0),0,IF(AND(D25&lt;&gt;"",'calcA'!AU$4=0),1,IF(IF(D25="",0,IFERROR(INDEX('calcA'!AU$10:AU$54,MATCH(D25,'calcA'!$B$10:$B$54,0)),0))=1,2,IF(AND(D25&lt;&gt;"",COUNTIF($C$6:$H$29,D25)&gt;1),3,IF('calcA'!AU$4=0,4,IF(AND(D25&lt;&gt;"",'calcA'!AU$108=1),5,IF(AND(D25="",'calcA'!AU$108=1),6,IF(AND(D25&lt;&gt;"",D25=$J$5),7,IF(IF('calcA'!$B$8&gt;0,INDEX('calcA'!AU$10:AU$54,'calcA'!$B$8),0)=1,8,IF(AND(D25="",IF('calcA'!$B$8&gt;0,INDEX('calcA'!AU$60:AU$104,'calcA'!$B$8),0)=1),9,IF(AND(D25&lt;&gt;"",IF('calcA'!$B$8&gt;0,INDEX('calcA'!AU$60:AU$104,'calcA'!$B$8),0)=1),10,IF(AND(D25="",'calcA'!AU$5=1),11,12))))))))))))</f>
        <v/>
      </c>
      <c r="AC25">
        <f>IF(AND(E25="",'calcA'!BS$115=0),0,IF(AND(E25&lt;&gt;"",'calcA'!BS$4=0),1,IF(IF(E25="",0,IFERROR(INDEX('calcA'!BS$10:BS$54,MATCH(E25,'calcA'!$B$10:$B$54,0)),0))=1,2,IF(AND(E25&lt;&gt;"",COUNTIF($C$6:$H$29,E25)&gt;1),3,IF('calcA'!BS$4=0,4,IF(AND(E25&lt;&gt;"",'calcA'!BS$108=1),5,IF(AND(E25="",'calcA'!BS$108=1),6,IF(AND(E25&lt;&gt;"",E25=$J$5),7,IF(IF('calcA'!$B$8&gt;0,INDEX('calcA'!BS$10:BS$54,'calcA'!$B$8),0)=1,8,IF(AND(E25="",IF('calcA'!$B$8&gt;0,INDEX('calcA'!BS$60:BS$104,'calcA'!$B$8),0)=1),9,IF(AND(E25&lt;&gt;"",IF('calcA'!$B$8&gt;0,INDEX('calcA'!BS$60:BS$104,'calcA'!$B$8),0)=1),10,IF(AND(E25="",'calcA'!BS$5=1),11,12))))))))))))</f>
        <v/>
      </c>
      <c r="AD25">
        <f>IF(AND(F25="",'calcA'!CQ$115=0),0,IF(AND(F25&lt;&gt;"",'calcA'!CQ$4=0),1,IF(IF(F25="",0,IFERROR(INDEX('calcA'!CQ$10:CQ$54,MATCH(F25,'calcA'!$B$10:$B$54,0)),0))=1,2,IF(AND(F25&lt;&gt;"",COUNTIF($C$6:$H$29,F25)&gt;1),3,IF('calcA'!CQ$4=0,4,IF(AND(F25&lt;&gt;"",'calcA'!CQ$108=1),5,IF(AND(F25="",'calcA'!CQ$108=1),6,IF(AND(F25&lt;&gt;"",F25=$J$5),7,IF(IF('calcA'!$B$8&gt;0,INDEX('calcA'!CQ$10:CQ$54,'calcA'!$B$8),0)=1,8,IF(AND(F25="",IF('calcA'!$B$8&gt;0,INDEX('calcA'!CQ$60:CQ$104,'calcA'!$B$8),0)=1),9,IF(AND(F25&lt;&gt;"",IF('calcA'!$B$8&gt;0,INDEX('calcA'!CQ$60:CQ$104,'calcA'!$B$8),0)=1),10,IF(AND(F25="",'calcA'!CQ$5=1),11,12))))))))))))</f>
        <v/>
      </c>
      <c r="AE25">
        <f>IF(AND(G25="",'calcA'!DO$115=0),0,IF(AND(G25&lt;&gt;"",'calcA'!DO$4=0),1,IF(IF(G25="",0,IFERROR(INDEX('calcA'!DO$10:DO$54,MATCH(G25,'calcA'!$B$10:$B$54,0)),0))=1,2,IF(AND(G25&lt;&gt;"",COUNTIF($C$6:$H$29,G25)&gt;1),3,IF('calcA'!DO$4=0,4,IF(AND(G25&lt;&gt;"",'calcA'!DO$108=1),5,IF(AND(G25="",'calcA'!DO$108=1),6,IF(AND(G25&lt;&gt;"",G25=$J$5),7,IF(IF('calcA'!$B$8&gt;0,INDEX('calcA'!DO$10:DO$54,'calcA'!$B$8),0)=1,8,IF(AND(G25="",IF('calcA'!$B$8&gt;0,INDEX('calcA'!DO$60:DO$104,'calcA'!$B$8),0)=1),9,IF(AND(G25&lt;&gt;"",IF('calcA'!$B$8&gt;0,INDEX('calcA'!DO$60:DO$104,'calcA'!$B$8),0)=1),10,IF(AND(G25="",'calcA'!DO$5=1),11,12))))))))))))</f>
        <v/>
      </c>
      <c r="AF25">
        <f>IF(AND(H25="",'calcA'!EM$115=0),0,IF(AND(H25&lt;&gt;"",'calcA'!EM$4=0),1,IF(IF(H25="",0,IFERROR(INDEX('calcA'!EM$10:EM$54,MATCH(H25,'calcA'!$B$10:$B$54,0)),0))=1,2,IF(AND(H25&lt;&gt;"",COUNTIF($C$6:$H$29,H25)&gt;1),3,IF('calcA'!EM$4=0,4,IF(AND(H25&lt;&gt;"",'calcA'!EM$108=1),5,IF(AND(H25="",'calcA'!EM$108=1),6,IF(AND(H25&lt;&gt;"",H25=$J$5),7,IF(IF('calcA'!$B$8&gt;0,INDEX('calcA'!EM$10:EM$54,'calcA'!$B$8),0)=1,8,IF(AND(H25="",IF('calcA'!$B$8&gt;0,INDEX('calcA'!EM$60:EM$104,'calcA'!$B$8),0)=1),9,IF(AND(H25&lt;&gt;"",IF('calcA'!$B$8&gt;0,INDEX('calcA'!EM$60:EM$104,'calcA'!$B$8),0)=1),10,IF(AND(H25="",'calcA'!EM$5=1),11,12))))))))))))</f>
        <v/>
      </c>
    </row>
    <row r="26" ht="26" customHeight="1">
      <c r="B26" s="46">
        <f>'設定'!$I$31</f>
        <v/>
      </c>
      <c r="C26" s="27" t="n"/>
      <c r="D26" s="27" t="n"/>
      <c r="E26" s="27" t="n"/>
      <c r="F26" s="27" t="n"/>
      <c r="G26" s="27" t="n"/>
      <c r="H26" s="27" t="n"/>
      <c r="AA26">
        <f>IF(AND(C26="",'calcA'!X$115=0),0,IF(AND(C26&lt;&gt;"",'calcA'!X$4=0),1,IF(IF(C26="",0,IFERROR(INDEX('calcA'!X$10:X$54,MATCH(C26,'calcA'!$B$10:$B$54,0)),0))=1,2,IF(AND(C26&lt;&gt;"",COUNTIF($C$6:$H$29,C26)&gt;1),3,IF('calcA'!X$4=0,4,IF(AND(C26&lt;&gt;"",'calcA'!X$108=1),5,IF(AND(C26="",'calcA'!X$108=1),6,IF(AND(C26&lt;&gt;"",C26=$J$5),7,IF(IF('calcA'!$B$8&gt;0,INDEX('calcA'!X$10:X$54,'calcA'!$B$8),0)=1,8,IF(AND(C26="",IF('calcA'!$B$8&gt;0,INDEX('calcA'!X$60:X$104,'calcA'!$B$8),0)=1),9,IF(AND(C26&lt;&gt;"",IF('calcA'!$B$8&gt;0,INDEX('calcA'!X$60:X$104,'calcA'!$B$8),0)=1),10,IF(AND(C26="",'calcA'!X$5=1),11,12))))))))))))</f>
        <v/>
      </c>
      <c r="AB26">
        <f>IF(AND(D26="",'calcA'!AV$115=0),0,IF(AND(D26&lt;&gt;"",'calcA'!AV$4=0),1,IF(IF(D26="",0,IFERROR(INDEX('calcA'!AV$10:AV$54,MATCH(D26,'calcA'!$B$10:$B$54,0)),0))=1,2,IF(AND(D26&lt;&gt;"",COUNTIF($C$6:$H$29,D26)&gt;1),3,IF('calcA'!AV$4=0,4,IF(AND(D26&lt;&gt;"",'calcA'!AV$108=1),5,IF(AND(D26="",'calcA'!AV$108=1),6,IF(AND(D26&lt;&gt;"",D26=$J$5),7,IF(IF('calcA'!$B$8&gt;0,INDEX('calcA'!AV$10:AV$54,'calcA'!$B$8),0)=1,8,IF(AND(D26="",IF('calcA'!$B$8&gt;0,INDEX('calcA'!AV$60:AV$104,'calcA'!$B$8),0)=1),9,IF(AND(D26&lt;&gt;"",IF('calcA'!$B$8&gt;0,INDEX('calcA'!AV$60:AV$104,'calcA'!$B$8),0)=1),10,IF(AND(D26="",'calcA'!AV$5=1),11,12))))))))))))</f>
        <v/>
      </c>
      <c r="AC26">
        <f>IF(AND(E26="",'calcA'!BT$115=0),0,IF(AND(E26&lt;&gt;"",'calcA'!BT$4=0),1,IF(IF(E26="",0,IFERROR(INDEX('calcA'!BT$10:BT$54,MATCH(E26,'calcA'!$B$10:$B$54,0)),0))=1,2,IF(AND(E26&lt;&gt;"",COUNTIF($C$6:$H$29,E26)&gt;1),3,IF('calcA'!BT$4=0,4,IF(AND(E26&lt;&gt;"",'calcA'!BT$108=1),5,IF(AND(E26="",'calcA'!BT$108=1),6,IF(AND(E26&lt;&gt;"",E26=$J$5),7,IF(IF('calcA'!$B$8&gt;0,INDEX('calcA'!BT$10:BT$54,'calcA'!$B$8),0)=1,8,IF(AND(E26="",IF('calcA'!$B$8&gt;0,INDEX('calcA'!BT$60:BT$104,'calcA'!$B$8),0)=1),9,IF(AND(E26&lt;&gt;"",IF('calcA'!$B$8&gt;0,INDEX('calcA'!BT$60:BT$104,'calcA'!$B$8),0)=1),10,IF(AND(E26="",'calcA'!BT$5=1),11,12))))))))))))</f>
        <v/>
      </c>
      <c r="AD26">
        <f>IF(AND(F26="",'calcA'!CR$115=0),0,IF(AND(F26&lt;&gt;"",'calcA'!CR$4=0),1,IF(IF(F26="",0,IFERROR(INDEX('calcA'!CR$10:CR$54,MATCH(F26,'calcA'!$B$10:$B$54,0)),0))=1,2,IF(AND(F26&lt;&gt;"",COUNTIF($C$6:$H$29,F26)&gt;1),3,IF('calcA'!CR$4=0,4,IF(AND(F26&lt;&gt;"",'calcA'!CR$108=1),5,IF(AND(F26="",'calcA'!CR$108=1),6,IF(AND(F26&lt;&gt;"",F26=$J$5),7,IF(IF('calcA'!$B$8&gt;0,INDEX('calcA'!CR$10:CR$54,'calcA'!$B$8),0)=1,8,IF(AND(F26="",IF('calcA'!$B$8&gt;0,INDEX('calcA'!CR$60:CR$104,'calcA'!$B$8),0)=1),9,IF(AND(F26&lt;&gt;"",IF('calcA'!$B$8&gt;0,INDEX('calcA'!CR$60:CR$104,'calcA'!$B$8),0)=1),10,IF(AND(F26="",'calcA'!CR$5=1),11,12))))))))))))</f>
        <v/>
      </c>
      <c r="AE26">
        <f>IF(AND(G26="",'calcA'!DP$115=0),0,IF(AND(G26&lt;&gt;"",'calcA'!DP$4=0),1,IF(IF(G26="",0,IFERROR(INDEX('calcA'!DP$10:DP$54,MATCH(G26,'calcA'!$B$10:$B$54,0)),0))=1,2,IF(AND(G26&lt;&gt;"",COUNTIF($C$6:$H$29,G26)&gt;1),3,IF('calcA'!DP$4=0,4,IF(AND(G26&lt;&gt;"",'calcA'!DP$108=1),5,IF(AND(G26="",'calcA'!DP$108=1),6,IF(AND(G26&lt;&gt;"",G26=$J$5),7,IF(IF('calcA'!$B$8&gt;0,INDEX('calcA'!DP$10:DP$54,'calcA'!$B$8),0)=1,8,IF(AND(G26="",IF('calcA'!$B$8&gt;0,INDEX('calcA'!DP$60:DP$104,'calcA'!$B$8),0)=1),9,IF(AND(G26&lt;&gt;"",IF('calcA'!$B$8&gt;0,INDEX('calcA'!DP$60:DP$104,'calcA'!$B$8),0)=1),10,IF(AND(G26="",'calcA'!DP$5=1),11,12))))))))))))</f>
        <v/>
      </c>
      <c r="AF26">
        <f>IF(AND(H26="",'calcA'!EN$115=0),0,IF(AND(H26&lt;&gt;"",'calcA'!EN$4=0),1,IF(IF(H26="",0,IFERROR(INDEX('calcA'!EN$10:EN$54,MATCH(H26,'calcA'!$B$10:$B$54,0)),0))=1,2,IF(AND(H26&lt;&gt;"",COUNTIF($C$6:$H$29,H26)&gt;1),3,IF('calcA'!EN$4=0,4,IF(AND(H26&lt;&gt;"",'calcA'!EN$108=1),5,IF(AND(H26="",'calcA'!EN$108=1),6,IF(AND(H26&lt;&gt;"",H26=$J$5),7,IF(IF('calcA'!$B$8&gt;0,INDEX('calcA'!EN$10:EN$54,'calcA'!$B$8),0)=1,8,IF(AND(H26="",IF('calcA'!$B$8&gt;0,INDEX('calcA'!EN$60:EN$104,'calcA'!$B$8),0)=1),9,IF(AND(H26&lt;&gt;"",IF('calcA'!$B$8&gt;0,INDEX('calcA'!EN$60:EN$104,'calcA'!$B$8),0)=1),10,IF(AND(H26="",'calcA'!EN$5=1),11,12))))))))))))</f>
        <v/>
      </c>
    </row>
    <row r="27" ht="26" customHeight="1">
      <c r="B27" s="46">
        <f>'設定'!$I$32</f>
        <v/>
      </c>
      <c r="C27" s="27" t="n"/>
      <c r="D27" s="27" t="n"/>
      <c r="E27" s="27" t="n"/>
      <c r="F27" s="27" t="n"/>
      <c r="G27" s="27" t="n"/>
      <c r="H27" s="27" t="n"/>
      <c r="AA27">
        <f>IF(AND(C27="",'calcA'!Y$115=0),0,IF(AND(C27&lt;&gt;"",'calcA'!Y$4=0),1,IF(IF(C27="",0,IFERROR(INDEX('calcA'!Y$10:Y$54,MATCH(C27,'calcA'!$B$10:$B$54,0)),0))=1,2,IF(AND(C27&lt;&gt;"",COUNTIF($C$6:$H$29,C27)&gt;1),3,IF('calcA'!Y$4=0,4,IF(AND(C27&lt;&gt;"",'calcA'!Y$108=1),5,IF(AND(C27="",'calcA'!Y$108=1),6,IF(AND(C27&lt;&gt;"",C27=$J$5),7,IF(IF('calcA'!$B$8&gt;0,INDEX('calcA'!Y$10:Y$54,'calcA'!$B$8),0)=1,8,IF(AND(C27="",IF('calcA'!$B$8&gt;0,INDEX('calcA'!Y$60:Y$104,'calcA'!$B$8),0)=1),9,IF(AND(C27&lt;&gt;"",IF('calcA'!$B$8&gt;0,INDEX('calcA'!Y$60:Y$104,'calcA'!$B$8),0)=1),10,IF(AND(C27="",'calcA'!Y$5=1),11,12))))))))))))</f>
        <v/>
      </c>
      <c r="AB27">
        <f>IF(AND(D27="",'calcA'!AW$115=0),0,IF(AND(D27&lt;&gt;"",'calcA'!AW$4=0),1,IF(IF(D27="",0,IFERROR(INDEX('calcA'!AW$10:AW$54,MATCH(D27,'calcA'!$B$10:$B$54,0)),0))=1,2,IF(AND(D27&lt;&gt;"",COUNTIF($C$6:$H$29,D27)&gt;1),3,IF('calcA'!AW$4=0,4,IF(AND(D27&lt;&gt;"",'calcA'!AW$108=1),5,IF(AND(D27="",'calcA'!AW$108=1),6,IF(AND(D27&lt;&gt;"",D27=$J$5),7,IF(IF('calcA'!$B$8&gt;0,INDEX('calcA'!AW$10:AW$54,'calcA'!$B$8),0)=1,8,IF(AND(D27="",IF('calcA'!$B$8&gt;0,INDEX('calcA'!AW$60:AW$104,'calcA'!$B$8),0)=1),9,IF(AND(D27&lt;&gt;"",IF('calcA'!$B$8&gt;0,INDEX('calcA'!AW$60:AW$104,'calcA'!$B$8),0)=1),10,IF(AND(D27="",'calcA'!AW$5=1),11,12))))))))))))</f>
        <v/>
      </c>
      <c r="AC27">
        <f>IF(AND(E27="",'calcA'!BU$115=0),0,IF(AND(E27&lt;&gt;"",'calcA'!BU$4=0),1,IF(IF(E27="",0,IFERROR(INDEX('calcA'!BU$10:BU$54,MATCH(E27,'calcA'!$B$10:$B$54,0)),0))=1,2,IF(AND(E27&lt;&gt;"",COUNTIF($C$6:$H$29,E27)&gt;1),3,IF('calcA'!BU$4=0,4,IF(AND(E27&lt;&gt;"",'calcA'!BU$108=1),5,IF(AND(E27="",'calcA'!BU$108=1),6,IF(AND(E27&lt;&gt;"",E27=$J$5),7,IF(IF('calcA'!$B$8&gt;0,INDEX('calcA'!BU$10:BU$54,'calcA'!$B$8),0)=1,8,IF(AND(E27="",IF('calcA'!$B$8&gt;0,INDEX('calcA'!BU$60:BU$104,'calcA'!$B$8),0)=1),9,IF(AND(E27&lt;&gt;"",IF('calcA'!$B$8&gt;0,INDEX('calcA'!BU$60:BU$104,'calcA'!$B$8),0)=1),10,IF(AND(E27="",'calcA'!BU$5=1),11,12))))))))))))</f>
        <v/>
      </c>
      <c r="AD27">
        <f>IF(AND(F27="",'calcA'!CS$115=0),0,IF(AND(F27&lt;&gt;"",'calcA'!CS$4=0),1,IF(IF(F27="",0,IFERROR(INDEX('calcA'!CS$10:CS$54,MATCH(F27,'calcA'!$B$10:$B$54,0)),0))=1,2,IF(AND(F27&lt;&gt;"",COUNTIF($C$6:$H$29,F27)&gt;1),3,IF('calcA'!CS$4=0,4,IF(AND(F27&lt;&gt;"",'calcA'!CS$108=1),5,IF(AND(F27="",'calcA'!CS$108=1),6,IF(AND(F27&lt;&gt;"",F27=$J$5),7,IF(IF('calcA'!$B$8&gt;0,INDEX('calcA'!CS$10:CS$54,'calcA'!$B$8),0)=1,8,IF(AND(F27="",IF('calcA'!$B$8&gt;0,INDEX('calcA'!CS$60:CS$104,'calcA'!$B$8),0)=1),9,IF(AND(F27&lt;&gt;"",IF('calcA'!$B$8&gt;0,INDEX('calcA'!CS$60:CS$104,'calcA'!$B$8),0)=1),10,IF(AND(F27="",'calcA'!CS$5=1),11,12))))))))))))</f>
        <v/>
      </c>
      <c r="AE27">
        <f>IF(AND(G27="",'calcA'!DQ$115=0),0,IF(AND(G27&lt;&gt;"",'calcA'!DQ$4=0),1,IF(IF(G27="",0,IFERROR(INDEX('calcA'!DQ$10:DQ$54,MATCH(G27,'calcA'!$B$10:$B$54,0)),0))=1,2,IF(AND(G27&lt;&gt;"",COUNTIF($C$6:$H$29,G27)&gt;1),3,IF('calcA'!DQ$4=0,4,IF(AND(G27&lt;&gt;"",'calcA'!DQ$108=1),5,IF(AND(G27="",'calcA'!DQ$108=1),6,IF(AND(G27&lt;&gt;"",G27=$J$5),7,IF(IF('calcA'!$B$8&gt;0,INDEX('calcA'!DQ$10:DQ$54,'calcA'!$B$8),0)=1,8,IF(AND(G27="",IF('calcA'!$B$8&gt;0,INDEX('calcA'!DQ$60:DQ$104,'calcA'!$B$8),0)=1),9,IF(AND(G27&lt;&gt;"",IF('calcA'!$B$8&gt;0,INDEX('calcA'!DQ$60:DQ$104,'calcA'!$B$8),0)=1),10,IF(AND(G27="",'calcA'!DQ$5=1),11,12))))))))))))</f>
        <v/>
      </c>
      <c r="AF27">
        <f>IF(AND(H27="",'calcA'!EO$115=0),0,IF(AND(H27&lt;&gt;"",'calcA'!EO$4=0),1,IF(IF(H27="",0,IFERROR(INDEX('calcA'!EO$10:EO$54,MATCH(H27,'calcA'!$B$10:$B$54,0)),0))=1,2,IF(AND(H27&lt;&gt;"",COUNTIF($C$6:$H$29,H27)&gt;1),3,IF('calcA'!EO$4=0,4,IF(AND(H27&lt;&gt;"",'calcA'!EO$108=1),5,IF(AND(H27="",'calcA'!EO$108=1),6,IF(AND(H27&lt;&gt;"",H27=$J$5),7,IF(IF('calcA'!$B$8&gt;0,INDEX('calcA'!EO$10:EO$54,'calcA'!$B$8),0)=1,8,IF(AND(H27="",IF('calcA'!$B$8&gt;0,INDEX('calcA'!EO$60:EO$104,'calcA'!$B$8),0)=1),9,IF(AND(H27&lt;&gt;"",IF('calcA'!$B$8&gt;0,INDEX('calcA'!EO$60:EO$104,'calcA'!$B$8),0)=1),10,IF(AND(H27="",'calcA'!EO$5=1),11,12))))))))))))</f>
        <v/>
      </c>
    </row>
    <row r="28" ht="26" customHeight="1">
      <c r="B28" s="46">
        <f>'設定'!$I$33</f>
        <v/>
      </c>
      <c r="C28" s="27" t="n"/>
      <c r="D28" s="27" t="n"/>
      <c r="E28" s="27" t="n"/>
      <c r="F28" s="27" t="n"/>
      <c r="G28" s="27" t="n"/>
      <c r="H28" s="27" t="n"/>
      <c r="AA28">
        <f>IF(AND(C28="",'calcA'!Z$115=0),0,IF(AND(C28&lt;&gt;"",'calcA'!Z$4=0),1,IF(IF(C28="",0,IFERROR(INDEX('calcA'!Z$10:Z$54,MATCH(C28,'calcA'!$B$10:$B$54,0)),0))=1,2,IF(AND(C28&lt;&gt;"",COUNTIF($C$6:$H$29,C28)&gt;1),3,IF('calcA'!Z$4=0,4,IF(AND(C28&lt;&gt;"",'calcA'!Z$108=1),5,IF(AND(C28="",'calcA'!Z$108=1),6,IF(AND(C28&lt;&gt;"",C28=$J$5),7,IF(IF('calcA'!$B$8&gt;0,INDEX('calcA'!Z$10:Z$54,'calcA'!$B$8),0)=1,8,IF(AND(C28="",IF('calcA'!$B$8&gt;0,INDEX('calcA'!Z$60:Z$104,'calcA'!$B$8),0)=1),9,IF(AND(C28&lt;&gt;"",IF('calcA'!$B$8&gt;0,INDEX('calcA'!Z$60:Z$104,'calcA'!$B$8),0)=1),10,IF(AND(C28="",'calcA'!Z$5=1),11,12))))))))))))</f>
        <v/>
      </c>
      <c r="AB28">
        <f>IF(AND(D28="",'calcA'!AX$115=0),0,IF(AND(D28&lt;&gt;"",'calcA'!AX$4=0),1,IF(IF(D28="",0,IFERROR(INDEX('calcA'!AX$10:AX$54,MATCH(D28,'calcA'!$B$10:$B$54,0)),0))=1,2,IF(AND(D28&lt;&gt;"",COUNTIF($C$6:$H$29,D28)&gt;1),3,IF('calcA'!AX$4=0,4,IF(AND(D28&lt;&gt;"",'calcA'!AX$108=1),5,IF(AND(D28="",'calcA'!AX$108=1),6,IF(AND(D28&lt;&gt;"",D28=$J$5),7,IF(IF('calcA'!$B$8&gt;0,INDEX('calcA'!AX$10:AX$54,'calcA'!$B$8),0)=1,8,IF(AND(D28="",IF('calcA'!$B$8&gt;0,INDEX('calcA'!AX$60:AX$104,'calcA'!$B$8),0)=1),9,IF(AND(D28&lt;&gt;"",IF('calcA'!$B$8&gt;0,INDEX('calcA'!AX$60:AX$104,'calcA'!$B$8),0)=1),10,IF(AND(D28="",'calcA'!AX$5=1),11,12))))))))))))</f>
        <v/>
      </c>
      <c r="AC28">
        <f>IF(AND(E28="",'calcA'!BV$115=0),0,IF(AND(E28&lt;&gt;"",'calcA'!BV$4=0),1,IF(IF(E28="",0,IFERROR(INDEX('calcA'!BV$10:BV$54,MATCH(E28,'calcA'!$B$10:$B$54,0)),0))=1,2,IF(AND(E28&lt;&gt;"",COUNTIF($C$6:$H$29,E28)&gt;1),3,IF('calcA'!BV$4=0,4,IF(AND(E28&lt;&gt;"",'calcA'!BV$108=1),5,IF(AND(E28="",'calcA'!BV$108=1),6,IF(AND(E28&lt;&gt;"",E28=$J$5),7,IF(IF('calcA'!$B$8&gt;0,INDEX('calcA'!BV$10:BV$54,'calcA'!$B$8),0)=1,8,IF(AND(E28="",IF('calcA'!$B$8&gt;0,INDEX('calcA'!BV$60:BV$104,'calcA'!$B$8),0)=1),9,IF(AND(E28&lt;&gt;"",IF('calcA'!$B$8&gt;0,INDEX('calcA'!BV$60:BV$104,'calcA'!$B$8),0)=1),10,IF(AND(E28="",'calcA'!BV$5=1),11,12))))))))))))</f>
        <v/>
      </c>
      <c r="AD28">
        <f>IF(AND(F28="",'calcA'!CT$115=0),0,IF(AND(F28&lt;&gt;"",'calcA'!CT$4=0),1,IF(IF(F28="",0,IFERROR(INDEX('calcA'!CT$10:CT$54,MATCH(F28,'calcA'!$B$10:$B$54,0)),0))=1,2,IF(AND(F28&lt;&gt;"",COUNTIF($C$6:$H$29,F28)&gt;1),3,IF('calcA'!CT$4=0,4,IF(AND(F28&lt;&gt;"",'calcA'!CT$108=1),5,IF(AND(F28="",'calcA'!CT$108=1),6,IF(AND(F28&lt;&gt;"",F28=$J$5),7,IF(IF('calcA'!$B$8&gt;0,INDEX('calcA'!CT$10:CT$54,'calcA'!$B$8),0)=1,8,IF(AND(F28="",IF('calcA'!$B$8&gt;0,INDEX('calcA'!CT$60:CT$104,'calcA'!$B$8),0)=1),9,IF(AND(F28&lt;&gt;"",IF('calcA'!$B$8&gt;0,INDEX('calcA'!CT$60:CT$104,'calcA'!$B$8),0)=1),10,IF(AND(F28="",'calcA'!CT$5=1),11,12))))))))))))</f>
        <v/>
      </c>
      <c r="AE28">
        <f>IF(AND(G28="",'calcA'!DR$115=0),0,IF(AND(G28&lt;&gt;"",'calcA'!DR$4=0),1,IF(IF(G28="",0,IFERROR(INDEX('calcA'!DR$10:DR$54,MATCH(G28,'calcA'!$B$10:$B$54,0)),0))=1,2,IF(AND(G28&lt;&gt;"",COUNTIF($C$6:$H$29,G28)&gt;1),3,IF('calcA'!DR$4=0,4,IF(AND(G28&lt;&gt;"",'calcA'!DR$108=1),5,IF(AND(G28="",'calcA'!DR$108=1),6,IF(AND(G28&lt;&gt;"",G28=$J$5),7,IF(IF('calcA'!$B$8&gt;0,INDEX('calcA'!DR$10:DR$54,'calcA'!$B$8),0)=1,8,IF(AND(G28="",IF('calcA'!$B$8&gt;0,INDEX('calcA'!DR$60:DR$104,'calcA'!$B$8),0)=1),9,IF(AND(G28&lt;&gt;"",IF('calcA'!$B$8&gt;0,INDEX('calcA'!DR$60:DR$104,'calcA'!$B$8),0)=1),10,IF(AND(G28="",'calcA'!DR$5=1),11,12))))))))))))</f>
        <v/>
      </c>
      <c r="AF28">
        <f>IF(AND(H28="",'calcA'!EP$115=0),0,IF(AND(H28&lt;&gt;"",'calcA'!EP$4=0),1,IF(IF(H28="",0,IFERROR(INDEX('calcA'!EP$10:EP$54,MATCH(H28,'calcA'!$B$10:$B$54,0)),0))=1,2,IF(AND(H28&lt;&gt;"",COUNTIF($C$6:$H$29,H28)&gt;1),3,IF('calcA'!EP$4=0,4,IF(AND(H28&lt;&gt;"",'calcA'!EP$108=1),5,IF(AND(H28="",'calcA'!EP$108=1),6,IF(AND(H28&lt;&gt;"",H28=$J$5),7,IF(IF('calcA'!$B$8&gt;0,INDEX('calcA'!EP$10:EP$54,'calcA'!$B$8),0)=1,8,IF(AND(H28="",IF('calcA'!$B$8&gt;0,INDEX('calcA'!EP$60:EP$104,'calcA'!$B$8),0)=1),9,IF(AND(H28&lt;&gt;"",IF('calcA'!$B$8&gt;0,INDEX('calcA'!EP$60:EP$104,'calcA'!$B$8),0)=1),10,IF(AND(H28="",'calcA'!EP$5=1),11,12))))))))))))</f>
        <v/>
      </c>
    </row>
    <row r="29" ht="26" customHeight="1">
      <c r="B29" s="46">
        <f>'設定'!$I$34</f>
        <v/>
      </c>
      <c r="C29" s="27" t="n"/>
      <c r="D29" s="27" t="n"/>
      <c r="E29" s="27" t="n"/>
      <c r="F29" s="27" t="n"/>
      <c r="G29" s="27" t="n"/>
      <c r="H29" s="27" t="n"/>
      <c r="AA29">
        <f>IF(AND(C29="",'calcA'!AA$115=0),0,IF(AND(C29&lt;&gt;"",'calcA'!AA$4=0),1,IF(IF(C29="",0,IFERROR(INDEX('calcA'!AA$10:AA$54,MATCH(C29,'calcA'!$B$10:$B$54,0)),0))=1,2,IF(AND(C29&lt;&gt;"",COUNTIF($C$6:$H$29,C29)&gt;1),3,IF('calcA'!AA$4=0,4,IF(AND(C29&lt;&gt;"",'calcA'!AA$108=1),5,IF(AND(C29="",'calcA'!AA$108=1),6,IF(AND(C29&lt;&gt;"",C29=$J$5),7,IF(IF('calcA'!$B$8&gt;0,INDEX('calcA'!AA$10:AA$54,'calcA'!$B$8),0)=1,8,IF(AND(C29="",IF('calcA'!$B$8&gt;0,INDEX('calcA'!AA$60:AA$104,'calcA'!$B$8),0)=1),9,IF(AND(C29&lt;&gt;"",IF('calcA'!$B$8&gt;0,INDEX('calcA'!AA$60:AA$104,'calcA'!$B$8),0)=1),10,IF(AND(C29="",'calcA'!AA$5=1),11,12))))))))))))</f>
        <v/>
      </c>
      <c r="AB29">
        <f>IF(AND(D29="",'calcA'!AY$115=0),0,IF(AND(D29&lt;&gt;"",'calcA'!AY$4=0),1,IF(IF(D29="",0,IFERROR(INDEX('calcA'!AY$10:AY$54,MATCH(D29,'calcA'!$B$10:$B$54,0)),0))=1,2,IF(AND(D29&lt;&gt;"",COUNTIF($C$6:$H$29,D29)&gt;1),3,IF('calcA'!AY$4=0,4,IF(AND(D29&lt;&gt;"",'calcA'!AY$108=1),5,IF(AND(D29="",'calcA'!AY$108=1),6,IF(AND(D29&lt;&gt;"",D29=$J$5),7,IF(IF('calcA'!$B$8&gt;0,INDEX('calcA'!AY$10:AY$54,'calcA'!$B$8),0)=1,8,IF(AND(D29="",IF('calcA'!$B$8&gt;0,INDEX('calcA'!AY$60:AY$104,'calcA'!$B$8),0)=1),9,IF(AND(D29&lt;&gt;"",IF('calcA'!$B$8&gt;0,INDEX('calcA'!AY$60:AY$104,'calcA'!$B$8),0)=1),10,IF(AND(D29="",'calcA'!AY$5=1),11,12))))))))))))</f>
        <v/>
      </c>
      <c r="AC29">
        <f>IF(AND(E29="",'calcA'!BW$115=0),0,IF(AND(E29&lt;&gt;"",'calcA'!BW$4=0),1,IF(IF(E29="",0,IFERROR(INDEX('calcA'!BW$10:BW$54,MATCH(E29,'calcA'!$B$10:$B$54,0)),0))=1,2,IF(AND(E29&lt;&gt;"",COUNTIF($C$6:$H$29,E29)&gt;1),3,IF('calcA'!BW$4=0,4,IF(AND(E29&lt;&gt;"",'calcA'!BW$108=1),5,IF(AND(E29="",'calcA'!BW$108=1),6,IF(AND(E29&lt;&gt;"",E29=$J$5),7,IF(IF('calcA'!$B$8&gt;0,INDEX('calcA'!BW$10:BW$54,'calcA'!$B$8),0)=1,8,IF(AND(E29="",IF('calcA'!$B$8&gt;0,INDEX('calcA'!BW$60:BW$104,'calcA'!$B$8),0)=1),9,IF(AND(E29&lt;&gt;"",IF('calcA'!$B$8&gt;0,INDEX('calcA'!BW$60:BW$104,'calcA'!$B$8),0)=1),10,IF(AND(E29="",'calcA'!BW$5=1),11,12))))))))))))</f>
        <v/>
      </c>
      <c r="AD29">
        <f>IF(AND(F29="",'calcA'!CU$115=0),0,IF(AND(F29&lt;&gt;"",'calcA'!CU$4=0),1,IF(IF(F29="",0,IFERROR(INDEX('calcA'!CU$10:CU$54,MATCH(F29,'calcA'!$B$10:$B$54,0)),0))=1,2,IF(AND(F29&lt;&gt;"",COUNTIF($C$6:$H$29,F29)&gt;1),3,IF('calcA'!CU$4=0,4,IF(AND(F29&lt;&gt;"",'calcA'!CU$108=1),5,IF(AND(F29="",'calcA'!CU$108=1),6,IF(AND(F29&lt;&gt;"",F29=$J$5),7,IF(IF('calcA'!$B$8&gt;0,INDEX('calcA'!CU$10:CU$54,'calcA'!$B$8),0)=1,8,IF(AND(F29="",IF('calcA'!$B$8&gt;0,INDEX('calcA'!CU$60:CU$104,'calcA'!$B$8),0)=1),9,IF(AND(F29&lt;&gt;"",IF('calcA'!$B$8&gt;0,INDEX('calcA'!CU$60:CU$104,'calcA'!$B$8),0)=1),10,IF(AND(F29="",'calcA'!CU$5=1),11,12))))))))))))</f>
        <v/>
      </c>
      <c r="AE29">
        <f>IF(AND(G29="",'calcA'!DS$115=0),0,IF(AND(G29&lt;&gt;"",'calcA'!DS$4=0),1,IF(IF(G29="",0,IFERROR(INDEX('calcA'!DS$10:DS$54,MATCH(G29,'calcA'!$B$10:$B$54,0)),0))=1,2,IF(AND(G29&lt;&gt;"",COUNTIF($C$6:$H$29,G29)&gt;1),3,IF('calcA'!DS$4=0,4,IF(AND(G29&lt;&gt;"",'calcA'!DS$108=1),5,IF(AND(G29="",'calcA'!DS$108=1),6,IF(AND(G29&lt;&gt;"",G29=$J$5),7,IF(IF('calcA'!$B$8&gt;0,INDEX('calcA'!DS$10:DS$54,'calcA'!$B$8),0)=1,8,IF(AND(G29="",IF('calcA'!$B$8&gt;0,INDEX('calcA'!DS$60:DS$104,'calcA'!$B$8),0)=1),9,IF(AND(G29&lt;&gt;"",IF('calcA'!$B$8&gt;0,INDEX('calcA'!DS$60:DS$104,'calcA'!$B$8),0)=1),10,IF(AND(G29="",'calcA'!DS$5=1),11,12))))))))))))</f>
        <v/>
      </c>
      <c r="AF29">
        <f>IF(AND(H29="",'calcA'!EQ$115=0),0,IF(AND(H29&lt;&gt;"",'calcA'!EQ$4=0),1,IF(IF(H29="",0,IFERROR(INDEX('calcA'!EQ$10:EQ$54,MATCH(H29,'calcA'!$B$10:$B$54,0)),0))=1,2,IF(AND(H29&lt;&gt;"",COUNTIF($C$6:$H$29,H29)&gt;1),3,IF('calcA'!EQ$4=0,4,IF(AND(H29&lt;&gt;"",'calcA'!EQ$108=1),5,IF(AND(H29="",'calcA'!EQ$108=1),6,IF(AND(H29&lt;&gt;"",H29=$J$5),7,IF(IF('calcA'!$B$8&gt;0,INDEX('calcA'!EQ$10:EQ$54,'calcA'!$B$8),0)=1,8,IF(AND(H29="",IF('calcA'!$B$8&gt;0,INDEX('calcA'!EQ$60:EQ$104,'calcA'!$B$8),0)=1),9,IF(AND(H29&lt;&gt;"",IF('calcA'!$B$8&gt;0,INDEX('calcA'!EQ$60:EQ$104,'calcA'!$B$8),0)=1),10,IF(AND(H29="",'calcA'!EQ$5=1),11,12))))))))))))</f>
        <v/>
      </c>
    </row>
    <row r="32">
      <c r="B32" s="107" t="inlineStr">
        <is>
          <t>候補（その枠に入れられる、まだ決まっていない児童）</t>
        </is>
      </c>
    </row>
    <row r="33">
      <c r="B33" s="108" t="inlineStr">
        <is>
          <t>未入力・未提出の家庭は含みません。0人の枠は赤、1人の枠はオレンジです。</t>
        </is>
      </c>
    </row>
    <row r="34">
      <c r="B34" s="38" t="inlineStr"/>
      <c r="C34" s="39">
        <f>'設定'!$E$11</f>
        <v/>
      </c>
      <c r="D34" s="39">
        <f>'設定'!$E$12</f>
        <v/>
      </c>
      <c r="E34" s="39">
        <f>'設定'!$E$13</f>
        <v/>
      </c>
      <c r="F34" s="39">
        <f>'設定'!$E$14</f>
        <v/>
      </c>
      <c r="G34" s="39">
        <f>'設定'!$E$15</f>
        <v/>
      </c>
      <c r="H34" s="39">
        <f>'設定'!$E$16</f>
        <v/>
      </c>
    </row>
    <row r="35" ht="44" customHeight="1">
      <c r="B35" s="46">
        <f>'設定'!$I$11</f>
        <v/>
      </c>
      <c r="C35" s="109">
        <f t="array" ref="C35">IF('calcA'!D$4=0,"",IF(C6&lt;&gt;"","（決定）",IF('calcA'!D$108=1,"（空ける）",SUMPRODUCT(('calcA'!D$60:D$104=1)*('calcA'!$C$10:$C$54=1))&amp;"人："&amp;_xlfn.TEXTJOIN("、",TRUE,IF(('calcA'!D$60:D$104=1)*('calcA'!$C$10:$C$54=1),'calcA'!$B$10:$B$54,"")))))</f>
        <v/>
      </c>
      <c r="D35" s="109">
        <f t="array" ref="D35">IF('calcA'!AB$4=0,"",IF(D6&lt;&gt;"","（決定）",IF('calcA'!AB$108=1,"（空ける）",SUMPRODUCT(('calcA'!AB$60:AB$104=1)*('calcA'!$C$10:$C$54=1))&amp;"人："&amp;_xlfn.TEXTJOIN("、",TRUE,IF(('calcA'!AB$60:AB$104=1)*('calcA'!$C$10:$C$54=1),'calcA'!$B$10:$B$54,"")))))</f>
        <v/>
      </c>
      <c r="E35" s="109">
        <f t="array" ref="E35">IF('calcA'!AZ$4=0,"",IF(E6&lt;&gt;"","（決定）",IF('calcA'!AZ$108=1,"（空ける）",SUMPRODUCT(('calcA'!AZ$60:AZ$104=1)*('calcA'!$C$10:$C$54=1))&amp;"人："&amp;_xlfn.TEXTJOIN("、",TRUE,IF(('calcA'!AZ$60:AZ$104=1)*('calcA'!$C$10:$C$54=1),'calcA'!$B$10:$B$54,"")))))</f>
        <v/>
      </c>
      <c r="F35" s="109">
        <f t="array" ref="F35">IF('calcA'!BX$4=0,"",IF(F6&lt;&gt;"","（決定）",IF('calcA'!BX$108=1,"（空ける）",SUMPRODUCT(('calcA'!BX$60:BX$104=1)*('calcA'!$C$10:$C$54=1))&amp;"人："&amp;_xlfn.TEXTJOIN("、",TRUE,IF(('calcA'!BX$60:BX$104=1)*('calcA'!$C$10:$C$54=1),'calcA'!$B$10:$B$54,"")))))</f>
        <v/>
      </c>
      <c r="G35" s="109">
        <f t="array" ref="G35">IF('calcA'!CV$4=0,"",IF(G6&lt;&gt;"","（決定）",IF('calcA'!CV$108=1,"（空ける）",SUMPRODUCT(('calcA'!CV$60:CV$104=1)*('calcA'!$C$10:$C$54=1))&amp;"人："&amp;_xlfn.TEXTJOIN("、",TRUE,IF(('calcA'!CV$60:CV$104=1)*('calcA'!$C$10:$C$54=1),'calcA'!$B$10:$B$54,"")))))</f>
        <v/>
      </c>
      <c r="H35" s="109">
        <f t="array" ref="H35">IF('calcA'!DT$4=0,"",IF(H6&lt;&gt;"","（決定）",IF('calcA'!DT$108=1,"（空ける）",SUMPRODUCT(('calcA'!DT$60:DT$104=1)*('calcA'!$C$10:$C$54=1))&amp;"人："&amp;_xlfn.TEXTJOIN("、",TRUE,IF(('calcA'!DT$60:DT$104=1)*('calcA'!$C$10:$C$54=1),'calcA'!$B$10:$B$54,"")))))</f>
        <v/>
      </c>
      <c r="AA35">
        <f>IF('calcA'!D$115=0,0,IF('calcA'!D$4=0,1,IF(LEFT(C35,2)="0人",2,IF(LEFT(C35,2)="1人",3,4))))</f>
        <v/>
      </c>
      <c r="AB35">
        <f>IF('calcA'!AB$115=0,0,IF('calcA'!AB$4=0,1,IF(LEFT(D35,2)="0人",2,IF(LEFT(D35,2)="1人",3,4))))</f>
        <v/>
      </c>
      <c r="AC35">
        <f>IF('calcA'!AZ$115=0,0,IF('calcA'!AZ$4=0,1,IF(LEFT(E35,2)="0人",2,IF(LEFT(E35,2)="1人",3,4))))</f>
        <v/>
      </c>
      <c r="AD35">
        <f>IF('calcA'!BX$115=0,0,IF('calcA'!BX$4=0,1,IF(LEFT(F35,2)="0人",2,IF(LEFT(F35,2)="1人",3,4))))</f>
        <v/>
      </c>
      <c r="AE35">
        <f>IF('calcA'!CV$115=0,0,IF('calcA'!CV$4=0,1,IF(LEFT(G35,2)="0人",2,IF(LEFT(G35,2)="1人",3,4))))</f>
        <v/>
      </c>
      <c r="AF35">
        <f>IF('calcA'!DT$115=0,0,IF('calcA'!DT$4=0,1,IF(LEFT(H35,2)="0人",2,IF(LEFT(H35,2)="1人",3,4))))</f>
        <v/>
      </c>
    </row>
    <row r="36" ht="44" customHeight="1">
      <c r="B36" s="46">
        <f>'設定'!$I$12</f>
        <v/>
      </c>
      <c r="C36" s="109">
        <f t="array" ref="C36">IF('calcA'!E$4=0,"",IF(C7&lt;&gt;"","（決定）",IF('calcA'!E$108=1,"（空ける）",SUMPRODUCT(('calcA'!E$60:E$104=1)*('calcA'!$C$10:$C$54=1))&amp;"人："&amp;_xlfn.TEXTJOIN("、",TRUE,IF(('calcA'!E$60:E$104=1)*('calcA'!$C$10:$C$54=1),'calcA'!$B$10:$B$54,"")))))</f>
        <v/>
      </c>
      <c r="D36" s="109">
        <f t="array" ref="D36">IF('calcA'!AC$4=0,"",IF(D7&lt;&gt;"","（決定）",IF('calcA'!AC$108=1,"（空ける）",SUMPRODUCT(('calcA'!AC$60:AC$104=1)*('calcA'!$C$10:$C$54=1))&amp;"人："&amp;_xlfn.TEXTJOIN("、",TRUE,IF(('calcA'!AC$60:AC$104=1)*('calcA'!$C$10:$C$54=1),'calcA'!$B$10:$B$54,"")))))</f>
        <v/>
      </c>
      <c r="E36" s="109">
        <f t="array" ref="E36">IF('calcA'!BA$4=0,"",IF(E7&lt;&gt;"","（決定）",IF('calcA'!BA$108=1,"（空ける）",SUMPRODUCT(('calcA'!BA$60:BA$104=1)*('calcA'!$C$10:$C$54=1))&amp;"人："&amp;_xlfn.TEXTJOIN("、",TRUE,IF(('calcA'!BA$60:BA$104=1)*('calcA'!$C$10:$C$54=1),'calcA'!$B$10:$B$54,"")))))</f>
        <v/>
      </c>
      <c r="F36" s="109">
        <f t="array" ref="F36">IF('calcA'!BY$4=0,"",IF(F7&lt;&gt;"","（決定）",IF('calcA'!BY$108=1,"（空ける）",SUMPRODUCT(('calcA'!BY$60:BY$104=1)*('calcA'!$C$10:$C$54=1))&amp;"人："&amp;_xlfn.TEXTJOIN("、",TRUE,IF(('calcA'!BY$60:BY$104=1)*('calcA'!$C$10:$C$54=1),'calcA'!$B$10:$B$54,"")))))</f>
        <v/>
      </c>
      <c r="G36" s="109">
        <f t="array" ref="G36">IF('calcA'!CW$4=0,"",IF(G7&lt;&gt;"","（決定）",IF('calcA'!CW$108=1,"（空ける）",SUMPRODUCT(('calcA'!CW$60:CW$104=1)*('calcA'!$C$10:$C$54=1))&amp;"人："&amp;_xlfn.TEXTJOIN("、",TRUE,IF(('calcA'!CW$60:CW$104=1)*('calcA'!$C$10:$C$54=1),'calcA'!$B$10:$B$54,"")))))</f>
        <v/>
      </c>
      <c r="H36" s="109">
        <f t="array" ref="H36">IF('calcA'!DU$4=0,"",IF(H7&lt;&gt;"","（決定）",IF('calcA'!DU$108=1,"（空ける）",SUMPRODUCT(('calcA'!DU$60:DU$104=1)*('calcA'!$C$10:$C$54=1))&amp;"人："&amp;_xlfn.TEXTJOIN("、",TRUE,IF(('calcA'!DU$60:DU$104=1)*('calcA'!$C$10:$C$54=1),'calcA'!$B$10:$B$54,"")))))</f>
        <v/>
      </c>
      <c r="AA36">
        <f>IF('calcA'!E$115=0,0,IF('calcA'!E$4=0,1,IF(LEFT(C36,2)="0人",2,IF(LEFT(C36,2)="1人",3,4))))</f>
        <v/>
      </c>
      <c r="AB36">
        <f>IF('calcA'!AC$115=0,0,IF('calcA'!AC$4=0,1,IF(LEFT(D36,2)="0人",2,IF(LEFT(D36,2)="1人",3,4))))</f>
        <v/>
      </c>
      <c r="AC36">
        <f>IF('calcA'!BA$115=0,0,IF('calcA'!BA$4=0,1,IF(LEFT(E36,2)="0人",2,IF(LEFT(E36,2)="1人",3,4))))</f>
        <v/>
      </c>
      <c r="AD36">
        <f>IF('calcA'!BY$115=0,0,IF('calcA'!BY$4=0,1,IF(LEFT(F36,2)="0人",2,IF(LEFT(F36,2)="1人",3,4))))</f>
        <v/>
      </c>
      <c r="AE36">
        <f>IF('calcA'!CW$115=0,0,IF('calcA'!CW$4=0,1,IF(LEFT(G36,2)="0人",2,IF(LEFT(G36,2)="1人",3,4))))</f>
        <v/>
      </c>
      <c r="AF36">
        <f>IF('calcA'!DU$115=0,0,IF('calcA'!DU$4=0,1,IF(LEFT(H36,2)="0人",2,IF(LEFT(H36,2)="1人",3,4))))</f>
        <v/>
      </c>
    </row>
    <row r="37" ht="44" customHeight="1">
      <c r="B37" s="46">
        <f>'設定'!$I$13</f>
        <v/>
      </c>
      <c r="C37" s="109">
        <f t="array" ref="C37">IF('calcA'!F$4=0,"",IF(C8&lt;&gt;"","（決定）",IF('calcA'!F$108=1,"（空ける）",SUMPRODUCT(('calcA'!F$60:F$104=1)*('calcA'!$C$10:$C$54=1))&amp;"人："&amp;_xlfn.TEXTJOIN("、",TRUE,IF(('calcA'!F$60:F$104=1)*('calcA'!$C$10:$C$54=1),'calcA'!$B$10:$B$54,"")))))</f>
        <v/>
      </c>
      <c r="D37" s="109">
        <f t="array" ref="D37">IF('calcA'!AD$4=0,"",IF(D8&lt;&gt;"","（決定）",IF('calcA'!AD$108=1,"（空ける）",SUMPRODUCT(('calcA'!AD$60:AD$104=1)*('calcA'!$C$10:$C$54=1))&amp;"人："&amp;_xlfn.TEXTJOIN("、",TRUE,IF(('calcA'!AD$60:AD$104=1)*('calcA'!$C$10:$C$54=1),'calcA'!$B$10:$B$54,"")))))</f>
        <v/>
      </c>
      <c r="E37" s="109">
        <f t="array" ref="E37">IF('calcA'!BB$4=0,"",IF(E8&lt;&gt;"","（決定）",IF('calcA'!BB$108=1,"（空ける）",SUMPRODUCT(('calcA'!BB$60:BB$104=1)*('calcA'!$C$10:$C$54=1))&amp;"人："&amp;_xlfn.TEXTJOIN("、",TRUE,IF(('calcA'!BB$60:BB$104=1)*('calcA'!$C$10:$C$54=1),'calcA'!$B$10:$B$54,"")))))</f>
        <v/>
      </c>
      <c r="F37" s="109">
        <f t="array" ref="F37">IF('calcA'!BZ$4=0,"",IF(F8&lt;&gt;"","（決定）",IF('calcA'!BZ$108=1,"（空ける）",SUMPRODUCT(('calcA'!BZ$60:BZ$104=1)*('calcA'!$C$10:$C$54=1))&amp;"人："&amp;_xlfn.TEXTJOIN("、",TRUE,IF(('calcA'!BZ$60:BZ$104=1)*('calcA'!$C$10:$C$54=1),'calcA'!$B$10:$B$54,"")))))</f>
        <v/>
      </c>
      <c r="G37" s="109">
        <f t="array" ref="G37">IF('calcA'!CX$4=0,"",IF(G8&lt;&gt;"","（決定）",IF('calcA'!CX$108=1,"（空ける）",SUMPRODUCT(('calcA'!CX$60:CX$104=1)*('calcA'!$C$10:$C$54=1))&amp;"人："&amp;_xlfn.TEXTJOIN("、",TRUE,IF(('calcA'!CX$60:CX$104=1)*('calcA'!$C$10:$C$54=1),'calcA'!$B$10:$B$54,"")))))</f>
        <v/>
      </c>
      <c r="H37" s="109">
        <f t="array" ref="H37">IF('calcA'!DV$4=0,"",IF(H8&lt;&gt;"","（決定）",IF('calcA'!DV$108=1,"（空ける）",SUMPRODUCT(('calcA'!DV$60:DV$104=1)*('calcA'!$C$10:$C$54=1))&amp;"人："&amp;_xlfn.TEXTJOIN("、",TRUE,IF(('calcA'!DV$60:DV$104=1)*('calcA'!$C$10:$C$54=1),'calcA'!$B$10:$B$54,"")))))</f>
        <v/>
      </c>
      <c r="AA37">
        <f>IF('calcA'!F$115=0,0,IF('calcA'!F$4=0,1,IF(LEFT(C37,2)="0人",2,IF(LEFT(C37,2)="1人",3,4))))</f>
        <v/>
      </c>
      <c r="AB37">
        <f>IF('calcA'!AD$115=0,0,IF('calcA'!AD$4=0,1,IF(LEFT(D37,2)="0人",2,IF(LEFT(D37,2)="1人",3,4))))</f>
        <v/>
      </c>
      <c r="AC37">
        <f>IF('calcA'!BB$115=0,0,IF('calcA'!BB$4=0,1,IF(LEFT(E37,2)="0人",2,IF(LEFT(E37,2)="1人",3,4))))</f>
        <v/>
      </c>
      <c r="AD37">
        <f>IF('calcA'!BZ$115=0,0,IF('calcA'!BZ$4=0,1,IF(LEFT(F37,2)="0人",2,IF(LEFT(F37,2)="1人",3,4))))</f>
        <v/>
      </c>
      <c r="AE37">
        <f>IF('calcA'!CX$115=0,0,IF('calcA'!CX$4=0,1,IF(LEFT(G37,2)="0人",2,IF(LEFT(G37,2)="1人",3,4))))</f>
        <v/>
      </c>
      <c r="AF37">
        <f>IF('calcA'!DV$115=0,0,IF('calcA'!DV$4=0,1,IF(LEFT(H37,2)="0人",2,IF(LEFT(H37,2)="1人",3,4))))</f>
        <v/>
      </c>
    </row>
    <row r="38" ht="44" customHeight="1">
      <c r="B38" s="46">
        <f>'設定'!$I$14</f>
        <v/>
      </c>
      <c r="C38" s="109">
        <f t="array" ref="C38">IF('calcA'!G$4=0,"",IF(C9&lt;&gt;"","（決定）",IF('calcA'!G$108=1,"（空ける）",SUMPRODUCT(('calcA'!G$60:G$104=1)*('calcA'!$C$10:$C$54=1))&amp;"人："&amp;_xlfn.TEXTJOIN("、",TRUE,IF(('calcA'!G$60:G$104=1)*('calcA'!$C$10:$C$54=1),'calcA'!$B$10:$B$54,"")))))</f>
        <v/>
      </c>
      <c r="D38" s="109">
        <f t="array" ref="D38">IF('calcA'!AE$4=0,"",IF(D9&lt;&gt;"","（決定）",IF('calcA'!AE$108=1,"（空ける）",SUMPRODUCT(('calcA'!AE$60:AE$104=1)*('calcA'!$C$10:$C$54=1))&amp;"人："&amp;_xlfn.TEXTJOIN("、",TRUE,IF(('calcA'!AE$60:AE$104=1)*('calcA'!$C$10:$C$54=1),'calcA'!$B$10:$B$54,"")))))</f>
        <v/>
      </c>
      <c r="E38" s="109">
        <f t="array" ref="E38">IF('calcA'!BC$4=0,"",IF(E9&lt;&gt;"","（決定）",IF('calcA'!BC$108=1,"（空ける）",SUMPRODUCT(('calcA'!BC$60:BC$104=1)*('calcA'!$C$10:$C$54=1))&amp;"人："&amp;_xlfn.TEXTJOIN("、",TRUE,IF(('calcA'!BC$60:BC$104=1)*('calcA'!$C$10:$C$54=1),'calcA'!$B$10:$B$54,"")))))</f>
        <v/>
      </c>
      <c r="F38" s="109">
        <f t="array" ref="F38">IF('calcA'!CA$4=0,"",IF(F9&lt;&gt;"","（決定）",IF('calcA'!CA$108=1,"（空ける）",SUMPRODUCT(('calcA'!CA$60:CA$104=1)*('calcA'!$C$10:$C$54=1))&amp;"人："&amp;_xlfn.TEXTJOIN("、",TRUE,IF(('calcA'!CA$60:CA$104=1)*('calcA'!$C$10:$C$54=1),'calcA'!$B$10:$B$54,"")))))</f>
        <v/>
      </c>
      <c r="G38" s="109">
        <f t="array" ref="G38">IF('calcA'!CY$4=0,"",IF(G9&lt;&gt;"","（決定）",IF('calcA'!CY$108=1,"（空ける）",SUMPRODUCT(('calcA'!CY$60:CY$104=1)*('calcA'!$C$10:$C$54=1))&amp;"人："&amp;_xlfn.TEXTJOIN("、",TRUE,IF(('calcA'!CY$60:CY$104=1)*('calcA'!$C$10:$C$54=1),'calcA'!$B$10:$B$54,"")))))</f>
        <v/>
      </c>
      <c r="H38" s="109">
        <f t="array" ref="H38">IF('calcA'!DW$4=0,"",IF(H9&lt;&gt;"","（決定）",IF('calcA'!DW$108=1,"（空ける）",SUMPRODUCT(('calcA'!DW$60:DW$104=1)*('calcA'!$C$10:$C$54=1))&amp;"人："&amp;_xlfn.TEXTJOIN("、",TRUE,IF(('calcA'!DW$60:DW$104=1)*('calcA'!$C$10:$C$54=1),'calcA'!$B$10:$B$54,"")))))</f>
        <v/>
      </c>
      <c r="AA38">
        <f>IF('calcA'!G$115=0,0,IF('calcA'!G$4=0,1,IF(LEFT(C38,2)="0人",2,IF(LEFT(C38,2)="1人",3,4))))</f>
        <v/>
      </c>
      <c r="AB38">
        <f>IF('calcA'!AE$115=0,0,IF('calcA'!AE$4=0,1,IF(LEFT(D38,2)="0人",2,IF(LEFT(D38,2)="1人",3,4))))</f>
        <v/>
      </c>
      <c r="AC38">
        <f>IF('calcA'!BC$115=0,0,IF('calcA'!BC$4=0,1,IF(LEFT(E38,2)="0人",2,IF(LEFT(E38,2)="1人",3,4))))</f>
        <v/>
      </c>
      <c r="AD38">
        <f>IF('calcA'!CA$115=0,0,IF('calcA'!CA$4=0,1,IF(LEFT(F38,2)="0人",2,IF(LEFT(F38,2)="1人",3,4))))</f>
        <v/>
      </c>
      <c r="AE38">
        <f>IF('calcA'!CY$115=0,0,IF('calcA'!CY$4=0,1,IF(LEFT(G38,2)="0人",2,IF(LEFT(G38,2)="1人",3,4))))</f>
        <v/>
      </c>
      <c r="AF38">
        <f>IF('calcA'!DW$115=0,0,IF('calcA'!DW$4=0,1,IF(LEFT(H38,2)="0人",2,IF(LEFT(H38,2)="1人",3,4))))</f>
        <v/>
      </c>
    </row>
    <row r="39" ht="44" customHeight="1">
      <c r="B39" s="46">
        <f>'設定'!$I$15</f>
        <v/>
      </c>
      <c r="C39" s="109">
        <f t="array" ref="C39">IF('calcA'!H$4=0,"",IF(C10&lt;&gt;"","（決定）",IF('calcA'!H$108=1,"（空ける）",SUMPRODUCT(('calcA'!H$60:H$104=1)*('calcA'!$C$10:$C$54=1))&amp;"人："&amp;_xlfn.TEXTJOIN("、",TRUE,IF(('calcA'!H$60:H$104=1)*('calcA'!$C$10:$C$54=1),'calcA'!$B$10:$B$54,"")))))</f>
        <v/>
      </c>
      <c r="D39" s="109">
        <f t="array" ref="D39">IF('calcA'!AF$4=0,"",IF(D10&lt;&gt;"","（決定）",IF('calcA'!AF$108=1,"（空ける）",SUMPRODUCT(('calcA'!AF$60:AF$104=1)*('calcA'!$C$10:$C$54=1))&amp;"人："&amp;_xlfn.TEXTJOIN("、",TRUE,IF(('calcA'!AF$60:AF$104=1)*('calcA'!$C$10:$C$54=1),'calcA'!$B$10:$B$54,"")))))</f>
        <v/>
      </c>
      <c r="E39" s="109">
        <f t="array" ref="E39">IF('calcA'!BD$4=0,"",IF(E10&lt;&gt;"","（決定）",IF('calcA'!BD$108=1,"（空ける）",SUMPRODUCT(('calcA'!BD$60:BD$104=1)*('calcA'!$C$10:$C$54=1))&amp;"人："&amp;_xlfn.TEXTJOIN("、",TRUE,IF(('calcA'!BD$60:BD$104=1)*('calcA'!$C$10:$C$54=1),'calcA'!$B$10:$B$54,"")))))</f>
        <v/>
      </c>
      <c r="F39" s="109">
        <f t="array" ref="F39">IF('calcA'!CB$4=0,"",IF(F10&lt;&gt;"","（決定）",IF('calcA'!CB$108=1,"（空ける）",SUMPRODUCT(('calcA'!CB$60:CB$104=1)*('calcA'!$C$10:$C$54=1))&amp;"人："&amp;_xlfn.TEXTJOIN("、",TRUE,IF(('calcA'!CB$60:CB$104=1)*('calcA'!$C$10:$C$54=1),'calcA'!$B$10:$B$54,"")))))</f>
        <v/>
      </c>
      <c r="G39" s="109">
        <f t="array" ref="G39">IF('calcA'!CZ$4=0,"",IF(G10&lt;&gt;"","（決定）",IF('calcA'!CZ$108=1,"（空ける）",SUMPRODUCT(('calcA'!CZ$60:CZ$104=1)*('calcA'!$C$10:$C$54=1))&amp;"人："&amp;_xlfn.TEXTJOIN("、",TRUE,IF(('calcA'!CZ$60:CZ$104=1)*('calcA'!$C$10:$C$54=1),'calcA'!$B$10:$B$54,"")))))</f>
        <v/>
      </c>
      <c r="H39" s="109">
        <f t="array" ref="H39">IF('calcA'!DX$4=0,"",IF(H10&lt;&gt;"","（決定）",IF('calcA'!DX$108=1,"（空ける）",SUMPRODUCT(('calcA'!DX$60:DX$104=1)*('calcA'!$C$10:$C$54=1))&amp;"人："&amp;_xlfn.TEXTJOIN("、",TRUE,IF(('calcA'!DX$60:DX$104=1)*('calcA'!$C$10:$C$54=1),'calcA'!$B$10:$B$54,"")))))</f>
        <v/>
      </c>
      <c r="AA39">
        <f>IF('calcA'!H$115=0,0,IF('calcA'!H$4=0,1,IF(LEFT(C39,2)="0人",2,IF(LEFT(C39,2)="1人",3,4))))</f>
        <v/>
      </c>
      <c r="AB39">
        <f>IF('calcA'!AF$115=0,0,IF('calcA'!AF$4=0,1,IF(LEFT(D39,2)="0人",2,IF(LEFT(D39,2)="1人",3,4))))</f>
        <v/>
      </c>
      <c r="AC39">
        <f>IF('calcA'!BD$115=0,0,IF('calcA'!BD$4=0,1,IF(LEFT(E39,2)="0人",2,IF(LEFT(E39,2)="1人",3,4))))</f>
        <v/>
      </c>
      <c r="AD39">
        <f>IF('calcA'!CB$115=0,0,IF('calcA'!CB$4=0,1,IF(LEFT(F39,2)="0人",2,IF(LEFT(F39,2)="1人",3,4))))</f>
        <v/>
      </c>
      <c r="AE39">
        <f>IF('calcA'!CZ$115=0,0,IF('calcA'!CZ$4=0,1,IF(LEFT(G39,2)="0人",2,IF(LEFT(G39,2)="1人",3,4))))</f>
        <v/>
      </c>
      <c r="AF39">
        <f>IF('calcA'!DX$115=0,0,IF('calcA'!DX$4=0,1,IF(LEFT(H39,2)="0人",2,IF(LEFT(H39,2)="1人",3,4))))</f>
        <v/>
      </c>
    </row>
    <row r="40" ht="44" customHeight="1">
      <c r="B40" s="46">
        <f>'設定'!$I$16</f>
        <v/>
      </c>
      <c r="C40" s="109">
        <f t="array" ref="C40">IF('calcA'!I$4=0,"",IF(C11&lt;&gt;"","（決定）",IF('calcA'!I$108=1,"（空ける）",SUMPRODUCT(('calcA'!I$60:I$104=1)*('calcA'!$C$10:$C$54=1))&amp;"人："&amp;_xlfn.TEXTJOIN("、",TRUE,IF(('calcA'!I$60:I$104=1)*('calcA'!$C$10:$C$54=1),'calcA'!$B$10:$B$54,"")))))</f>
        <v/>
      </c>
      <c r="D40" s="109">
        <f t="array" ref="D40">IF('calcA'!AG$4=0,"",IF(D11&lt;&gt;"","（決定）",IF('calcA'!AG$108=1,"（空ける）",SUMPRODUCT(('calcA'!AG$60:AG$104=1)*('calcA'!$C$10:$C$54=1))&amp;"人："&amp;_xlfn.TEXTJOIN("、",TRUE,IF(('calcA'!AG$60:AG$104=1)*('calcA'!$C$10:$C$54=1),'calcA'!$B$10:$B$54,"")))))</f>
        <v/>
      </c>
      <c r="E40" s="109">
        <f t="array" ref="E40">IF('calcA'!BE$4=0,"",IF(E11&lt;&gt;"","（決定）",IF('calcA'!BE$108=1,"（空ける）",SUMPRODUCT(('calcA'!BE$60:BE$104=1)*('calcA'!$C$10:$C$54=1))&amp;"人："&amp;_xlfn.TEXTJOIN("、",TRUE,IF(('calcA'!BE$60:BE$104=1)*('calcA'!$C$10:$C$54=1),'calcA'!$B$10:$B$54,"")))))</f>
        <v/>
      </c>
      <c r="F40" s="109">
        <f t="array" ref="F40">IF('calcA'!CC$4=0,"",IF(F11&lt;&gt;"","（決定）",IF('calcA'!CC$108=1,"（空ける）",SUMPRODUCT(('calcA'!CC$60:CC$104=1)*('calcA'!$C$10:$C$54=1))&amp;"人："&amp;_xlfn.TEXTJOIN("、",TRUE,IF(('calcA'!CC$60:CC$104=1)*('calcA'!$C$10:$C$54=1),'calcA'!$B$10:$B$54,"")))))</f>
        <v/>
      </c>
      <c r="G40" s="109">
        <f t="array" ref="G40">IF('calcA'!DA$4=0,"",IF(G11&lt;&gt;"","（決定）",IF('calcA'!DA$108=1,"（空ける）",SUMPRODUCT(('calcA'!DA$60:DA$104=1)*('calcA'!$C$10:$C$54=1))&amp;"人："&amp;_xlfn.TEXTJOIN("、",TRUE,IF(('calcA'!DA$60:DA$104=1)*('calcA'!$C$10:$C$54=1),'calcA'!$B$10:$B$54,"")))))</f>
        <v/>
      </c>
      <c r="H40" s="109">
        <f t="array" ref="H40">IF('calcA'!DY$4=0,"",IF(H11&lt;&gt;"","（決定）",IF('calcA'!DY$108=1,"（空ける）",SUMPRODUCT(('calcA'!DY$60:DY$104=1)*('calcA'!$C$10:$C$54=1))&amp;"人："&amp;_xlfn.TEXTJOIN("、",TRUE,IF(('calcA'!DY$60:DY$104=1)*('calcA'!$C$10:$C$54=1),'calcA'!$B$10:$B$54,"")))))</f>
        <v/>
      </c>
      <c r="AA40">
        <f>IF('calcA'!I$115=0,0,IF('calcA'!I$4=0,1,IF(LEFT(C40,2)="0人",2,IF(LEFT(C40,2)="1人",3,4))))</f>
        <v/>
      </c>
      <c r="AB40">
        <f>IF('calcA'!AG$115=0,0,IF('calcA'!AG$4=0,1,IF(LEFT(D40,2)="0人",2,IF(LEFT(D40,2)="1人",3,4))))</f>
        <v/>
      </c>
      <c r="AC40">
        <f>IF('calcA'!BE$115=0,0,IF('calcA'!BE$4=0,1,IF(LEFT(E40,2)="0人",2,IF(LEFT(E40,2)="1人",3,4))))</f>
        <v/>
      </c>
      <c r="AD40">
        <f>IF('calcA'!CC$115=0,0,IF('calcA'!CC$4=0,1,IF(LEFT(F40,2)="0人",2,IF(LEFT(F40,2)="1人",3,4))))</f>
        <v/>
      </c>
      <c r="AE40">
        <f>IF('calcA'!DA$115=0,0,IF('calcA'!DA$4=0,1,IF(LEFT(G40,2)="0人",2,IF(LEFT(G40,2)="1人",3,4))))</f>
        <v/>
      </c>
      <c r="AF40">
        <f>IF('calcA'!DY$115=0,0,IF('calcA'!DY$4=0,1,IF(LEFT(H40,2)="0人",2,IF(LEFT(H40,2)="1人",3,4))))</f>
        <v/>
      </c>
    </row>
    <row r="41" ht="44" customHeight="1">
      <c r="B41" s="46">
        <f>'設定'!$I$17</f>
        <v/>
      </c>
      <c r="C41" s="109">
        <f t="array" ref="C41">IF('calcA'!J$4=0,"",IF(C12&lt;&gt;"","（決定）",IF('calcA'!J$108=1,"（空ける）",SUMPRODUCT(('calcA'!J$60:J$104=1)*('calcA'!$C$10:$C$54=1))&amp;"人："&amp;_xlfn.TEXTJOIN("、",TRUE,IF(('calcA'!J$60:J$104=1)*('calcA'!$C$10:$C$54=1),'calcA'!$B$10:$B$54,"")))))</f>
        <v/>
      </c>
      <c r="D41" s="109">
        <f t="array" ref="D41">IF('calcA'!AH$4=0,"",IF(D12&lt;&gt;"","（決定）",IF('calcA'!AH$108=1,"（空ける）",SUMPRODUCT(('calcA'!AH$60:AH$104=1)*('calcA'!$C$10:$C$54=1))&amp;"人："&amp;_xlfn.TEXTJOIN("、",TRUE,IF(('calcA'!AH$60:AH$104=1)*('calcA'!$C$10:$C$54=1),'calcA'!$B$10:$B$54,"")))))</f>
        <v/>
      </c>
      <c r="E41" s="109">
        <f t="array" ref="E41">IF('calcA'!BF$4=0,"",IF(E12&lt;&gt;"","（決定）",IF('calcA'!BF$108=1,"（空ける）",SUMPRODUCT(('calcA'!BF$60:BF$104=1)*('calcA'!$C$10:$C$54=1))&amp;"人："&amp;_xlfn.TEXTJOIN("、",TRUE,IF(('calcA'!BF$60:BF$104=1)*('calcA'!$C$10:$C$54=1),'calcA'!$B$10:$B$54,"")))))</f>
        <v/>
      </c>
      <c r="F41" s="109">
        <f t="array" ref="F41">IF('calcA'!CD$4=0,"",IF(F12&lt;&gt;"","（決定）",IF('calcA'!CD$108=1,"（空ける）",SUMPRODUCT(('calcA'!CD$60:CD$104=1)*('calcA'!$C$10:$C$54=1))&amp;"人："&amp;_xlfn.TEXTJOIN("、",TRUE,IF(('calcA'!CD$60:CD$104=1)*('calcA'!$C$10:$C$54=1),'calcA'!$B$10:$B$54,"")))))</f>
        <v/>
      </c>
      <c r="G41" s="109">
        <f t="array" ref="G41">IF('calcA'!DB$4=0,"",IF(G12&lt;&gt;"","（決定）",IF('calcA'!DB$108=1,"（空ける）",SUMPRODUCT(('calcA'!DB$60:DB$104=1)*('calcA'!$C$10:$C$54=1))&amp;"人："&amp;_xlfn.TEXTJOIN("、",TRUE,IF(('calcA'!DB$60:DB$104=1)*('calcA'!$C$10:$C$54=1),'calcA'!$B$10:$B$54,"")))))</f>
        <v/>
      </c>
      <c r="H41" s="109">
        <f t="array" ref="H41">IF('calcA'!DZ$4=0,"",IF(H12&lt;&gt;"","（決定）",IF('calcA'!DZ$108=1,"（空ける）",SUMPRODUCT(('calcA'!DZ$60:DZ$104=1)*('calcA'!$C$10:$C$54=1))&amp;"人："&amp;_xlfn.TEXTJOIN("、",TRUE,IF(('calcA'!DZ$60:DZ$104=1)*('calcA'!$C$10:$C$54=1),'calcA'!$B$10:$B$54,"")))))</f>
        <v/>
      </c>
      <c r="AA41">
        <f>IF('calcA'!J$115=0,0,IF('calcA'!J$4=0,1,IF(LEFT(C41,2)="0人",2,IF(LEFT(C41,2)="1人",3,4))))</f>
        <v/>
      </c>
      <c r="AB41">
        <f>IF('calcA'!AH$115=0,0,IF('calcA'!AH$4=0,1,IF(LEFT(D41,2)="0人",2,IF(LEFT(D41,2)="1人",3,4))))</f>
        <v/>
      </c>
      <c r="AC41">
        <f>IF('calcA'!BF$115=0,0,IF('calcA'!BF$4=0,1,IF(LEFT(E41,2)="0人",2,IF(LEFT(E41,2)="1人",3,4))))</f>
        <v/>
      </c>
      <c r="AD41">
        <f>IF('calcA'!CD$115=0,0,IF('calcA'!CD$4=0,1,IF(LEFT(F41,2)="0人",2,IF(LEFT(F41,2)="1人",3,4))))</f>
        <v/>
      </c>
      <c r="AE41">
        <f>IF('calcA'!DB$115=0,0,IF('calcA'!DB$4=0,1,IF(LEFT(G41,2)="0人",2,IF(LEFT(G41,2)="1人",3,4))))</f>
        <v/>
      </c>
      <c r="AF41">
        <f>IF('calcA'!DZ$115=0,0,IF('calcA'!DZ$4=0,1,IF(LEFT(H41,2)="0人",2,IF(LEFT(H41,2)="1人",3,4))))</f>
        <v/>
      </c>
    </row>
    <row r="42" ht="44" customHeight="1">
      <c r="B42" s="46">
        <f>'設定'!$I$18</f>
        <v/>
      </c>
      <c r="C42" s="109">
        <f t="array" ref="C42">IF('calcA'!K$4=0,"",IF(C13&lt;&gt;"","（決定）",IF('calcA'!K$108=1,"（空ける）",SUMPRODUCT(('calcA'!K$60:K$104=1)*('calcA'!$C$10:$C$54=1))&amp;"人："&amp;_xlfn.TEXTJOIN("、",TRUE,IF(('calcA'!K$60:K$104=1)*('calcA'!$C$10:$C$54=1),'calcA'!$B$10:$B$54,"")))))</f>
        <v/>
      </c>
      <c r="D42" s="109">
        <f t="array" ref="D42">IF('calcA'!AI$4=0,"",IF(D13&lt;&gt;"","（決定）",IF('calcA'!AI$108=1,"（空ける）",SUMPRODUCT(('calcA'!AI$60:AI$104=1)*('calcA'!$C$10:$C$54=1))&amp;"人："&amp;_xlfn.TEXTJOIN("、",TRUE,IF(('calcA'!AI$60:AI$104=1)*('calcA'!$C$10:$C$54=1),'calcA'!$B$10:$B$54,"")))))</f>
        <v/>
      </c>
      <c r="E42" s="109">
        <f t="array" ref="E42">IF('calcA'!BG$4=0,"",IF(E13&lt;&gt;"","（決定）",IF('calcA'!BG$108=1,"（空ける）",SUMPRODUCT(('calcA'!BG$60:BG$104=1)*('calcA'!$C$10:$C$54=1))&amp;"人："&amp;_xlfn.TEXTJOIN("、",TRUE,IF(('calcA'!BG$60:BG$104=1)*('calcA'!$C$10:$C$54=1),'calcA'!$B$10:$B$54,"")))))</f>
        <v/>
      </c>
      <c r="F42" s="109">
        <f t="array" ref="F42">IF('calcA'!CE$4=0,"",IF(F13&lt;&gt;"","（決定）",IF('calcA'!CE$108=1,"（空ける）",SUMPRODUCT(('calcA'!CE$60:CE$104=1)*('calcA'!$C$10:$C$54=1))&amp;"人："&amp;_xlfn.TEXTJOIN("、",TRUE,IF(('calcA'!CE$60:CE$104=1)*('calcA'!$C$10:$C$54=1),'calcA'!$B$10:$B$54,"")))))</f>
        <v/>
      </c>
      <c r="G42" s="109">
        <f t="array" ref="G42">IF('calcA'!DC$4=0,"",IF(G13&lt;&gt;"","（決定）",IF('calcA'!DC$108=1,"（空ける）",SUMPRODUCT(('calcA'!DC$60:DC$104=1)*('calcA'!$C$10:$C$54=1))&amp;"人："&amp;_xlfn.TEXTJOIN("、",TRUE,IF(('calcA'!DC$60:DC$104=1)*('calcA'!$C$10:$C$54=1),'calcA'!$B$10:$B$54,"")))))</f>
        <v/>
      </c>
      <c r="H42" s="109">
        <f t="array" ref="H42">IF('calcA'!EA$4=0,"",IF(H13&lt;&gt;"","（決定）",IF('calcA'!EA$108=1,"（空ける）",SUMPRODUCT(('calcA'!EA$60:EA$104=1)*('calcA'!$C$10:$C$54=1))&amp;"人："&amp;_xlfn.TEXTJOIN("、",TRUE,IF(('calcA'!EA$60:EA$104=1)*('calcA'!$C$10:$C$54=1),'calcA'!$B$10:$B$54,"")))))</f>
        <v/>
      </c>
      <c r="AA42">
        <f>IF('calcA'!K$115=0,0,IF('calcA'!K$4=0,1,IF(LEFT(C42,2)="0人",2,IF(LEFT(C42,2)="1人",3,4))))</f>
        <v/>
      </c>
      <c r="AB42">
        <f>IF('calcA'!AI$115=0,0,IF('calcA'!AI$4=0,1,IF(LEFT(D42,2)="0人",2,IF(LEFT(D42,2)="1人",3,4))))</f>
        <v/>
      </c>
      <c r="AC42">
        <f>IF('calcA'!BG$115=0,0,IF('calcA'!BG$4=0,1,IF(LEFT(E42,2)="0人",2,IF(LEFT(E42,2)="1人",3,4))))</f>
        <v/>
      </c>
      <c r="AD42">
        <f>IF('calcA'!CE$115=0,0,IF('calcA'!CE$4=0,1,IF(LEFT(F42,2)="0人",2,IF(LEFT(F42,2)="1人",3,4))))</f>
        <v/>
      </c>
      <c r="AE42">
        <f>IF('calcA'!DC$115=0,0,IF('calcA'!DC$4=0,1,IF(LEFT(G42,2)="0人",2,IF(LEFT(G42,2)="1人",3,4))))</f>
        <v/>
      </c>
      <c r="AF42">
        <f>IF('calcA'!EA$115=0,0,IF('calcA'!EA$4=0,1,IF(LEFT(H42,2)="0人",2,IF(LEFT(H42,2)="1人",3,4))))</f>
        <v/>
      </c>
    </row>
    <row r="43" ht="44" customHeight="1">
      <c r="B43" s="46">
        <f>'設定'!$I$19</f>
        <v/>
      </c>
      <c r="C43" s="109">
        <f t="array" ref="C43">IF('calcA'!L$4=0,"",IF(C14&lt;&gt;"","（決定）",IF('calcA'!L$108=1,"（空ける）",SUMPRODUCT(('calcA'!L$60:L$104=1)*('calcA'!$C$10:$C$54=1))&amp;"人："&amp;_xlfn.TEXTJOIN("、",TRUE,IF(('calcA'!L$60:L$104=1)*('calcA'!$C$10:$C$54=1),'calcA'!$B$10:$B$54,"")))))</f>
        <v/>
      </c>
      <c r="D43" s="109">
        <f t="array" ref="D43">IF('calcA'!AJ$4=0,"",IF(D14&lt;&gt;"","（決定）",IF('calcA'!AJ$108=1,"（空ける）",SUMPRODUCT(('calcA'!AJ$60:AJ$104=1)*('calcA'!$C$10:$C$54=1))&amp;"人："&amp;_xlfn.TEXTJOIN("、",TRUE,IF(('calcA'!AJ$60:AJ$104=1)*('calcA'!$C$10:$C$54=1),'calcA'!$B$10:$B$54,"")))))</f>
        <v/>
      </c>
      <c r="E43" s="109">
        <f t="array" ref="E43">IF('calcA'!BH$4=0,"",IF(E14&lt;&gt;"","（決定）",IF('calcA'!BH$108=1,"（空ける）",SUMPRODUCT(('calcA'!BH$60:BH$104=1)*('calcA'!$C$10:$C$54=1))&amp;"人："&amp;_xlfn.TEXTJOIN("、",TRUE,IF(('calcA'!BH$60:BH$104=1)*('calcA'!$C$10:$C$54=1),'calcA'!$B$10:$B$54,"")))))</f>
        <v/>
      </c>
      <c r="F43" s="109">
        <f t="array" ref="F43">IF('calcA'!CF$4=0,"",IF(F14&lt;&gt;"","（決定）",IF('calcA'!CF$108=1,"（空ける）",SUMPRODUCT(('calcA'!CF$60:CF$104=1)*('calcA'!$C$10:$C$54=1))&amp;"人："&amp;_xlfn.TEXTJOIN("、",TRUE,IF(('calcA'!CF$60:CF$104=1)*('calcA'!$C$10:$C$54=1),'calcA'!$B$10:$B$54,"")))))</f>
        <v/>
      </c>
      <c r="G43" s="109">
        <f t="array" ref="G43">IF('calcA'!DD$4=0,"",IF(G14&lt;&gt;"","（決定）",IF('calcA'!DD$108=1,"（空ける）",SUMPRODUCT(('calcA'!DD$60:DD$104=1)*('calcA'!$C$10:$C$54=1))&amp;"人："&amp;_xlfn.TEXTJOIN("、",TRUE,IF(('calcA'!DD$60:DD$104=1)*('calcA'!$C$10:$C$54=1),'calcA'!$B$10:$B$54,"")))))</f>
        <v/>
      </c>
      <c r="H43" s="109">
        <f t="array" ref="H43">IF('calcA'!EB$4=0,"",IF(H14&lt;&gt;"","（決定）",IF('calcA'!EB$108=1,"（空ける）",SUMPRODUCT(('calcA'!EB$60:EB$104=1)*('calcA'!$C$10:$C$54=1))&amp;"人："&amp;_xlfn.TEXTJOIN("、",TRUE,IF(('calcA'!EB$60:EB$104=1)*('calcA'!$C$10:$C$54=1),'calcA'!$B$10:$B$54,"")))))</f>
        <v/>
      </c>
      <c r="AA43">
        <f>IF('calcA'!L$115=0,0,IF('calcA'!L$4=0,1,IF(LEFT(C43,2)="0人",2,IF(LEFT(C43,2)="1人",3,4))))</f>
        <v/>
      </c>
      <c r="AB43">
        <f>IF('calcA'!AJ$115=0,0,IF('calcA'!AJ$4=0,1,IF(LEFT(D43,2)="0人",2,IF(LEFT(D43,2)="1人",3,4))))</f>
        <v/>
      </c>
      <c r="AC43">
        <f>IF('calcA'!BH$115=0,0,IF('calcA'!BH$4=0,1,IF(LEFT(E43,2)="0人",2,IF(LEFT(E43,2)="1人",3,4))))</f>
        <v/>
      </c>
      <c r="AD43">
        <f>IF('calcA'!CF$115=0,0,IF('calcA'!CF$4=0,1,IF(LEFT(F43,2)="0人",2,IF(LEFT(F43,2)="1人",3,4))))</f>
        <v/>
      </c>
      <c r="AE43">
        <f>IF('calcA'!DD$115=0,0,IF('calcA'!DD$4=0,1,IF(LEFT(G43,2)="0人",2,IF(LEFT(G43,2)="1人",3,4))))</f>
        <v/>
      </c>
      <c r="AF43">
        <f>IF('calcA'!EB$115=0,0,IF('calcA'!EB$4=0,1,IF(LEFT(H43,2)="0人",2,IF(LEFT(H43,2)="1人",3,4))))</f>
        <v/>
      </c>
    </row>
    <row r="44" ht="44" customHeight="1">
      <c r="B44" s="46">
        <f>'設定'!$I$20</f>
        <v/>
      </c>
      <c r="C44" s="109">
        <f t="array" ref="C44">IF('calcA'!M$4=0,"",IF(C15&lt;&gt;"","（決定）",IF('calcA'!M$108=1,"（空ける）",SUMPRODUCT(('calcA'!M$60:M$104=1)*('calcA'!$C$10:$C$54=1))&amp;"人："&amp;_xlfn.TEXTJOIN("、",TRUE,IF(('calcA'!M$60:M$104=1)*('calcA'!$C$10:$C$54=1),'calcA'!$B$10:$B$54,"")))))</f>
        <v/>
      </c>
      <c r="D44" s="109">
        <f t="array" ref="D44">IF('calcA'!AK$4=0,"",IF(D15&lt;&gt;"","（決定）",IF('calcA'!AK$108=1,"（空ける）",SUMPRODUCT(('calcA'!AK$60:AK$104=1)*('calcA'!$C$10:$C$54=1))&amp;"人："&amp;_xlfn.TEXTJOIN("、",TRUE,IF(('calcA'!AK$60:AK$104=1)*('calcA'!$C$10:$C$54=1),'calcA'!$B$10:$B$54,"")))))</f>
        <v/>
      </c>
      <c r="E44" s="109">
        <f t="array" ref="E44">IF('calcA'!BI$4=0,"",IF(E15&lt;&gt;"","（決定）",IF('calcA'!BI$108=1,"（空ける）",SUMPRODUCT(('calcA'!BI$60:BI$104=1)*('calcA'!$C$10:$C$54=1))&amp;"人："&amp;_xlfn.TEXTJOIN("、",TRUE,IF(('calcA'!BI$60:BI$104=1)*('calcA'!$C$10:$C$54=1),'calcA'!$B$10:$B$54,"")))))</f>
        <v/>
      </c>
      <c r="F44" s="109">
        <f t="array" ref="F44">IF('calcA'!CG$4=0,"",IF(F15&lt;&gt;"","（決定）",IF('calcA'!CG$108=1,"（空ける）",SUMPRODUCT(('calcA'!CG$60:CG$104=1)*('calcA'!$C$10:$C$54=1))&amp;"人："&amp;_xlfn.TEXTJOIN("、",TRUE,IF(('calcA'!CG$60:CG$104=1)*('calcA'!$C$10:$C$54=1),'calcA'!$B$10:$B$54,"")))))</f>
        <v/>
      </c>
      <c r="G44" s="109">
        <f t="array" ref="G44">IF('calcA'!DE$4=0,"",IF(G15&lt;&gt;"","（決定）",IF('calcA'!DE$108=1,"（空ける）",SUMPRODUCT(('calcA'!DE$60:DE$104=1)*('calcA'!$C$10:$C$54=1))&amp;"人："&amp;_xlfn.TEXTJOIN("、",TRUE,IF(('calcA'!DE$60:DE$104=1)*('calcA'!$C$10:$C$54=1),'calcA'!$B$10:$B$54,"")))))</f>
        <v/>
      </c>
      <c r="H44" s="109">
        <f t="array" ref="H44">IF('calcA'!EC$4=0,"",IF(H15&lt;&gt;"","（決定）",IF('calcA'!EC$108=1,"（空ける）",SUMPRODUCT(('calcA'!EC$60:EC$104=1)*('calcA'!$C$10:$C$54=1))&amp;"人："&amp;_xlfn.TEXTJOIN("、",TRUE,IF(('calcA'!EC$60:EC$104=1)*('calcA'!$C$10:$C$54=1),'calcA'!$B$10:$B$54,"")))))</f>
        <v/>
      </c>
      <c r="AA44">
        <f>IF('calcA'!M$115=0,0,IF('calcA'!M$4=0,1,IF(LEFT(C44,2)="0人",2,IF(LEFT(C44,2)="1人",3,4))))</f>
        <v/>
      </c>
      <c r="AB44">
        <f>IF('calcA'!AK$115=0,0,IF('calcA'!AK$4=0,1,IF(LEFT(D44,2)="0人",2,IF(LEFT(D44,2)="1人",3,4))))</f>
        <v/>
      </c>
      <c r="AC44">
        <f>IF('calcA'!BI$115=0,0,IF('calcA'!BI$4=0,1,IF(LEFT(E44,2)="0人",2,IF(LEFT(E44,2)="1人",3,4))))</f>
        <v/>
      </c>
      <c r="AD44">
        <f>IF('calcA'!CG$115=0,0,IF('calcA'!CG$4=0,1,IF(LEFT(F44,2)="0人",2,IF(LEFT(F44,2)="1人",3,4))))</f>
        <v/>
      </c>
      <c r="AE44">
        <f>IF('calcA'!DE$115=0,0,IF('calcA'!DE$4=0,1,IF(LEFT(G44,2)="0人",2,IF(LEFT(G44,2)="1人",3,4))))</f>
        <v/>
      </c>
      <c r="AF44">
        <f>IF('calcA'!EC$115=0,0,IF('calcA'!EC$4=0,1,IF(LEFT(H44,2)="0人",2,IF(LEFT(H44,2)="1人",3,4))))</f>
        <v/>
      </c>
    </row>
    <row r="45" ht="44" customHeight="1">
      <c r="B45" s="46">
        <f>'設定'!$I$21</f>
        <v/>
      </c>
      <c r="C45" s="109">
        <f t="array" ref="C45">IF('calcA'!N$4=0,"",IF(C16&lt;&gt;"","（決定）",IF('calcA'!N$108=1,"（空ける）",SUMPRODUCT(('calcA'!N$60:N$104=1)*('calcA'!$C$10:$C$54=1))&amp;"人："&amp;_xlfn.TEXTJOIN("、",TRUE,IF(('calcA'!N$60:N$104=1)*('calcA'!$C$10:$C$54=1),'calcA'!$B$10:$B$54,"")))))</f>
        <v/>
      </c>
      <c r="D45" s="109">
        <f t="array" ref="D45">IF('calcA'!AL$4=0,"",IF(D16&lt;&gt;"","（決定）",IF('calcA'!AL$108=1,"（空ける）",SUMPRODUCT(('calcA'!AL$60:AL$104=1)*('calcA'!$C$10:$C$54=1))&amp;"人："&amp;_xlfn.TEXTJOIN("、",TRUE,IF(('calcA'!AL$60:AL$104=1)*('calcA'!$C$10:$C$54=1),'calcA'!$B$10:$B$54,"")))))</f>
        <v/>
      </c>
      <c r="E45" s="109">
        <f t="array" ref="E45">IF('calcA'!BJ$4=0,"",IF(E16&lt;&gt;"","（決定）",IF('calcA'!BJ$108=1,"（空ける）",SUMPRODUCT(('calcA'!BJ$60:BJ$104=1)*('calcA'!$C$10:$C$54=1))&amp;"人："&amp;_xlfn.TEXTJOIN("、",TRUE,IF(('calcA'!BJ$60:BJ$104=1)*('calcA'!$C$10:$C$54=1),'calcA'!$B$10:$B$54,"")))))</f>
        <v/>
      </c>
      <c r="F45" s="109">
        <f t="array" ref="F45">IF('calcA'!CH$4=0,"",IF(F16&lt;&gt;"","（決定）",IF('calcA'!CH$108=1,"（空ける）",SUMPRODUCT(('calcA'!CH$60:CH$104=1)*('calcA'!$C$10:$C$54=1))&amp;"人："&amp;_xlfn.TEXTJOIN("、",TRUE,IF(('calcA'!CH$60:CH$104=1)*('calcA'!$C$10:$C$54=1),'calcA'!$B$10:$B$54,"")))))</f>
        <v/>
      </c>
      <c r="G45" s="109">
        <f t="array" ref="G45">IF('calcA'!DF$4=0,"",IF(G16&lt;&gt;"","（決定）",IF('calcA'!DF$108=1,"（空ける）",SUMPRODUCT(('calcA'!DF$60:DF$104=1)*('calcA'!$C$10:$C$54=1))&amp;"人："&amp;_xlfn.TEXTJOIN("、",TRUE,IF(('calcA'!DF$60:DF$104=1)*('calcA'!$C$10:$C$54=1),'calcA'!$B$10:$B$54,"")))))</f>
        <v/>
      </c>
      <c r="H45" s="109">
        <f t="array" ref="H45">IF('calcA'!ED$4=0,"",IF(H16&lt;&gt;"","（決定）",IF('calcA'!ED$108=1,"（空ける）",SUMPRODUCT(('calcA'!ED$60:ED$104=1)*('calcA'!$C$10:$C$54=1))&amp;"人："&amp;_xlfn.TEXTJOIN("、",TRUE,IF(('calcA'!ED$60:ED$104=1)*('calcA'!$C$10:$C$54=1),'calcA'!$B$10:$B$54,"")))))</f>
        <v/>
      </c>
      <c r="AA45">
        <f>IF('calcA'!N$115=0,0,IF('calcA'!N$4=0,1,IF(LEFT(C45,2)="0人",2,IF(LEFT(C45,2)="1人",3,4))))</f>
        <v/>
      </c>
      <c r="AB45">
        <f>IF('calcA'!AL$115=0,0,IF('calcA'!AL$4=0,1,IF(LEFT(D45,2)="0人",2,IF(LEFT(D45,2)="1人",3,4))))</f>
        <v/>
      </c>
      <c r="AC45">
        <f>IF('calcA'!BJ$115=0,0,IF('calcA'!BJ$4=0,1,IF(LEFT(E45,2)="0人",2,IF(LEFT(E45,2)="1人",3,4))))</f>
        <v/>
      </c>
      <c r="AD45">
        <f>IF('calcA'!CH$115=0,0,IF('calcA'!CH$4=0,1,IF(LEFT(F45,2)="0人",2,IF(LEFT(F45,2)="1人",3,4))))</f>
        <v/>
      </c>
      <c r="AE45">
        <f>IF('calcA'!DF$115=0,0,IF('calcA'!DF$4=0,1,IF(LEFT(G45,2)="0人",2,IF(LEFT(G45,2)="1人",3,4))))</f>
        <v/>
      </c>
      <c r="AF45">
        <f>IF('calcA'!ED$115=0,0,IF('calcA'!ED$4=0,1,IF(LEFT(H45,2)="0人",2,IF(LEFT(H45,2)="1人",3,4))))</f>
        <v/>
      </c>
    </row>
    <row r="46" ht="44" customHeight="1">
      <c r="B46" s="46">
        <f>'設定'!$I$22</f>
        <v/>
      </c>
      <c r="C46" s="109">
        <f t="array" ref="C46">IF('calcA'!O$4=0,"",IF(C17&lt;&gt;"","（決定）",IF('calcA'!O$108=1,"（空ける）",SUMPRODUCT(('calcA'!O$60:O$104=1)*('calcA'!$C$10:$C$54=1))&amp;"人："&amp;_xlfn.TEXTJOIN("、",TRUE,IF(('calcA'!O$60:O$104=1)*('calcA'!$C$10:$C$54=1),'calcA'!$B$10:$B$54,"")))))</f>
        <v/>
      </c>
      <c r="D46" s="109">
        <f t="array" ref="D46">IF('calcA'!AM$4=0,"",IF(D17&lt;&gt;"","（決定）",IF('calcA'!AM$108=1,"（空ける）",SUMPRODUCT(('calcA'!AM$60:AM$104=1)*('calcA'!$C$10:$C$54=1))&amp;"人："&amp;_xlfn.TEXTJOIN("、",TRUE,IF(('calcA'!AM$60:AM$104=1)*('calcA'!$C$10:$C$54=1),'calcA'!$B$10:$B$54,"")))))</f>
        <v/>
      </c>
      <c r="E46" s="109">
        <f t="array" ref="E46">IF('calcA'!BK$4=0,"",IF(E17&lt;&gt;"","（決定）",IF('calcA'!BK$108=1,"（空ける）",SUMPRODUCT(('calcA'!BK$60:BK$104=1)*('calcA'!$C$10:$C$54=1))&amp;"人："&amp;_xlfn.TEXTJOIN("、",TRUE,IF(('calcA'!BK$60:BK$104=1)*('calcA'!$C$10:$C$54=1),'calcA'!$B$10:$B$54,"")))))</f>
        <v/>
      </c>
      <c r="F46" s="109">
        <f t="array" ref="F46">IF('calcA'!CI$4=0,"",IF(F17&lt;&gt;"","（決定）",IF('calcA'!CI$108=1,"（空ける）",SUMPRODUCT(('calcA'!CI$60:CI$104=1)*('calcA'!$C$10:$C$54=1))&amp;"人："&amp;_xlfn.TEXTJOIN("、",TRUE,IF(('calcA'!CI$60:CI$104=1)*('calcA'!$C$10:$C$54=1),'calcA'!$B$10:$B$54,"")))))</f>
        <v/>
      </c>
      <c r="G46" s="109">
        <f t="array" ref="G46">IF('calcA'!DG$4=0,"",IF(G17&lt;&gt;"","（決定）",IF('calcA'!DG$108=1,"（空ける）",SUMPRODUCT(('calcA'!DG$60:DG$104=1)*('calcA'!$C$10:$C$54=1))&amp;"人："&amp;_xlfn.TEXTJOIN("、",TRUE,IF(('calcA'!DG$60:DG$104=1)*('calcA'!$C$10:$C$54=1),'calcA'!$B$10:$B$54,"")))))</f>
        <v/>
      </c>
      <c r="H46" s="109">
        <f t="array" ref="H46">IF('calcA'!EE$4=0,"",IF(H17&lt;&gt;"","（決定）",IF('calcA'!EE$108=1,"（空ける）",SUMPRODUCT(('calcA'!EE$60:EE$104=1)*('calcA'!$C$10:$C$54=1))&amp;"人："&amp;_xlfn.TEXTJOIN("、",TRUE,IF(('calcA'!EE$60:EE$104=1)*('calcA'!$C$10:$C$54=1),'calcA'!$B$10:$B$54,"")))))</f>
        <v/>
      </c>
      <c r="AA46">
        <f>IF('calcA'!O$115=0,0,IF('calcA'!O$4=0,1,IF(LEFT(C46,2)="0人",2,IF(LEFT(C46,2)="1人",3,4))))</f>
        <v/>
      </c>
      <c r="AB46">
        <f>IF('calcA'!AM$115=0,0,IF('calcA'!AM$4=0,1,IF(LEFT(D46,2)="0人",2,IF(LEFT(D46,2)="1人",3,4))))</f>
        <v/>
      </c>
      <c r="AC46">
        <f>IF('calcA'!BK$115=0,0,IF('calcA'!BK$4=0,1,IF(LEFT(E46,2)="0人",2,IF(LEFT(E46,2)="1人",3,4))))</f>
        <v/>
      </c>
      <c r="AD46">
        <f>IF('calcA'!CI$115=0,0,IF('calcA'!CI$4=0,1,IF(LEFT(F46,2)="0人",2,IF(LEFT(F46,2)="1人",3,4))))</f>
        <v/>
      </c>
      <c r="AE46">
        <f>IF('calcA'!DG$115=0,0,IF('calcA'!DG$4=0,1,IF(LEFT(G46,2)="0人",2,IF(LEFT(G46,2)="1人",3,4))))</f>
        <v/>
      </c>
      <c r="AF46">
        <f>IF('calcA'!EE$115=0,0,IF('calcA'!EE$4=0,1,IF(LEFT(H46,2)="0人",2,IF(LEFT(H46,2)="1人",3,4))))</f>
        <v/>
      </c>
    </row>
    <row r="47" ht="44" customHeight="1">
      <c r="B47" s="46">
        <f>'設定'!$I$23</f>
        <v/>
      </c>
      <c r="C47" s="109">
        <f t="array" ref="C47">IF('calcA'!P$4=0,"",IF(C18&lt;&gt;"","（決定）",IF('calcA'!P$108=1,"（空ける）",SUMPRODUCT(('calcA'!P$60:P$104=1)*('calcA'!$C$10:$C$54=1))&amp;"人："&amp;_xlfn.TEXTJOIN("、",TRUE,IF(('calcA'!P$60:P$104=1)*('calcA'!$C$10:$C$54=1),'calcA'!$B$10:$B$54,"")))))</f>
        <v/>
      </c>
      <c r="D47" s="109">
        <f t="array" ref="D47">IF('calcA'!AN$4=0,"",IF(D18&lt;&gt;"","（決定）",IF('calcA'!AN$108=1,"（空ける）",SUMPRODUCT(('calcA'!AN$60:AN$104=1)*('calcA'!$C$10:$C$54=1))&amp;"人："&amp;_xlfn.TEXTJOIN("、",TRUE,IF(('calcA'!AN$60:AN$104=1)*('calcA'!$C$10:$C$54=1),'calcA'!$B$10:$B$54,"")))))</f>
        <v/>
      </c>
      <c r="E47" s="109">
        <f t="array" ref="E47">IF('calcA'!BL$4=0,"",IF(E18&lt;&gt;"","（決定）",IF('calcA'!BL$108=1,"（空ける）",SUMPRODUCT(('calcA'!BL$60:BL$104=1)*('calcA'!$C$10:$C$54=1))&amp;"人："&amp;_xlfn.TEXTJOIN("、",TRUE,IF(('calcA'!BL$60:BL$104=1)*('calcA'!$C$10:$C$54=1),'calcA'!$B$10:$B$54,"")))))</f>
        <v/>
      </c>
      <c r="F47" s="109">
        <f t="array" ref="F47">IF('calcA'!CJ$4=0,"",IF(F18&lt;&gt;"","（決定）",IF('calcA'!CJ$108=1,"（空ける）",SUMPRODUCT(('calcA'!CJ$60:CJ$104=1)*('calcA'!$C$10:$C$54=1))&amp;"人："&amp;_xlfn.TEXTJOIN("、",TRUE,IF(('calcA'!CJ$60:CJ$104=1)*('calcA'!$C$10:$C$54=1),'calcA'!$B$10:$B$54,"")))))</f>
        <v/>
      </c>
      <c r="G47" s="109">
        <f t="array" ref="G47">IF('calcA'!DH$4=0,"",IF(G18&lt;&gt;"","（決定）",IF('calcA'!DH$108=1,"（空ける）",SUMPRODUCT(('calcA'!DH$60:DH$104=1)*('calcA'!$C$10:$C$54=1))&amp;"人："&amp;_xlfn.TEXTJOIN("、",TRUE,IF(('calcA'!DH$60:DH$104=1)*('calcA'!$C$10:$C$54=1),'calcA'!$B$10:$B$54,"")))))</f>
        <v/>
      </c>
      <c r="H47" s="109">
        <f t="array" ref="H47">IF('calcA'!EF$4=0,"",IF(H18&lt;&gt;"","（決定）",IF('calcA'!EF$108=1,"（空ける）",SUMPRODUCT(('calcA'!EF$60:EF$104=1)*('calcA'!$C$10:$C$54=1))&amp;"人："&amp;_xlfn.TEXTJOIN("、",TRUE,IF(('calcA'!EF$60:EF$104=1)*('calcA'!$C$10:$C$54=1),'calcA'!$B$10:$B$54,"")))))</f>
        <v/>
      </c>
      <c r="AA47">
        <f>IF('calcA'!P$115=0,0,IF('calcA'!P$4=0,1,IF(LEFT(C47,2)="0人",2,IF(LEFT(C47,2)="1人",3,4))))</f>
        <v/>
      </c>
      <c r="AB47">
        <f>IF('calcA'!AN$115=0,0,IF('calcA'!AN$4=0,1,IF(LEFT(D47,2)="0人",2,IF(LEFT(D47,2)="1人",3,4))))</f>
        <v/>
      </c>
      <c r="AC47">
        <f>IF('calcA'!BL$115=0,0,IF('calcA'!BL$4=0,1,IF(LEFT(E47,2)="0人",2,IF(LEFT(E47,2)="1人",3,4))))</f>
        <v/>
      </c>
      <c r="AD47">
        <f>IF('calcA'!CJ$115=0,0,IF('calcA'!CJ$4=0,1,IF(LEFT(F47,2)="0人",2,IF(LEFT(F47,2)="1人",3,4))))</f>
        <v/>
      </c>
      <c r="AE47">
        <f>IF('calcA'!DH$115=0,0,IF('calcA'!DH$4=0,1,IF(LEFT(G47,2)="0人",2,IF(LEFT(G47,2)="1人",3,4))))</f>
        <v/>
      </c>
      <c r="AF47">
        <f>IF('calcA'!EF$115=0,0,IF('calcA'!EF$4=0,1,IF(LEFT(H47,2)="0人",2,IF(LEFT(H47,2)="1人",3,4))))</f>
        <v/>
      </c>
    </row>
    <row r="48" ht="44" customHeight="1">
      <c r="B48" s="46">
        <f>'設定'!$I$24</f>
        <v/>
      </c>
      <c r="C48" s="109">
        <f t="array" ref="C48">IF('calcA'!Q$4=0,"",IF(C19&lt;&gt;"","（決定）",IF('calcA'!Q$108=1,"（空ける）",SUMPRODUCT(('calcA'!Q$60:Q$104=1)*('calcA'!$C$10:$C$54=1))&amp;"人："&amp;_xlfn.TEXTJOIN("、",TRUE,IF(('calcA'!Q$60:Q$104=1)*('calcA'!$C$10:$C$54=1),'calcA'!$B$10:$B$54,"")))))</f>
        <v/>
      </c>
      <c r="D48" s="109">
        <f t="array" ref="D48">IF('calcA'!AO$4=0,"",IF(D19&lt;&gt;"","（決定）",IF('calcA'!AO$108=1,"（空ける）",SUMPRODUCT(('calcA'!AO$60:AO$104=1)*('calcA'!$C$10:$C$54=1))&amp;"人："&amp;_xlfn.TEXTJOIN("、",TRUE,IF(('calcA'!AO$60:AO$104=1)*('calcA'!$C$10:$C$54=1),'calcA'!$B$10:$B$54,"")))))</f>
        <v/>
      </c>
      <c r="E48" s="109">
        <f t="array" ref="E48">IF('calcA'!BM$4=0,"",IF(E19&lt;&gt;"","（決定）",IF('calcA'!BM$108=1,"（空ける）",SUMPRODUCT(('calcA'!BM$60:BM$104=1)*('calcA'!$C$10:$C$54=1))&amp;"人："&amp;_xlfn.TEXTJOIN("、",TRUE,IF(('calcA'!BM$60:BM$104=1)*('calcA'!$C$10:$C$54=1),'calcA'!$B$10:$B$54,"")))))</f>
        <v/>
      </c>
      <c r="F48" s="109">
        <f t="array" ref="F48">IF('calcA'!CK$4=0,"",IF(F19&lt;&gt;"","（決定）",IF('calcA'!CK$108=1,"（空ける）",SUMPRODUCT(('calcA'!CK$60:CK$104=1)*('calcA'!$C$10:$C$54=1))&amp;"人："&amp;_xlfn.TEXTJOIN("、",TRUE,IF(('calcA'!CK$60:CK$104=1)*('calcA'!$C$10:$C$54=1),'calcA'!$B$10:$B$54,"")))))</f>
        <v/>
      </c>
      <c r="G48" s="109">
        <f t="array" ref="G48">IF('calcA'!DI$4=0,"",IF(G19&lt;&gt;"","（決定）",IF('calcA'!DI$108=1,"（空ける）",SUMPRODUCT(('calcA'!DI$60:DI$104=1)*('calcA'!$C$10:$C$54=1))&amp;"人："&amp;_xlfn.TEXTJOIN("、",TRUE,IF(('calcA'!DI$60:DI$104=1)*('calcA'!$C$10:$C$54=1),'calcA'!$B$10:$B$54,"")))))</f>
        <v/>
      </c>
      <c r="H48" s="109">
        <f t="array" ref="H48">IF('calcA'!EG$4=0,"",IF(H19&lt;&gt;"","（決定）",IF('calcA'!EG$108=1,"（空ける）",SUMPRODUCT(('calcA'!EG$60:EG$104=1)*('calcA'!$C$10:$C$54=1))&amp;"人："&amp;_xlfn.TEXTJOIN("、",TRUE,IF(('calcA'!EG$60:EG$104=1)*('calcA'!$C$10:$C$54=1),'calcA'!$B$10:$B$54,"")))))</f>
        <v/>
      </c>
      <c r="AA48">
        <f>IF('calcA'!Q$115=0,0,IF('calcA'!Q$4=0,1,IF(LEFT(C48,2)="0人",2,IF(LEFT(C48,2)="1人",3,4))))</f>
        <v/>
      </c>
      <c r="AB48">
        <f>IF('calcA'!AO$115=0,0,IF('calcA'!AO$4=0,1,IF(LEFT(D48,2)="0人",2,IF(LEFT(D48,2)="1人",3,4))))</f>
        <v/>
      </c>
      <c r="AC48">
        <f>IF('calcA'!BM$115=0,0,IF('calcA'!BM$4=0,1,IF(LEFT(E48,2)="0人",2,IF(LEFT(E48,2)="1人",3,4))))</f>
        <v/>
      </c>
      <c r="AD48">
        <f>IF('calcA'!CK$115=0,0,IF('calcA'!CK$4=0,1,IF(LEFT(F48,2)="0人",2,IF(LEFT(F48,2)="1人",3,4))))</f>
        <v/>
      </c>
      <c r="AE48">
        <f>IF('calcA'!DI$115=0,0,IF('calcA'!DI$4=0,1,IF(LEFT(G48,2)="0人",2,IF(LEFT(G48,2)="1人",3,4))))</f>
        <v/>
      </c>
      <c r="AF48">
        <f>IF('calcA'!EG$115=0,0,IF('calcA'!EG$4=0,1,IF(LEFT(H48,2)="0人",2,IF(LEFT(H48,2)="1人",3,4))))</f>
        <v/>
      </c>
    </row>
    <row r="49" ht="44" customHeight="1">
      <c r="B49" s="46">
        <f>'設定'!$I$25</f>
        <v/>
      </c>
      <c r="C49" s="109">
        <f t="array" ref="C49">IF('calcA'!R$4=0,"",IF(C20&lt;&gt;"","（決定）",IF('calcA'!R$108=1,"（空ける）",SUMPRODUCT(('calcA'!R$60:R$104=1)*('calcA'!$C$10:$C$54=1))&amp;"人："&amp;_xlfn.TEXTJOIN("、",TRUE,IF(('calcA'!R$60:R$104=1)*('calcA'!$C$10:$C$54=1),'calcA'!$B$10:$B$54,"")))))</f>
        <v/>
      </c>
      <c r="D49" s="109">
        <f t="array" ref="D49">IF('calcA'!AP$4=0,"",IF(D20&lt;&gt;"","（決定）",IF('calcA'!AP$108=1,"（空ける）",SUMPRODUCT(('calcA'!AP$60:AP$104=1)*('calcA'!$C$10:$C$54=1))&amp;"人："&amp;_xlfn.TEXTJOIN("、",TRUE,IF(('calcA'!AP$60:AP$104=1)*('calcA'!$C$10:$C$54=1),'calcA'!$B$10:$B$54,"")))))</f>
        <v/>
      </c>
      <c r="E49" s="109">
        <f t="array" ref="E49">IF('calcA'!BN$4=0,"",IF(E20&lt;&gt;"","（決定）",IF('calcA'!BN$108=1,"（空ける）",SUMPRODUCT(('calcA'!BN$60:BN$104=1)*('calcA'!$C$10:$C$54=1))&amp;"人："&amp;_xlfn.TEXTJOIN("、",TRUE,IF(('calcA'!BN$60:BN$104=1)*('calcA'!$C$10:$C$54=1),'calcA'!$B$10:$B$54,"")))))</f>
        <v/>
      </c>
      <c r="F49" s="109">
        <f t="array" ref="F49">IF('calcA'!CL$4=0,"",IF(F20&lt;&gt;"","（決定）",IF('calcA'!CL$108=1,"（空ける）",SUMPRODUCT(('calcA'!CL$60:CL$104=1)*('calcA'!$C$10:$C$54=1))&amp;"人："&amp;_xlfn.TEXTJOIN("、",TRUE,IF(('calcA'!CL$60:CL$104=1)*('calcA'!$C$10:$C$54=1),'calcA'!$B$10:$B$54,"")))))</f>
        <v/>
      </c>
      <c r="G49" s="109">
        <f t="array" ref="G49">IF('calcA'!DJ$4=0,"",IF(G20&lt;&gt;"","（決定）",IF('calcA'!DJ$108=1,"（空ける）",SUMPRODUCT(('calcA'!DJ$60:DJ$104=1)*('calcA'!$C$10:$C$54=1))&amp;"人："&amp;_xlfn.TEXTJOIN("、",TRUE,IF(('calcA'!DJ$60:DJ$104=1)*('calcA'!$C$10:$C$54=1),'calcA'!$B$10:$B$54,"")))))</f>
        <v/>
      </c>
      <c r="H49" s="109">
        <f t="array" ref="H49">IF('calcA'!EH$4=0,"",IF(H20&lt;&gt;"","（決定）",IF('calcA'!EH$108=1,"（空ける）",SUMPRODUCT(('calcA'!EH$60:EH$104=1)*('calcA'!$C$10:$C$54=1))&amp;"人："&amp;_xlfn.TEXTJOIN("、",TRUE,IF(('calcA'!EH$60:EH$104=1)*('calcA'!$C$10:$C$54=1),'calcA'!$B$10:$B$54,"")))))</f>
        <v/>
      </c>
      <c r="AA49">
        <f>IF('calcA'!R$115=0,0,IF('calcA'!R$4=0,1,IF(LEFT(C49,2)="0人",2,IF(LEFT(C49,2)="1人",3,4))))</f>
        <v/>
      </c>
      <c r="AB49">
        <f>IF('calcA'!AP$115=0,0,IF('calcA'!AP$4=0,1,IF(LEFT(D49,2)="0人",2,IF(LEFT(D49,2)="1人",3,4))))</f>
        <v/>
      </c>
      <c r="AC49">
        <f>IF('calcA'!BN$115=0,0,IF('calcA'!BN$4=0,1,IF(LEFT(E49,2)="0人",2,IF(LEFT(E49,2)="1人",3,4))))</f>
        <v/>
      </c>
      <c r="AD49">
        <f>IF('calcA'!CL$115=0,0,IF('calcA'!CL$4=0,1,IF(LEFT(F49,2)="0人",2,IF(LEFT(F49,2)="1人",3,4))))</f>
        <v/>
      </c>
      <c r="AE49">
        <f>IF('calcA'!DJ$115=0,0,IF('calcA'!DJ$4=0,1,IF(LEFT(G49,2)="0人",2,IF(LEFT(G49,2)="1人",3,4))))</f>
        <v/>
      </c>
      <c r="AF49">
        <f>IF('calcA'!EH$115=0,0,IF('calcA'!EH$4=0,1,IF(LEFT(H49,2)="0人",2,IF(LEFT(H49,2)="1人",3,4))))</f>
        <v/>
      </c>
    </row>
    <row r="50" ht="44" customHeight="1">
      <c r="B50" s="46">
        <f>'設定'!$I$26</f>
        <v/>
      </c>
      <c r="C50" s="109">
        <f t="array" ref="C50">IF('calcA'!S$4=0,"",IF(C21&lt;&gt;"","（決定）",IF('calcA'!S$108=1,"（空ける）",SUMPRODUCT(('calcA'!S$60:S$104=1)*('calcA'!$C$10:$C$54=1))&amp;"人："&amp;_xlfn.TEXTJOIN("、",TRUE,IF(('calcA'!S$60:S$104=1)*('calcA'!$C$10:$C$54=1),'calcA'!$B$10:$B$54,"")))))</f>
        <v/>
      </c>
      <c r="D50" s="109">
        <f t="array" ref="D50">IF('calcA'!AQ$4=0,"",IF(D21&lt;&gt;"","（決定）",IF('calcA'!AQ$108=1,"（空ける）",SUMPRODUCT(('calcA'!AQ$60:AQ$104=1)*('calcA'!$C$10:$C$54=1))&amp;"人："&amp;_xlfn.TEXTJOIN("、",TRUE,IF(('calcA'!AQ$60:AQ$104=1)*('calcA'!$C$10:$C$54=1),'calcA'!$B$10:$B$54,"")))))</f>
        <v/>
      </c>
      <c r="E50" s="109">
        <f t="array" ref="E50">IF('calcA'!BO$4=0,"",IF(E21&lt;&gt;"","（決定）",IF('calcA'!BO$108=1,"（空ける）",SUMPRODUCT(('calcA'!BO$60:BO$104=1)*('calcA'!$C$10:$C$54=1))&amp;"人："&amp;_xlfn.TEXTJOIN("、",TRUE,IF(('calcA'!BO$60:BO$104=1)*('calcA'!$C$10:$C$54=1),'calcA'!$B$10:$B$54,"")))))</f>
        <v/>
      </c>
      <c r="F50" s="109">
        <f t="array" ref="F50">IF('calcA'!CM$4=0,"",IF(F21&lt;&gt;"","（決定）",IF('calcA'!CM$108=1,"（空ける）",SUMPRODUCT(('calcA'!CM$60:CM$104=1)*('calcA'!$C$10:$C$54=1))&amp;"人："&amp;_xlfn.TEXTJOIN("、",TRUE,IF(('calcA'!CM$60:CM$104=1)*('calcA'!$C$10:$C$54=1),'calcA'!$B$10:$B$54,"")))))</f>
        <v/>
      </c>
      <c r="G50" s="109">
        <f t="array" ref="G50">IF('calcA'!DK$4=0,"",IF(G21&lt;&gt;"","（決定）",IF('calcA'!DK$108=1,"（空ける）",SUMPRODUCT(('calcA'!DK$60:DK$104=1)*('calcA'!$C$10:$C$54=1))&amp;"人："&amp;_xlfn.TEXTJOIN("、",TRUE,IF(('calcA'!DK$60:DK$104=1)*('calcA'!$C$10:$C$54=1),'calcA'!$B$10:$B$54,"")))))</f>
        <v/>
      </c>
      <c r="H50" s="109">
        <f t="array" ref="H50">IF('calcA'!EI$4=0,"",IF(H21&lt;&gt;"","（決定）",IF('calcA'!EI$108=1,"（空ける）",SUMPRODUCT(('calcA'!EI$60:EI$104=1)*('calcA'!$C$10:$C$54=1))&amp;"人："&amp;_xlfn.TEXTJOIN("、",TRUE,IF(('calcA'!EI$60:EI$104=1)*('calcA'!$C$10:$C$54=1),'calcA'!$B$10:$B$54,"")))))</f>
        <v/>
      </c>
      <c r="AA50">
        <f>IF('calcA'!S$115=0,0,IF('calcA'!S$4=0,1,IF(LEFT(C50,2)="0人",2,IF(LEFT(C50,2)="1人",3,4))))</f>
        <v/>
      </c>
      <c r="AB50">
        <f>IF('calcA'!AQ$115=0,0,IF('calcA'!AQ$4=0,1,IF(LEFT(D50,2)="0人",2,IF(LEFT(D50,2)="1人",3,4))))</f>
        <v/>
      </c>
      <c r="AC50">
        <f>IF('calcA'!BO$115=0,0,IF('calcA'!BO$4=0,1,IF(LEFT(E50,2)="0人",2,IF(LEFT(E50,2)="1人",3,4))))</f>
        <v/>
      </c>
      <c r="AD50">
        <f>IF('calcA'!CM$115=0,0,IF('calcA'!CM$4=0,1,IF(LEFT(F50,2)="0人",2,IF(LEFT(F50,2)="1人",3,4))))</f>
        <v/>
      </c>
      <c r="AE50">
        <f>IF('calcA'!DK$115=0,0,IF('calcA'!DK$4=0,1,IF(LEFT(G50,2)="0人",2,IF(LEFT(G50,2)="1人",3,4))))</f>
        <v/>
      </c>
      <c r="AF50">
        <f>IF('calcA'!EI$115=0,0,IF('calcA'!EI$4=0,1,IF(LEFT(H50,2)="0人",2,IF(LEFT(H50,2)="1人",3,4))))</f>
        <v/>
      </c>
    </row>
    <row r="51" ht="44" customHeight="1">
      <c r="B51" s="46">
        <f>'設定'!$I$27</f>
        <v/>
      </c>
      <c r="C51" s="109">
        <f t="array" ref="C51">IF('calcA'!T$4=0,"",IF(C22&lt;&gt;"","（決定）",IF('calcA'!T$108=1,"（空ける）",SUMPRODUCT(('calcA'!T$60:T$104=1)*('calcA'!$C$10:$C$54=1))&amp;"人："&amp;_xlfn.TEXTJOIN("、",TRUE,IF(('calcA'!T$60:T$104=1)*('calcA'!$C$10:$C$54=1),'calcA'!$B$10:$B$54,"")))))</f>
        <v/>
      </c>
      <c r="D51" s="109">
        <f t="array" ref="D51">IF('calcA'!AR$4=0,"",IF(D22&lt;&gt;"","（決定）",IF('calcA'!AR$108=1,"（空ける）",SUMPRODUCT(('calcA'!AR$60:AR$104=1)*('calcA'!$C$10:$C$54=1))&amp;"人："&amp;_xlfn.TEXTJOIN("、",TRUE,IF(('calcA'!AR$60:AR$104=1)*('calcA'!$C$10:$C$54=1),'calcA'!$B$10:$B$54,"")))))</f>
        <v/>
      </c>
      <c r="E51" s="109">
        <f t="array" ref="E51">IF('calcA'!BP$4=0,"",IF(E22&lt;&gt;"","（決定）",IF('calcA'!BP$108=1,"（空ける）",SUMPRODUCT(('calcA'!BP$60:BP$104=1)*('calcA'!$C$10:$C$54=1))&amp;"人："&amp;_xlfn.TEXTJOIN("、",TRUE,IF(('calcA'!BP$60:BP$104=1)*('calcA'!$C$10:$C$54=1),'calcA'!$B$10:$B$54,"")))))</f>
        <v/>
      </c>
      <c r="F51" s="109">
        <f t="array" ref="F51">IF('calcA'!CN$4=0,"",IF(F22&lt;&gt;"","（決定）",IF('calcA'!CN$108=1,"（空ける）",SUMPRODUCT(('calcA'!CN$60:CN$104=1)*('calcA'!$C$10:$C$54=1))&amp;"人："&amp;_xlfn.TEXTJOIN("、",TRUE,IF(('calcA'!CN$60:CN$104=1)*('calcA'!$C$10:$C$54=1),'calcA'!$B$10:$B$54,"")))))</f>
        <v/>
      </c>
      <c r="G51" s="109">
        <f t="array" ref="G51">IF('calcA'!DL$4=0,"",IF(G22&lt;&gt;"","（決定）",IF('calcA'!DL$108=1,"（空ける）",SUMPRODUCT(('calcA'!DL$60:DL$104=1)*('calcA'!$C$10:$C$54=1))&amp;"人："&amp;_xlfn.TEXTJOIN("、",TRUE,IF(('calcA'!DL$60:DL$104=1)*('calcA'!$C$10:$C$54=1),'calcA'!$B$10:$B$54,"")))))</f>
        <v/>
      </c>
      <c r="H51" s="109">
        <f t="array" ref="H51">IF('calcA'!EJ$4=0,"",IF(H22&lt;&gt;"","（決定）",IF('calcA'!EJ$108=1,"（空ける）",SUMPRODUCT(('calcA'!EJ$60:EJ$104=1)*('calcA'!$C$10:$C$54=1))&amp;"人："&amp;_xlfn.TEXTJOIN("、",TRUE,IF(('calcA'!EJ$60:EJ$104=1)*('calcA'!$C$10:$C$54=1),'calcA'!$B$10:$B$54,"")))))</f>
        <v/>
      </c>
      <c r="AA51">
        <f>IF('calcA'!T$115=0,0,IF('calcA'!T$4=0,1,IF(LEFT(C51,2)="0人",2,IF(LEFT(C51,2)="1人",3,4))))</f>
        <v/>
      </c>
      <c r="AB51">
        <f>IF('calcA'!AR$115=0,0,IF('calcA'!AR$4=0,1,IF(LEFT(D51,2)="0人",2,IF(LEFT(D51,2)="1人",3,4))))</f>
        <v/>
      </c>
      <c r="AC51">
        <f>IF('calcA'!BP$115=0,0,IF('calcA'!BP$4=0,1,IF(LEFT(E51,2)="0人",2,IF(LEFT(E51,2)="1人",3,4))))</f>
        <v/>
      </c>
      <c r="AD51">
        <f>IF('calcA'!CN$115=0,0,IF('calcA'!CN$4=0,1,IF(LEFT(F51,2)="0人",2,IF(LEFT(F51,2)="1人",3,4))))</f>
        <v/>
      </c>
      <c r="AE51">
        <f>IF('calcA'!DL$115=0,0,IF('calcA'!DL$4=0,1,IF(LEFT(G51,2)="0人",2,IF(LEFT(G51,2)="1人",3,4))))</f>
        <v/>
      </c>
      <c r="AF51">
        <f>IF('calcA'!EJ$115=0,0,IF('calcA'!EJ$4=0,1,IF(LEFT(H51,2)="0人",2,IF(LEFT(H51,2)="1人",3,4))))</f>
        <v/>
      </c>
    </row>
    <row r="52" ht="44" customHeight="1">
      <c r="B52" s="46">
        <f>'設定'!$I$28</f>
        <v/>
      </c>
      <c r="C52" s="109">
        <f t="array" ref="C52">IF('calcA'!U$4=0,"",IF(C23&lt;&gt;"","（決定）",IF('calcA'!U$108=1,"（空ける）",SUMPRODUCT(('calcA'!U$60:U$104=1)*('calcA'!$C$10:$C$54=1))&amp;"人："&amp;_xlfn.TEXTJOIN("、",TRUE,IF(('calcA'!U$60:U$104=1)*('calcA'!$C$10:$C$54=1),'calcA'!$B$10:$B$54,"")))))</f>
        <v/>
      </c>
      <c r="D52" s="109">
        <f t="array" ref="D52">IF('calcA'!AS$4=0,"",IF(D23&lt;&gt;"","（決定）",IF('calcA'!AS$108=1,"（空ける）",SUMPRODUCT(('calcA'!AS$60:AS$104=1)*('calcA'!$C$10:$C$54=1))&amp;"人："&amp;_xlfn.TEXTJOIN("、",TRUE,IF(('calcA'!AS$60:AS$104=1)*('calcA'!$C$10:$C$54=1),'calcA'!$B$10:$B$54,"")))))</f>
        <v/>
      </c>
      <c r="E52" s="109">
        <f t="array" ref="E52">IF('calcA'!BQ$4=0,"",IF(E23&lt;&gt;"","（決定）",IF('calcA'!BQ$108=1,"（空ける）",SUMPRODUCT(('calcA'!BQ$60:BQ$104=1)*('calcA'!$C$10:$C$54=1))&amp;"人："&amp;_xlfn.TEXTJOIN("、",TRUE,IF(('calcA'!BQ$60:BQ$104=1)*('calcA'!$C$10:$C$54=1),'calcA'!$B$10:$B$54,"")))))</f>
        <v/>
      </c>
      <c r="F52" s="109">
        <f t="array" ref="F52">IF('calcA'!CO$4=0,"",IF(F23&lt;&gt;"","（決定）",IF('calcA'!CO$108=1,"（空ける）",SUMPRODUCT(('calcA'!CO$60:CO$104=1)*('calcA'!$C$10:$C$54=1))&amp;"人："&amp;_xlfn.TEXTJOIN("、",TRUE,IF(('calcA'!CO$60:CO$104=1)*('calcA'!$C$10:$C$54=1),'calcA'!$B$10:$B$54,"")))))</f>
        <v/>
      </c>
      <c r="G52" s="109">
        <f t="array" ref="G52">IF('calcA'!DM$4=0,"",IF(G23&lt;&gt;"","（決定）",IF('calcA'!DM$108=1,"（空ける）",SUMPRODUCT(('calcA'!DM$60:DM$104=1)*('calcA'!$C$10:$C$54=1))&amp;"人："&amp;_xlfn.TEXTJOIN("、",TRUE,IF(('calcA'!DM$60:DM$104=1)*('calcA'!$C$10:$C$54=1),'calcA'!$B$10:$B$54,"")))))</f>
        <v/>
      </c>
      <c r="H52" s="109">
        <f t="array" ref="H52">IF('calcA'!EK$4=0,"",IF(H23&lt;&gt;"","（決定）",IF('calcA'!EK$108=1,"（空ける）",SUMPRODUCT(('calcA'!EK$60:EK$104=1)*('calcA'!$C$10:$C$54=1))&amp;"人："&amp;_xlfn.TEXTJOIN("、",TRUE,IF(('calcA'!EK$60:EK$104=1)*('calcA'!$C$10:$C$54=1),'calcA'!$B$10:$B$54,"")))))</f>
        <v/>
      </c>
      <c r="AA52">
        <f>IF('calcA'!U$115=0,0,IF('calcA'!U$4=0,1,IF(LEFT(C52,2)="0人",2,IF(LEFT(C52,2)="1人",3,4))))</f>
        <v/>
      </c>
      <c r="AB52">
        <f>IF('calcA'!AS$115=0,0,IF('calcA'!AS$4=0,1,IF(LEFT(D52,2)="0人",2,IF(LEFT(D52,2)="1人",3,4))))</f>
        <v/>
      </c>
      <c r="AC52">
        <f>IF('calcA'!BQ$115=0,0,IF('calcA'!BQ$4=0,1,IF(LEFT(E52,2)="0人",2,IF(LEFT(E52,2)="1人",3,4))))</f>
        <v/>
      </c>
      <c r="AD52">
        <f>IF('calcA'!CO$115=0,0,IF('calcA'!CO$4=0,1,IF(LEFT(F52,2)="0人",2,IF(LEFT(F52,2)="1人",3,4))))</f>
        <v/>
      </c>
      <c r="AE52">
        <f>IF('calcA'!DM$115=0,0,IF('calcA'!DM$4=0,1,IF(LEFT(G52,2)="0人",2,IF(LEFT(G52,2)="1人",3,4))))</f>
        <v/>
      </c>
      <c r="AF52">
        <f>IF('calcA'!EK$115=0,0,IF('calcA'!EK$4=0,1,IF(LEFT(H52,2)="0人",2,IF(LEFT(H52,2)="1人",3,4))))</f>
        <v/>
      </c>
    </row>
    <row r="53" ht="44" customHeight="1">
      <c r="B53" s="46">
        <f>'設定'!$I$29</f>
        <v/>
      </c>
      <c r="C53" s="109">
        <f t="array" ref="C53">IF('calcA'!V$4=0,"",IF(C24&lt;&gt;"","（決定）",IF('calcA'!V$108=1,"（空ける）",SUMPRODUCT(('calcA'!V$60:V$104=1)*('calcA'!$C$10:$C$54=1))&amp;"人："&amp;_xlfn.TEXTJOIN("、",TRUE,IF(('calcA'!V$60:V$104=1)*('calcA'!$C$10:$C$54=1),'calcA'!$B$10:$B$54,"")))))</f>
        <v/>
      </c>
      <c r="D53" s="109">
        <f t="array" ref="D53">IF('calcA'!AT$4=0,"",IF(D24&lt;&gt;"","（決定）",IF('calcA'!AT$108=1,"（空ける）",SUMPRODUCT(('calcA'!AT$60:AT$104=1)*('calcA'!$C$10:$C$54=1))&amp;"人："&amp;_xlfn.TEXTJOIN("、",TRUE,IF(('calcA'!AT$60:AT$104=1)*('calcA'!$C$10:$C$54=1),'calcA'!$B$10:$B$54,"")))))</f>
        <v/>
      </c>
      <c r="E53" s="109">
        <f t="array" ref="E53">IF('calcA'!BR$4=0,"",IF(E24&lt;&gt;"","（決定）",IF('calcA'!BR$108=1,"（空ける）",SUMPRODUCT(('calcA'!BR$60:BR$104=1)*('calcA'!$C$10:$C$54=1))&amp;"人："&amp;_xlfn.TEXTJOIN("、",TRUE,IF(('calcA'!BR$60:BR$104=1)*('calcA'!$C$10:$C$54=1),'calcA'!$B$10:$B$54,"")))))</f>
        <v/>
      </c>
      <c r="F53" s="109">
        <f t="array" ref="F53">IF('calcA'!CP$4=0,"",IF(F24&lt;&gt;"","（決定）",IF('calcA'!CP$108=1,"（空ける）",SUMPRODUCT(('calcA'!CP$60:CP$104=1)*('calcA'!$C$10:$C$54=1))&amp;"人："&amp;_xlfn.TEXTJOIN("、",TRUE,IF(('calcA'!CP$60:CP$104=1)*('calcA'!$C$10:$C$54=1),'calcA'!$B$10:$B$54,"")))))</f>
        <v/>
      </c>
      <c r="G53" s="109">
        <f t="array" ref="G53">IF('calcA'!DN$4=0,"",IF(G24&lt;&gt;"","（決定）",IF('calcA'!DN$108=1,"（空ける）",SUMPRODUCT(('calcA'!DN$60:DN$104=1)*('calcA'!$C$10:$C$54=1))&amp;"人："&amp;_xlfn.TEXTJOIN("、",TRUE,IF(('calcA'!DN$60:DN$104=1)*('calcA'!$C$10:$C$54=1),'calcA'!$B$10:$B$54,"")))))</f>
        <v/>
      </c>
      <c r="H53" s="109">
        <f t="array" ref="H53">IF('calcA'!EL$4=0,"",IF(H24&lt;&gt;"","（決定）",IF('calcA'!EL$108=1,"（空ける）",SUMPRODUCT(('calcA'!EL$60:EL$104=1)*('calcA'!$C$10:$C$54=1))&amp;"人："&amp;_xlfn.TEXTJOIN("、",TRUE,IF(('calcA'!EL$60:EL$104=1)*('calcA'!$C$10:$C$54=1),'calcA'!$B$10:$B$54,"")))))</f>
        <v/>
      </c>
      <c r="AA53">
        <f>IF('calcA'!V$115=0,0,IF('calcA'!V$4=0,1,IF(LEFT(C53,2)="0人",2,IF(LEFT(C53,2)="1人",3,4))))</f>
        <v/>
      </c>
      <c r="AB53">
        <f>IF('calcA'!AT$115=0,0,IF('calcA'!AT$4=0,1,IF(LEFT(D53,2)="0人",2,IF(LEFT(D53,2)="1人",3,4))))</f>
        <v/>
      </c>
      <c r="AC53">
        <f>IF('calcA'!BR$115=0,0,IF('calcA'!BR$4=0,1,IF(LEFT(E53,2)="0人",2,IF(LEFT(E53,2)="1人",3,4))))</f>
        <v/>
      </c>
      <c r="AD53">
        <f>IF('calcA'!CP$115=0,0,IF('calcA'!CP$4=0,1,IF(LEFT(F53,2)="0人",2,IF(LEFT(F53,2)="1人",3,4))))</f>
        <v/>
      </c>
      <c r="AE53">
        <f>IF('calcA'!DN$115=0,0,IF('calcA'!DN$4=0,1,IF(LEFT(G53,2)="0人",2,IF(LEFT(G53,2)="1人",3,4))))</f>
        <v/>
      </c>
      <c r="AF53">
        <f>IF('calcA'!EL$115=0,0,IF('calcA'!EL$4=0,1,IF(LEFT(H53,2)="0人",2,IF(LEFT(H53,2)="1人",3,4))))</f>
        <v/>
      </c>
    </row>
    <row r="54" ht="44" customHeight="1">
      <c r="B54" s="46">
        <f>'設定'!$I$30</f>
        <v/>
      </c>
      <c r="C54" s="109">
        <f t="array" ref="C54">IF('calcA'!W$4=0,"",IF(C25&lt;&gt;"","（決定）",IF('calcA'!W$108=1,"（空ける）",SUMPRODUCT(('calcA'!W$60:W$104=1)*('calcA'!$C$10:$C$54=1))&amp;"人："&amp;_xlfn.TEXTJOIN("、",TRUE,IF(('calcA'!W$60:W$104=1)*('calcA'!$C$10:$C$54=1),'calcA'!$B$10:$B$54,"")))))</f>
        <v/>
      </c>
      <c r="D54" s="109">
        <f t="array" ref="D54">IF('calcA'!AU$4=0,"",IF(D25&lt;&gt;"","（決定）",IF('calcA'!AU$108=1,"（空ける）",SUMPRODUCT(('calcA'!AU$60:AU$104=1)*('calcA'!$C$10:$C$54=1))&amp;"人："&amp;_xlfn.TEXTJOIN("、",TRUE,IF(('calcA'!AU$60:AU$104=1)*('calcA'!$C$10:$C$54=1),'calcA'!$B$10:$B$54,"")))))</f>
        <v/>
      </c>
      <c r="E54" s="109">
        <f t="array" ref="E54">IF('calcA'!BS$4=0,"",IF(E25&lt;&gt;"","（決定）",IF('calcA'!BS$108=1,"（空ける）",SUMPRODUCT(('calcA'!BS$60:BS$104=1)*('calcA'!$C$10:$C$54=1))&amp;"人："&amp;_xlfn.TEXTJOIN("、",TRUE,IF(('calcA'!BS$60:BS$104=1)*('calcA'!$C$10:$C$54=1),'calcA'!$B$10:$B$54,"")))))</f>
        <v/>
      </c>
      <c r="F54" s="109">
        <f t="array" ref="F54">IF('calcA'!CQ$4=0,"",IF(F25&lt;&gt;"","（決定）",IF('calcA'!CQ$108=1,"（空ける）",SUMPRODUCT(('calcA'!CQ$60:CQ$104=1)*('calcA'!$C$10:$C$54=1))&amp;"人："&amp;_xlfn.TEXTJOIN("、",TRUE,IF(('calcA'!CQ$60:CQ$104=1)*('calcA'!$C$10:$C$54=1),'calcA'!$B$10:$B$54,"")))))</f>
        <v/>
      </c>
      <c r="G54" s="109">
        <f t="array" ref="G54">IF('calcA'!DO$4=0,"",IF(G25&lt;&gt;"","（決定）",IF('calcA'!DO$108=1,"（空ける）",SUMPRODUCT(('calcA'!DO$60:DO$104=1)*('calcA'!$C$10:$C$54=1))&amp;"人："&amp;_xlfn.TEXTJOIN("、",TRUE,IF(('calcA'!DO$60:DO$104=1)*('calcA'!$C$10:$C$54=1),'calcA'!$B$10:$B$54,"")))))</f>
        <v/>
      </c>
      <c r="H54" s="109">
        <f t="array" ref="H54">IF('calcA'!EM$4=0,"",IF(H25&lt;&gt;"","（決定）",IF('calcA'!EM$108=1,"（空ける）",SUMPRODUCT(('calcA'!EM$60:EM$104=1)*('calcA'!$C$10:$C$54=1))&amp;"人："&amp;_xlfn.TEXTJOIN("、",TRUE,IF(('calcA'!EM$60:EM$104=1)*('calcA'!$C$10:$C$54=1),'calcA'!$B$10:$B$54,"")))))</f>
        <v/>
      </c>
      <c r="AA54">
        <f>IF('calcA'!W$115=0,0,IF('calcA'!W$4=0,1,IF(LEFT(C54,2)="0人",2,IF(LEFT(C54,2)="1人",3,4))))</f>
        <v/>
      </c>
      <c r="AB54">
        <f>IF('calcA'!AU$115=0,0,IF('calcA'!AU$4=0,1,IF(LEFT(D54,2)="0人",2,IF(LEFT(D54,2)="1人",3,4))))</f>
        <v/>
      </c>
      <c r="AC54">
        <f>IF('calcA'!BS$115=0,0,IF('calcA'!BS$4=0,1,IF(LEFT(E54,2)="0人",2,IF(LEFT(E54,2)="1人",3,4))))</f>
        <v/>
      </c>
      <c r="AD54">
        <f>IF('calcA'!CQ$115=0,0,IF('calcA'!CQ$4=0,1,IF(LEFT(F54,2)="0人",2,IF(LEFT(F54,2)="1人",3,4))))</f>
        <v/>
      </c>
      <c r="AE54">
        <f>IF('calcA'!DO$115=0,0,IF('calcA'!DO$4=0,1,IF(LEFT(G54,2)="0人",2,IF(LEFT(G54,2)="1人",3,4))))</f>
        <v/>
      </c>
      <c r="AF54">
        <f>IF('calcA'!EM$115=0,0,IF('calcA'!EM$4=0,1,IF(LEFT(H54,2)="0人",2,IF(LEFT(H54,2)="1人",3,4))))</f>
        <v/>
      </c>
    </row>
    <row r="55" ht="44" customHeight="1">
      <c r="B55" s="46">
        <f>'設定'!$I$31</f>
        <v/>
      </c>
      <c r="C55" s="109">
        <f t="array" ref="C55">IF('calcA'!X$4=0,"",IF(C26&lt;&gt;"","（決定）",IF('calcA'!X$108=1,"（空ける）",SUMPRODUCT(('calcA'!X$60:X$104=1)*('calcA'!$C$10:$C$54=1))&amp;"人："&amp;_xlfn.TEXTJOIN("、",TRUE,IF(('calcA'!X$60:X$104=1)*('calcA'!$C$10:$C$54=1),'calcA'!$B$10:$B$54,"")))))</f>
        <v/>
      </c>
      <c r="D55" s="109">
        <f t="array" ref="D55">IF('calcA'!AV$4=0,"",IF(D26&lt;&gt;"","（決定）",IF('calcA'!AV$108=1,"（空ける）",SUMPRODUCT(('calcA'!AV$60:AV$104=1)*('calcA'!$C$10:$C$54=1))&amp;"人："&amp;_xlfn.TEXTJOIN("、",TRUE,IF(('calcA'!AV$60:AV$104=1)*('calcA'!$C$10:$C$54=1),'calcA'!$B$10:$B$54,"")))))</f>
        <v/>
      </c>
      <c r="E55" s="109">
        <f t="array" ref="E55">IF('calcA'!BT$4=0,"",IF(E26&lt;&gt;"","（決定）",IF('calcA'!BT$108=1,"（空ける）",SUMPRODUCT(('calcA'!BT$60:BT$104=1)*('calcA'!$C$10:$C$54=1))&amp;"人："&amp;_xlfn.TEXTJOIN("、",TRUE,IF(('calcA'!BT$60:BT$104=1)*('calcA'!$C$10:$C$54=1),'calcA'!$B$10:$B$54,"")))))</f>
        <v/>
      </c>
      <c r="F55" s="109">
        <f t="array" ref="F55">IF('calcA'!CR$4=0,"",IF(F26&lt;&gt;"","（決定）",IF('calcA'!CR$108=1,"（空ける）",SUMPRODUCT(('calcA'!CR$60:CR$104=1)*('calcA'!$C$10:$C$54=1))&amp;"人："&amp;_xlfn.TEXTJOIN("、",TRUE,IF(('calcA'!CR$60:CR$104=1)*('calcA'!$C$10:$C$54=1),'calcA'!$B$10:$B$54,"")))))</f>
        <v/>
      </c>
      <c r="G55" s="109">
        <f t="array" ref="G55">IF('calcA'!DP$4=0,"",IF(G26&lt;&gt;"","（決定）",IF('calcA'!DP$108=1,"（空ける）",SUMPRODUCT(('calcA'!DP$60:DP$104=1)*('calcA'!$C$10:$C$54=1))&amp;"人："&amp;_xlfn.TEXTJOIN("、",TRUE,IF(('calcA'!DP$60:DP$104=1)*('calcA'!$C$10:$C$54=1),'calcA'!$B$10:$B$54,"")))))</f>
        <v/>
      </c>
      <c r="H55" s="109">
        <f t="array" ref="H55">IF('calcA'!EN$4=0,"",IF(H26&lt;&gt;"","（決定）",IF('calcA'!EN$108=1,"（空ける）",SUMPRODUCT(('calcA'!EN$60:EN$104=1)*('calcA'!$C$10:$C$54=1))&amp;"人："&amp;_xlfn.TEXTJOIN("、",TRUE,IF(('calcA'!EN$60:EN$104=1)*('calcA'!$C$10:$C$54=1),'calcA'!$B$10:$B$54,"")))))</f>
        <v/>
      </c>
      <c r="AA55">
        <f>IF('calcA'!X$115=0,0,IF('calcA'!X$4=0,1,IF(LEFT(C55,2)="0人",2,IF(LEFT(C55,2)="1人",3,4))))</f>
        <v/>
      </c>
      <c r="AB55">
        <f>IF('calcA'!AV$115=0,0,IF('calcA'!AV$4=0,1,IF(LEFT(D55,2)="0人",2,IF(LEFT(D55,2)="1人",3,4))))</f>
        <v/>
      </c>
      <c r="AC55">
        <f>IF('calcA'!BT$115=0,0,IF('calcA'!BT$4=0,1,IF(LEFT(E55,2)="0人",2,IF(LEFT(E55,2)="1人",3,4))))</f>
        <v/>
      </c>
      <c r="AD55">
        <f>IF('calcA'!CR$115=0,0,IF('calcA'!CR$4=0,1,IF(LEFT(F55,2)="0人",2,IF(LEFT(F55,2)="1人",3,4))))</f>
        <v/>
      </c>
      <c r="AE55">
        <f>IF('calcA'!DP$115=0,0,IF('calcA'!DP$4=0,1,IF(LEFT(G55,2)="0人",2,IF(LEFT(G55,2)="1人",3,4))))</f>
        <v/>
      </c>
      <c r="AF55">
        <f>IF('calcA'!EN$115=0,0,IF('calcA'!EN$4=0,1,IF(LEFT(H55,2)="0人",2,IF(LEFT(H55,2)="1人",3,4))))</f>
        <v/>
      </c>
    </row>
    <row r="56" ht="44" customHeight="1">
      <c r="B56" s="46">
        <f>'設定'!$I$32</f>
        <v/>
      </c>
      <c r="C56" s="109">
        <f t="array" ref="C56">IF('calcA'!Y$4=0,"",IF(C27&lt;&gt;"","（決定）",IF('calcA'!Y$108=1,"（空ける）",SUMPRODUCT(('calcA'!Y$60:Y$104=1)*('calcA'!$C$10:$C$54=1))&amp;"人："&amp;_xlfn.TEXTJOIN("、",TRUE,IF(('calcA'!Y$60:Y$104=1)*('calcA'!$C$10:$C$54=1),'calcA'!$B$10:$B$54,"")))))</f>
        <v/>
      </c>
      <c r="D56" s="109">
        <f t="array" ref="D56">IF('calcA'!AW$4=0,"",IF(D27&lt;&gt;"","（決定）",IF('calcA'!AW$108=1,"（空ける）",SUMPRODUCT(('calcA'!AW$60:AW$104=1)*('calcA'!$C$10:$C$54=1))&amp;"人："&amp;_xlfn.TEXTJOIN("、",TRUE,IF(('calcA'!AW$60:AW$104=1)*('calcA'!$C$10:$C$54=1),'calcA'!$B$10:$B$54,"")))))</f>
        <v/>
      </c>
      <c r="E56" s="109">
        <f t="array" ref="E56">IF('calcA'!BU$4=0,"",IF(E27&lt;&gt;"","（決定）",IF('calcA'!BU$108=1,"（空ける）",SUMPRODUCT(('calcA'!BU$60:BU$104=1)*('calcA'!$C$10:$C$54=1))&amp;"人："&amp;_xlfn.TEXTJOIN("、",TRUE,IF(('calcA'!BU$60:BU$104=1)*('calcA'!$C$10:$C$54=1),'calcA'!$B$10:$B$54,"")))))</f>
        <v/>
      </c>
      <c r="F56" s="109">
        <f t="array" ref="F56">IF('calcA'!CS$4=0,"",IF(F27&lt;&gt;"","（決定）",IF('calcA'!CS$108=1,"（空ける）",SUMPRODUCT(('calcA'!CS$60:CS$104=1)*('calcA'!$C$10:$C$54=1))&amp;"人："&amp;_xlfn.TEXTJOIN("、",TRUE,IF(('calcA'!CS$60:CS$104=1)*('calcA'!$C$10:$C$54=1),'calcA'!$B$10:$B$54,"")))))</f>
        <v/>
      </c>
      <c r="G56" s="109">
        <f t="array" ref="G56">IF('calcA'!DQ$4=0,"",IF(G27&lt;&gt;"","（決定）",IF('calcA'!DQ$108=1,"（空ける）",SUMPRODUCT(('calcA'!DQ$60:DQ$104=1)*('calcA'!$C$10:$C$54=1))&amp;"人："&amp;_xlfn.TEXTJOIN("、",TRUE,IF(('calcA'!DQ$60:DQ$104=1)*('calcA'!$C$10:$C$54=1),'calcA'!$B$10:$B$54,"")))))</f>
        <v/>
      </c>
      <c r="H56" s="109">
        <f t="array" ref="H56">IF('calcA'!EO$4=0,"",IF(H27&lt;&gt;"","（決定）",IF('calcA'!EO$108=1,"（空ける）",SUMPRODUCT(('calcA'!EO$60:EO$104=1)*('calcA'!$C$10:$C$54=1))&amp;"人："&amp;_xlfn.TEXTJOIN("、",TRUE,IF(('calcA'!EO$60:EO$104=1)*('calcA'!$C$10:$C$54=1),'calcA'!$B$10:$B$54,"")))))</f>
        <v/>
      </c>
      <c r="AA56">
        <f>IF('calcA'!Y$115=0,0,IF('calcA'!Y$4=0,1,IF(LEFT(C56,2)="0人",2,IF(LEFT(C56,2)="1人",3,4))))</f>
        <v/>
      </c>
      <c r="AB56">
        <f>IF('calcA'!AW$115=0,0,IF('calcA'!AW$4=0,1,IF(LEFT(D56,2)="0人",2,IF(LEFT(D56,2)="1人",3,4))))</f>
        <v/>
      </c>
      <c r="AC56">
        <f>IF('calcA'!BU$115=0,0,IF('calcA'!BU$4=0,1,IF(LEFT(E56,2)="0人",2,IF(LEFT(E56,2)="1人",3,4))))</f>
        <v/>
      </c>
      <c r="AD56">
        <f>IF('calcA'!CS$115=0,0,IF('calcA'!CS$4=0,1,IF(LEFT(F56,2)="0人",2,IF(LEFT(F56,2)="1人",3,4))))</f>
        <v/>
      </c>
      <c r="AE56">
        <f>IF('calcA'!DQ$115=0,0,IF('calcA'!DQ$4=0,1,IF(LEFT(G56,2)="0人",2,IF(LEFT(G56,2)="1人",3,4))))</f>
        <v/>
      </c>
      <c r="AF56">
        <f>IF('calcA'!EO$115=0,0,IF('calcA'!EO$4=0,1,IF(LEFT(H56,2)="0人",2,IF(LEFT(H56,2)="1人",3,4))))</f>
        <v/>
      </c>
    </row>
    <row r="57" ht="44" customHeight="1">
      <c r="B57" s="46">
        <f>'設定'!$I$33</f>
        <v/>
      </c>
      <c r="C57" s="109">
        <f t="array" ref="C57">IF('calcA'!Z$4=0,"",IF(C28&lt;&gt;"","（決定）",IF('calcA'!Z$108=1,"（空ける）",SUMPRODUCT(('calcA'!Z$60:Z$104=1)*('calcA'!$C$10:$C$54=1))&amp;"人："&amp;_xlfn.TEXTJOIN("、",TRUE,IF(('calcA'!Z$60:Z$104=1)*('calcA'!$C$10:$C$54=1),'calcA'!$B$10:$B$54,"")))))</f>
        <v/>
      </c>
      <c r="D57" s="109">
        <f t="array" ref="D57">IF('calcA'!AX$4=0,"",IF(D28&lt;&gt;"","（決定）",IF('calcA'!AX$108=1,"（空ける）",SUMPRODUCT(('calcA'!AX$60:AX$104=1)*('calcA'!$C$10:$C$54=1))&amp;"人："&amp;_xlfn.TEXTJOIN("、",TRUE,IF(('calcA'!AX$60:AX$104=1)*('calcA'!$C$10:$C$54=1),'calcA'!$B$10:$B$54,"")))))</f>
        <v/>
      </c>
      <c r="E57" s="109">
        <f t="array" ref="E57">IF('calcA'!BV$4=0,"",IF(E28&lt;&gt;"","（決定）",IF('calcA'!BV$108=1,"（空ける）",SUMPRODUCT(('calcA'!BV$60:BV$104=1)*('calcA'!$C$10:$C$54=1))&amp;"人："&amp;_xlfn.TEXTJOIN("、",TRUE,IF(('calcA'!BV$60:BV$104=1)*('calcA'!$C$10:$C$54=1),'calcA'!$B$10:$B$54,"")))))</f>
        <v/>
      </c>
      <c r="F57" s="109">
        <f t="array" ref="F57">IF('calcA'!CT$4=0,"",IF(F28&lt;&gt;"","（決定）",IF('calcA'!CT$108=1,"（空ける）",SUMPRODUCT(('calcA'!CT$60:CT$104=1)*('calcA'!$C$10:$C$54=1))&amp;"人："&amp;_xlfn.TEXTJOIN("、",TRUE,IF(('calcA'!CT$60:CT$104=1)*('calcA'!$C$10:$C$54=1),'calcA'!$B$10:$B$54,"")))))</f>
        <v/>
      </c>
      <c r="G57" s="109">
        <f t="array" ref="G57">IF('calcA'!DR$4=0,"",IF(G28&lt;&gt;"","（決定）",IF('calcA'!DR$108=1,"（空ける）",SUMPRODUCT(('calcA'!DR$60:DR$104=1)*('calcA'!$C$10:$C$54=1))&amp;"人："&amp;_xlfn.TEXTJOIN("、",TRUE,IF(('calcA'!DR$60:DR$104=1)*('calcA'!$C$10:$C$54=1),'calcA'!$B$10:$B$54,"")))))</f>
        <v/>
      </c>
      <c r="H57" s="109">
        <f t="array" ref="H57">IF('calcA'!EP$4=0,"",IF(H28&lt;&gt;"","（決定）",IF('calcA'!EP$108=1,"（空ける）",SUMPRODUCT(('calcA'!EP$60:EP$104=1)*('calcA'!$C$10:$C$54=1))&amp;"人："&amp;_xlfn.TEXTJOIN("、",TRUE,IF(('calcA'!EP$60:EP$104=1)*('calcA'!$C$10:$C$54=1),'calcA'!$B$10:$B$54,"")))))</f>
        <v/>
      </c>
      <c r="AA57">
        <f>IF('calcA'!Z$115=0,0,IF('calcA'!Z$4=0,1,IF(LEFT(C57,2)="0人",2,IF(LEFT(C57,2)="1人",3,4))))</f>
        <v/>
      </c>
      <c r="AB57">
        <f>IF('calcA'!AX$115=0,0,IF('calcA'!AX$4=0,1,IF(LEFT(D57,2)="0人",2,IF(LEFT(D57,2)="1人",3,4))))</f>
        <v/>
      </c>
      <c r="AC57">
        <f>IF('calcA'!BV$115=0,0,IF('calcA'!BV$4=0,1,IF(LEFT(E57,2)="0人",2,IF(LEFT(E57,2)="1人",3,4))))</f>
        <v/>
      </c>
      <c r="AD57">
        <f>IF('calcA'!CT$115=0,0,IF('calcA'!CT$4=0,1,IF(LEFT(F57,2)="0人",2,IF(LEFT(F57,2)="1人",3,4))))</f>
        <v/>
      </c>
      <c r="AE57">
        <f>IF('calcA'!DR$115=0,0,IF('calcA'!DR$4=0,1,IF(LEFT(G57,2)="0人",2,IF(LEFT(G57,2)="1人",3,4))))</f>
        <v/>
      </c>
      <c r="AF57">
        <f>IF('calcA'!EP$115=0,0,IF('calcA'!EP$4=0,1,IF(LEFT(H57,2)="0人",2,IF(LEFT(H57,2)="1人",3,4))))</f>
        <v/>
      </c>
    </row>
    <row r="58" ht="44" customHeight="1">
      <c r="B58" s="46">
        <f>'設定'!$I$34</f>
        <v/>
      </c>
      <c r="C58" s="109">
        <f t="array" ref="C58">IF('calcA'!AA$4=0,"",IF(C29&lt;&gt;"","（決定）",IF('calcA'!AA$108=1,"（空ける）",SUMPRODUCT(('calcA'!AA$60:AA$104=1)*('calcA'!$C$10:$C$54=1))&amp;"人："&amp;_xlfn.TEXTJOIN("、",TRUE,IF(('calcA'!AA$60:AA$104=1)*('calcA'!$C$10:$C$54=1),'calcA'!$B$10:$B$54,"")))))</f>
        <v/>
      </c>
      <c r="D58" s="109">
        <f t="array" ref="D58">IF('calcA'!AY$4=0,"",IF(D29&lt;&gt;"","（決定）",IF('calcA'!AY$108=1,"（空ける）",SUMPRODUCT(('calcA'!AY$60:AY$104=1)*('calcA'!$C$10:$C$54=1))&amp;"人："&amp;_xlfn.TEXTJOIN("、",TRUE,IF(('calcA'!AY$60:AY$104=1)*('calcA'!$C$10:$C$54=1),'calcA'!$B$10:$B$54,"")))))</f>
        <v/>
      </c>
      <c r="E58" s="109">
        <f t="array" ref="E58">IF('calcA'!BW$4=0,"",IF(E29&lt;&gt;"","（決定）",IF('calcA'!BW$108=1,"（空ける）",SUMPRODUCT(('calcA'!BW$60:BW$104=1)*('calcA'!$C$10:$C$54=1))&amp;"人："&amp;_xlfn.TEXTJOIN("、",TRUE,IF(('calcA'!BW$60:BW$104=1)*('calcA'!$C$10:$C$54=1),'calcA'!$B$10:$B$54,"")))))</f>
        <v/>
      </c>
      <c r="F58" s="109">
        <f t="array" ref="F58">IF('calcA'!CU$4=0,"",IF(F29&lt;&gt;"","（決定）",IF('calcA'!CU$108=1,"（空ける）",SUMPRODUCT(('calcA'!CU$60:CU$104=1)*('calcA'!$C$10:$C$54=1))&amp;"人："&amp;_xlfn.TEXTJOIN("、",TRUE,IF(('calcA'!CU$60:CU$104=1)*('calcA'!$C$10:$C$54=1),'calcA'!$B$10:$B$54,"")))))</f>
        <v/>
      </c>
      <c r="G58" s="109">
        <f t="array" ref="G58">IF('calcA'!DS$4=0,"",IF(G29&lt;&gt;"","（決定）",IF('calcA'!DS$108=1,"（空ける）",SUMPRODUCT(('calcA'!DS$60:DS$104=1)*('calcA'!$C$10:$C$54=1))&amp;"人："&amp;_xlfn.TEXTJOIN("、",TRUE,IF(('calcA'!DS$60:DS$104=1)*('calcA'!$C$10:$C$54=1),'calcA'!$B$10:$B$54,"")))))</f>
        <v/>
      </c>
      <c r="H58" s="109">
        <f t="array" ref="H58">IF('calcA'!EQ$4=0,"",IF(H29&lt;&gt;"","（決定）",IF('calcA'!EQ$108=1,"（空ける）",SUMPRODUCT(('calcA'!EQ$60:EQ$104=1)*('calcA'!$C$10:$C$54=1))&amp;"人："&amp;_xlfn.TEXTJOIN("、",TRUE,IF(('calcA'!EQ$60:EQ$104=1)*('calcA'!$C$10:$C$54=1),'calcA'!$B$10:$B$54,"")))))</f>
        <v/>
      </c>
      <c r="AA58">
        <f>IF('calcA'!AA$115=0,0,IF('calcA'!AA$4=0,1,IF(LEFT(C58,2)="0人",2,IF(LEFT(C58,2)="1人",3,4))))</f>
        <v/>
      </c>
      <c r="AB58">
        <f>IF('calcA'!AY$115=0,0,IF('calcA'!AY$4=0,1,IF(LEFT(D58,2)="0人",2,IF(LEFT(D58,2)="1人",3,4))))</f>
        <v/>
      </c>
      <c r="AC58">
        <f>IF('calcA'!BW$115=0,0,IF('calcA'!BW$4=0,1,IF(LEFT(E58,2)="0人",2,IF(LEFT(E58,2)="1人",3,4))))</f>
        <v/>
      </c>
      <c r="AD58">
        <f>IF('calcA'!CU$115=0,0,IF('calcA'!CU$4=0,1,IF(LEFT(F58,2)="0人",2,IF(LEFT(F58,2)="1人",3,4))))</f>
        <v/>
      </c>
      <c r="AE58">
        <f>IF('calcA'!DS$115=0,0,IF('calcA'!DS$4=0,1,IF(LEFT(G58,2)="0人",2,IF(LEFT(G58,2)="1人",3,4))))</f>
        <v/>
      </c>
      <c r="AF58">
        <f>IF('calcA'!EQ$115=0,0,IF('calcA'!EQ$4=0,1,IF(LEFT(H58,2)="0人",2,IF(LEFT(H58,2)="1人",3,4))))</f>
        <v/>
      </c>
    </row>
  </sheetData>
  <mergeCells count="3">
    <mergeCell ref="J5:K5"/>
    <mergeCell ref="K11:K16"/>
    <mergeCell ref="C4:H4"/>
  </mergeCells>
  <conditionalFormatting sqref="B6:B29">
    <cfRule type="expression" priority="1" dxfId="3" stopIfTrue="1">
      <formula>B6=""</formula>
    </cfRule>
  </conditionalFormatting>
  <conditionalFormatting sqref="C4">
    <cfRule type="expression" priority="2" dxfId="17">
      <formula>'calcA'!$A$5&lt;&gt;""</formula>
    </cfRule>
  </conditionalFormatting>
  <conditionalFormatting sqref="C6:H29">
    <cfRule type="expression" priority="3" dxfId="18" stopIfTrue="1">
      <formula>ADDRESS(ROW(),COLUMN())='calcA'!$A$5</formula>
    </cfRule>
    <cfRule type="expression" priority="4" dxfId="3" stopIfTrue="1">
      <formula>AA6=0</formula>
    </cfRule>
    <cfRule type="expression" priority="5" dxfId="19" stopIfTrue="1">
      <formula>AA6=1</formula>
    </cfRule>
    <cfRule type="expression" priority="6" dxfId="19" stopIfTrue="1">
      <formula>AA6=2</formula>
    </cfRule>
    <cfRule type="expression" priority="7" dxfId="20" stopIfTrue="1">
      <formula>AA6=3</formula>
    </cfRule>
    <cfRule type="expression" priority="8" dxfId="11" stopIfTrue="1">
      <formula>AA6=4</formula>
    </cfRule>
    <cfRule type="expression" priority="9" dxfId="21" stopIfTrue="1">
      <formula>AA6=5</formula>
    </cfRule>
    <cfRule type="expression" priority="10" dxfId="14" stopIfTrue="1">
      <formula>AA6=6</formula>
    </cfRule>
    <cfRule type="expression" priority="11" dxfId="22" stopIfTrue="1">
      <formula>AA6=7</formula>
    </cfRule>
    <cfRule type="expression" priority="12" dxfId="5" stopIfTrue="1">
      <formula>AA6=8</formula>
    </cfRule>
    <cfRule type="expression" priority="13" dxfId="23" stopIfTrue="1">
      <formula>AA6=9</formula>
    </cfRule>
    <cfRule type="expression" priority="14" dxfId="24" stopIfTrue="1">
      <formula>AA6=10</formula>
    </cfRule>
    <cfRule type="expression" priority="15" dxfId="15" stopIfTrue="1">
      <formula>AA6=11</formula>
    </cfRule>
    <cfRule type="expression" priority="16" dxfId="4">
      <formula>TRUE</formula>
    </cfRule>
  </conditionalFormatting>
  <conditionalFormatting sqref="C35:H58">
    <cfRule type="expression" priority="17" dxfId="3" stopIfTrue="1">
      <formula>AA35=0</formula>
    </cfRule>
    <cfRule type="expression" priority="18" dxfId="11" stopIfTrue="1">
      <formula>AA35=1</formula>
    </cfRule>
    <cfRule type="expression" priority="19" dxfId="25" stopIfTrue="1">
      <formula>AA35=2</formula>
    </cfRule>
    <cfRule type="expression" priority="20" dxfId="26" stopIfTrue="1">
      <formula>AA35=3</formula>
    </cfRule>
    <cfRule type="expression" priority="21" dxfId="4">
      <formula>TRUE</formula>
    </cfRule>
  </conditionalFormatting>
  <conditionalFormatting sqref="B35:B58">
    <cfRule type="expression" priority="22" dxfId="3" stopIfTrue="1">
      <formula>B35=""</formula>
    </cfRule>
  </conditionalFormatting>
  <conditionalFormatting sqref="C5:H5">
    <cfRule type="expression" priority="23" dxfId="3">
      <formula>C5=""</formula>
    </cfRule>
  </conditionalFormatting>
  <conditionalFormatting sqref="C34:H34">
    <cfRule type="expression" priority="24" dxfId="3">
      <formula>C34=""</formula>
    </cfRule>
  </conditionalFormatting>
  <dataValidations count="1">
    <dataValidation sqref="C6:H29 J5" showDropDown="0" showInputMessage="0" showErrorMessage="1" allowBlank="1" error="名簿にある児童を選んでください。" type="list">
      <formula1>='名簿'!$P$5:$P$49</formula1>
    </dataValidation>
  </dataValidations>
  <hyperlinks>
    <hyperlink ref="J3" location="'調整・決定'!J3" display="▶ ひとつ前に戻す"/>
  </hyperlink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tabColor rgb="007A5BA8"/>
    <outlinePr summaryBelow="1" summaryRight="1"/>
    <pageSetUpPr fitToPage="1"/>
  </sheetPr>
  <dimension ref="A1:AF29"/>
  <sheetViews>
    <sheetView showGridLines="0" showRowColHeaders="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11.27" customWidth="1" min="2" max="2"/>
    <col width="15.43" customWidth="1" min="3" max="3"/>
    <col width="15.43" customWidth="1" min="4" max="4"/>
    <col width="15.43" customWidth="1" min="5" max="5"/>
    <col width="15.43" customWidth="1" min="6" max="6"/>
    <col width="15.43" customWidth="1" min="7" max="7"/>
    <col width="15.43" customWidth="1" min="8" max="8"/>
    <col width="3" customWidth="1" min="9" max="9"/>
    <col width="20" customWidth="1" min="10" max="10"/>
    <col width="22"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hidden="1" width="13" customWidth="1" min="27" max="27"/>
    <col hidden="1" width="13" customWidth="1" min="28" max="28"/>
    <col hidden="1" width="13" customWidth="1" min="29" max="29"/>
    <col hidden="1" width="13" customWidth="1" min="30" max="30"/>
    <col hidden="1" width="13" customWidth="1" min="31" max="31"/>
    <col hidden="1" width="13" customWidth="1" min="32" max="32"/>
  </cols>
  <sheetData>
    <row r="1" ht="44" customHeight="1">
      <c r="A1" s="2" t="n"/>
      <c r="B1" s="71" t="inlineStr">
        <is>
          <t>兄弟確認用</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2">
        <f>HYPERLINK("#'自動案B'!A1","④ 自動案B")</f>
        <v/>
      </c>
      <c r="N1" s="22">
        <f>HYPERLINK("#'調整・決定'!A1","⑤ 調整・決定")</f>
        <v/>
      </c>
      <c r="O1" s="23">
        <f>HYPERLINK("#'兄弟確認用'!A1","⑥ 兄弟確認")</f>
        <v/>
      </c>
      <c r="P1" s="22">
        <f>HYPERLINK("#'お手紙（夏）'!A1","⑦ お手紙 夏")</f>
        <v/>
      </c>
      <c r="Q1" s="22">
        <f>HYPERLINK("#'お手紙（秋）'!A1","⑧ お手紙 秋")</f>
        <v/>
      </c>
    </row>
    <row r="2" ht="24" customHeight="1">
      <c r="A2" s="5" t="n"/>
      <c r="B2" s="72" t="inlineStr">
        <is>
          <t>「調整・決定」で決めた日程を、予定表と同じ形で印刷します（A4たて）。兄弟がいる子は色付きで、名前の下に兄弟のクラスが出ます。表の上の黄色の欄は自由に書けます。</t>
        </is>
      </c>
      <c r="C2" s="5" t="n"/>
      <c r="D2" s="5" t="n"/>
      <c r="E2" s="5" t="n"/>
      <c r="F2" s="5" t="n"/>
      <c r="G2" s="5" t="n"/>
      <c r="H2" s="5" t="n"/>
      <c r="I2" s="5" t="n"/>
      <c r="J2" s="5" t="n"/>
      <c r="K2" s="5" t="n"/>
      <c r="L2" s="5" t="n"/>
      <c r="M2" s="5" t="n"/>
      <c r="N2" s="5" t="n"/>
      <c r="O2" s="5" t="n"/>
      <c r="P2" s="5" t="n"/>
      <c r="Q2" s="5" t="n"/>
    </row>
    <row r="3" ht="28" customHeight="1">
      <c r="B3" s="110">
        <f>IF('設定'!$B$36="個人面談","個人面談",IF('設定'!$B$36="進路面談","進路面談",IF(OR(IF(RIGHT('設定'!$B$31,1)="年",LEFT('設定'!$B$31,LEN('設定'!$B$31)-1),'設定'!$B$31)&amp;""="6",IF(RIGHT('設定'!$B$31,1)="年",LEFT('設定'!$B$31,LEN('設定'!$B$31)-1),'設定'!$B$31)&amp;""="６"),"進路面談","個人面談")))&amp;"日程　"&amp;IF('設定'!$B$31="","　",IF(RIGHT('設定'!$B$31,1)="年",LEFT('設定'!$B$31,LEN('設定'!$B$31)-1),'設定'!$B$31))&amp;"年"&amp;IF('設定'!$B$32="","　",IF(RIGHT('設定'!$B$32,1)="組",LEFT('設定'!$B$32,LEN('設定'!$B$32)-1),'設定'!$B$32))&amp;"組"&amp;"　担任　"&amp;'設定'!$B$33</f>
        <v/>
      </c>
      <c r="J3" s="90" t="inlineStr">
        <is>
          <t>▶ 印刷プレビュー</t>
        </is>
      </c>
      <c r="K3" s="111" t="inlineStr">
        <is>
          <t>▶ PDFで保存</t>
        </is>
      </c>
    </row>
    <row r="4" ht="48" customHeight="1">
      <c r="B4" s="112" t="n"/>
      <c r="J4" s="64" t="inlineStr">
        <is>
          <t>◀ 自由に書けます（例：組んでみました。都合が悪ければお知らせください。）</t>
        </is>
      </c>
    </row>
    <row r="5">
      <c r="B5" s="38" t="inlineStr"/>
      <c r="C5" s="39">
        <f>'設定'!$E$11</f>
        <v/>
      </c>
      <c r="D5" s="39">
        <f>'設定'!$E$12</f>
        <v/>
      </c>
      <c r="E5" s="39">
        <f>'設定'!$E$13</f>
        <v/>
      </c>
      <c r="F5" s="39">
        <f>'設定'!$E$14</f>
        <v/>
      </c>
      <c r="G5" s="39">
        <f>'設定'!$E$15</f>
        <v/>
      </c>
      <c r="H5" s="39">
        <f>'設定'!$E$16</f>
        <v/>
      </c>
    </row>
    <row r="6" ht="34" customHeight="1">
      <c r="B6" s="46">
        <f>'設定'!$I$11</f>
        <v/>
      </c>
      <c r="C6" s="27">
        <f>IF('調整・決定'!C6="","",'調整・決定'!C6&amp;IF(IFERROR(INDEX('名簿'!$E$5:$E$49,MATCH('調整・決定'!C6,'名簿'!$P$5:$P$49,0))&lt;&gt;"",FALSE),CHAR(10)&amp;INDEX('名簿'!$F$5:$F$49,MATCH('調整・決定'!C6,'名簿'!$P$5:$P$49,0)),""))</f>
        <v/>
      </c>
      <c r="D6" s="27">
        <f>IF('調整・決定'!D6="","",'調整・決定'!D6&amp;IF(IFERROR(INDEX('名簿'!$E$5:$E$49,MATCH('調整・決定'!D6,'名簿'!$P$5:$P$49,0))&lt;&gt;"",FALSE),CHAR(10)&amp;INDEX('名簿'!$F$5:$F$49,MATCH('調整・決定'!D6,'名簿'!$P$5:$P$49,0)),""))</f>
        <v/>
      </c>
      <c r="E6" s="27">
        <f>IF('調整・決定'!E6="","",'調整・決定'!E6&amp;IF(IFERROR(INDEX('名簿'!$E$5:$E$49,MATCH('調整・決定'!E6,'名簿'!$P$5:$P$49,0))&lt;&gt;"",FALSE),CHAR(10)&amp;INDEX('名簿'!$F$5:$F$49,MATCH('調整・決定'!E6,'名簿'!$P$5:$P$49,0)),""))</f>
        <v/>
      </c>
      <c r="F6" s="27">
        <f>IF('調整・決定'!F6="","",'調整・決定'!F6&amp;IF(IFERROR(INDEX('名簿'!$E$5:$E$49,MATCH('調整・決定'!F6,'名簿'!$P$5:$P$49,0))&lt;&gt;"",FALSE),CHAR(10)&amp;INDEX('名簿'!$F$5:$F$49,MATCH('調整・決定'!F6,'名簿'!$P$5:$P$49,0)),""))</f>
        <v/>
      </c>
      <c r="G6" s="27">
        <f>IF('調整・決定'!G6="","",'調整・決定'!G6&amp;IF(IFERROR(INDEX('名簿'!$E$5:$E$49,MATCH('調整・決定'!G6,'名簿'!$P$5:$P$49,0))&lt;&gt;"",FALSE),CHAR(10)&amp;INDEX('名簿'!$F$5:$F$49,MATCH('調整・決定'!G6,'名簿'!$P$5:$P$49,0)),""))</f>
        <v/>
      </c>
      <c r="H6" s="27">
        <f>IF('調整・決定'!H6="","",'調整・決定'!H6&amp;IF(IFERROR(INDEX('名簿'!$E$5:$E$49,MATCH('調整・決定'!H6,'名簿'!$P$5:$P$49,0))&lt;&gt;"",FALSE),CHAR(10)&amp;INDEX('名簿'!$F$5:$F$49,MATCH('調整・決定'!H6,'名簿'!$P$5:$P$49,0)),""))</f>
        <v/>
      </c>
      <c r="AA6">
        <f>IF('calcA'!D$115=0,0,IF(IFERROR(INDEX('名簿'!$E$5:$E$49,MATCH('調整・決定'!C6,'名簿'!$P$5:$P$49,0))&lt;&gt;"",FALSE),1,2))</f>
        <v/>
      </c>
      <c r="AB6">
        <f>IF('calcA'!AB$115=0,0,IF(IFERROR(INDEX('名簿'!$E$5:$E$49,MATCH('調整・決定'!D6,'名簿'!$P$5:$P$49,0))&lt;&gt;"",FALSE),1,2))</f>
        <v/>
      </c>
      <c r="AC6">
        <f>IF('calcA'!AZ$115=0,0,IF(IFERROR(INDEX('名簿'!$E$5:$E$49,MATCH('調整・決定'!E6,'名簿'!$P$5:$P$49,0))&lt;&gt;"",FALSE),1,2))</f>
        <v/>
      </c>
      <c r="AD6">
        <f>IF('calcA'!BX$115=0,0,IF(IFERROR(INDEX('名簿'!$E$5:$E$49,MATCH('調整・決定'!F6,'名簿'!$P$5:$P$49,0))&lt;&gt;"",FALSE),1,2))</f>
        <v/>
      </c>
      <c r="AE6">
        <f>IF('calcA'!CV$115=0,0,IF(IFERROR(INDEX('名簿'!$E$5:$E$49,MATCH('調整・決定'!G6,'名簿'!$P$5:$P$49,0))&lt;&gt;"",FALSE),1,2))</f>
        <v/>
      </c>
      <c r="AF6">
        <f>IF('calcA'!DT$115=0,0,IF(IFERROR(INDEX('名簿'!$E$5:$E$49,MATCH('調整・決定'!H6,'名簿'!$P$5:$P$49,0))&lt;&gt;"",FALSE),1,2))</f>
        <v/>
      </c>
    </row>
    <row r="7" ht="34" customHeight="1">
      <c r="B7" s="46">
        <f>'設定'!$I$12</f>
        <v/>
      </c>
      <c r="C7" s="27">
        <f>IF('調整・決定'!C7="","",'調整・決定'!C7&amp;IF(IFERROR(INDEX('名簿'!$E$5:$E$49,MATCH('調整・決定'!C7,'名簿'!$P$5:$P$49,0))&lt;&gt;"",FALSE),CHAR(10)&amp;INDEX('名簿'!$F$5:$F$49,MATCH('調整・決定'!C7,'名簿'!$P$5:$P$49,0)),""))</f>
        <v/>
      </c>
      <c r="D7" s="27">
        <f>IF('調整・決定'!D7="","",'調整・決定'!D7&amp;IF(IFERROR(INDEX('名簿'!$E$5:$E$49,MATCH('調整・決定'!D7,'名簿'!$P$5:$P$49,0))&lt;&gt;"",FALSE),CHAR(10)&amp;INDEX('名簿'!$F$5:$F$49,MATCH('調整・決定'!D7,'名簿'!$P$5:$P$49,0)),""))</f>
        <v/>
      </c>
      <c r="E7" s="27">
        <f>IF('調整・決定'!E7="","",'調整・決定'!E7&amp;IF(IFERROR(INDEX('名簿'!$E$5:$E$49,MATCH('調整・決定'!E7,'名簿'!$P$5:$P$49,0))&lt;&gt;"",FALSE),CHAR(10)&amp;INDEX('名簿'!$F$5:$F$49,MATCH('調整・決定'!E7,'名簿'!$P$5:$P$49,0)),""))</f>
        <v/>
      </c>
      <c r="F7" s="27">
        <f>IF('調整・決定'!F7="","",'調整・決定'!F7&amp;IF(IFERROR(INDEX('名簿'!$E$5:$E$49,MATCH('調整・決定'!F7,'名簿'!$P$5:$P$49,0))&lt;&gt;"",FALSE),CHAR(10)&amp;INDEX('名簿'!$F$5:$F$49,MATCH('調整・決定'!F7,'名簿'!$P$5:$P$49,0)),""))</f>
        <v/>
      </c>
      <c r="G7" s="27">
        <f>IF('調整・決定'!G7="","",'調整・決定'!G7&amp;IF(IFERROR(INDEX('名簿'!$E$5:$E$49,MATCH('調整・決定'!G7,'名簿'!$P$5:$P$49,0))&lt;&gt;"",FALSE),CHAR(10)&amp;INDEX('名簿'!$F$5:$F$49,MATCH('調整・決定'!G7,'名簿'!$P$5:$P$49,0)),""))</f>
        <v/>
      </c>
      <c r="H7" s="27">
        <f>IF('調整・決定'!H7="","",'調整・決定'!H7&amp;IF(IFERROR(INDEX('名簿'!$E$5:$E$49,MATCH('調整・決定'!H7,'名簿'!$P$5:$P$49,0))&lt;&gt;"",FALSE),CHAR(10)&amp;INDEX('名簿'!$F$5:$F$49,MATCH('調整・決定'!H7,'名簿'!$P$5:$P$49,0)),""))</f>
        <v/>
      </c>
      <c r="AA7">
        <f>IF('calcA'!E$115=0,0,IF(IFERROR(INDEX('名簿'!$E$5:$E$49,MATCH('調整・決定'!C7,'名簿'!$P$5:$P$49,0))&lt;&gt;"",FALSE),1,2))</f>
        <v/>
      </c>
      <c r="AB7">
        <f>IF('calcA'!AC$115=0,0,IF(IFERROR(INDEX('名簿'!$E$5:$E$49,MATCH('調整・決定'!D7,'名簿'!$P$5:$P$49,0))&lt;&gt;"",FALSE),1,2))</f>
        <v/>
      </c>
      <c r="AC7">
        <f>IF('calcA'!BA$115=0,0,IF(IFERROR(INDEX('名簿'!$E$5:$E$49,MATCH('調整・決定'!E7,'名簿'!$P$5:$P$49,0))&lt;&gt;"",FALSE),1,2))</f>
        <v/>
      </c>
      <c r="AD7">
        <f>IF('calcA'!BY$115=0,0,IF(IFERROR(INDEX('名簿'!$E$5:$E$49,MATCH('調整・決定'!F7,'名簿'!$P$5:$P$49,0))&lt;&gt;"",FALSE),1,2))</f>
        <v/>
      </c>
      <c r="AE7">
        <f>IF('calcA'!CW$115=0,0,IF(IFERROR(INDEX('名簿'!$E$5:$E$49,MATCH('調整・決定'!G7,'名簿'!$P$5:$P$49,0))&lt;&gt;"",FALSE),1,2))</f>
        <v/>
      </c>
      <c r="AF7">
        <f>IF('calcA'!DU$115=0,0,IF(IFERROR(INDEX('名簿'!$E$5:$E$49,MATCH('調整・決定'!H7,'名簿'!$P$5:$P$49,0))&lt;&gt;"",FALSE),1,2))</f>
        <v/>
      </c>
    </row>
    <row r="8" ht="34" customHeight="1">
      <c r="B8" s="46">
        <f>'設定'!$I$13</f>
        <v/>
      </c>
      <c r="C8" s="27">
        <f>IF('調整・決定'!C8="","",'調整・決定'!C8&amp;IF(IFERROR(INDEX('名簿'!$E$5:$E$49,MATCH('調整・決定'!C8,'名簿'!$P$5:$P$49,0))&lt;&gt;"",FALSE),CHAR(10)&amp;INDEX('名簿'!$F$5:$F$49,MATCH('調整・決定'!C8,'名簿'!$P$5:$P$49,0)),""))</f>
        <v/>
      </c>
      <c r="D8" s="27">
        <f>IF('調整・決定'!D8="","",'調整・決定'!D8&amp;IF(IFERROR(INDEX('名簿'!$E$5:$E$49,MATCH('調整・決定'!D8,'名簿'!$P$5:$P$49,0))&lt;&gt;"",FALSE),CHAR(10)&amp;INDEX('名簿'!$F$5:$F$49,MATCH('調整・決定'!D8,'名簿'!$P$5:$P$49,0)),""))</f>
        <v/>
      </c>
      <c r="E8" s="27">
        <f>IF('調整・決定'!E8="","",'調整・決定'!E8&amp;IF(IFERROR(INDEX('名簿'!$E$5:$E$49,MATCH('調整・決定'!E8,'名簿'!$P$5:$P$49,0))&lt;&gt;"",FALSE),CHAR(10)&amp;INDEX('名簿'!$F$5:$F$49,MATCH('調整・決定'!E8,'名簿'!$P$5:$P$49,0)),""))</f>
        <v/>
      </c>
      <c r="F8" s="27">
        <f>IF('調整・決定'!F8="","",'調整・決定'!F8&amp;IF(IFERROR(INDEX('名簿'!$E$5:$E$49,MATCH('調整・決定'!F8,'名簿'!$P$5:$P$49,0))&lt;&gt;"",FALSE),CHAR(10)&amp;INDEX('名簿'!$F$5:$F$49,MATCH('調整・決定'!F8,'名簿'!$P$5:$P$49,0)),""))</f>
        <v/>
      </c>
      <c r="G8" s="27">
        <f>IF('調整・決定'!G8="","",'調整・決定'!G8&amp;IF(IFERROR(INDEX('名簿'!$E$5:$E$49,MATCH('調整・決定'!G8,'名簿'!$P$5:$P$49,0))&lt;&gt;"",FALSE),CHAR(10)&amp;INDEX('名簿'!$F$5:$F$49,MATCH('調整・決定'!G8,'名簿'!$P$5:$P$49,0)),""))</f>
        <v/>
      </c>
      <c r="H8" s="27">
        <f>IF('調整・決定'!H8="","",'調整・決定'!H8&amp;IF(IFERROR(INDEX('名簿'!$E$5:$E$49,MATCH('調整・決定'!H8,'名簿'!$P$5:$P$49,0))&lt;&gt;"",FALSE),CHAR(10)&amp;INDEX('名簿'!$F$5:$F$49,MATCH('調整・決定'!H8,'名簿'!$P$5:$P$49,0)),""))</f>
        <v/>
      </c>
      <c r="AA8">
        <f>IF('calcA'!F$115=0,0,IF(IFERROR(INDEX('名簿'!$E$5:$E$49,MATCH('調整・決定'!C8,'名簿'!$P$5:$P$49,0))&lt;&gt;"",FALSE),1,2))</f>
        <v/>
      </c>
      <c r="AB8">
        <f>IF('calcA'!AD$115=0,0,IF(IFERROR(INDEX('名簿'!$E$5:$E$49,MATCH('調整・決定'!D8,'名簿'!$P$5:$P$49,0))&lt;&gt;"",FALSE),1,2))</f>
        <v/>
      </c>
      <c r="AC8">
        <f>IF('calcA'!BB$115=0,0,IF(IFERROR(INDEX('名簿'!$E$5:$E$49,MATCH('調整・決定'!E8,'名簿'!$P$5:$P$49,0))&lt;&gt;"",FALSE),1,2))</f>
        <v/>
      </c>
      <c r="AD8">
        <f>IF('calcA'!BZ$115=0,0,IF(IFERROR(INDEX('名簿'!$E$5:$E$49,MATCH('調整・決定'!F8,'名簿'!$P$5:$P$49,0))&lt;&gt;"",FALSE),1,2))</f>
        <v/>
      </c>
      <c r="AE8">
        <f>IF('calcA'!CX$115=0,0,IF(IFERROR(INDEX('名簿'!$E$5:$E$49,MATCH('調整・決定'!G8,'名簿'!$P$5:$P$49,0))&lt;&gt;"",FALSE),1,2))</f>
        <v/>
      </c>
      <c r="AF8">
        <f>IF('calcA'!DV$115=0,0,IF(IFERROR(INDEX('名簿'!$E$5:$E$49,MATCH('調整・決定'!H8,'名簿'!$P$5:$P$49,0))&lt;&gt;"",FALSE),1,2))</f>
        <v/>
      </c>
    </row>
    <row r="9" ht="34" customHeight="1">
      <c r="B9" s="46">
        <f>'設定'!$I$14</f>
        <v/>
      </c>
      <c r="C9" s="27">
        <f>IF('調整・決定'!C9="","",'調整・決定'!C9&amp;IF(IFERROR(INDEX('名簿'!$E$5:$E$49,MATCH('調整・決定'!C9,'名簿'!$P$5:$P$49,0))&lt;&gt;"",FALSE),CHAR(10)&amp;INDEX('名簿'!$F$5:$F$49,MATCH('調整・決定'!C9,'名簿'!$P$5:$P$49,0)),""))</f>
        <v/>
      </c>
      <c r="D9" s="27">
        <f>IF('調整・決定'!D9="","",'調整・決定'!D9&amp;IF(IFERROR(INDEX('名簿'!$E$5:$E$49,MATCH('調整・決定'!D9,'名簿'!$P$5:$P$49,0))&lt;&gt;"",FALSE),CHAR(10)&amp;INDEX('名簿'!$F$5:$F$49,MATCH('調整・決定'!D9,'名簿'!$P$5:$P$49,0)),""))</f>
        <v/>
      </c>
      <c r="E9" s="27">
        <f>IF('調整・決定'!E9="","",'調整・決定'!E9&amp;IF(IFERROR(INDEX('名簿'!$E$5:$E$49,MATCH('調整・決定'!E9,'名簿'!$P$5:$P$49,0))&lt;&gt;"",FALSE),CHAR(10)&amp;INDEX('名簿'!$F$5:$F$49,MATCH('調整・決定'!E9,'名簿'!$P$5:$P$49,0)),""))</f>
        <v/>
      </c>
      <c r="F9" s="27">
        <f>IF('調整・決定'!F9="","",'調整・決定'!F9&amp;IF(IFERROR(INDEX('名簿'!$E$5:$E$49,MATCH('調整・決定'!F9,'名簿'!$P$5:$P$49,0))&lt;&gt;"",FALSE),CHAR(10)&amp;INDEX('名簿'!$F$5:$F$49,MATCH('調整・決定'!F9,'名簿'!$P$5:$P$49,0)),""))</f>
        <v/>
      </c>
      <c r="G9" s="27">
        <f>IF('調整・決定'!G9="","",'調整・決定'!G9&amp;IF(IFERROR(INDEX('名簿'!$E$5:$E$49,MATCH('調整・決定'!G9,'名簿'!$P$5:$P$49,0))&lt;&gt;"",FALSE),CHAR(10)&amp;INDEX('名簿'!$F$5:$F$49,MATCH('調整・決定'!G9,'名簿'!$P$5:$P$49,0)),""))</f>
        <v/>
      </c>
      <c r="H9" s="27">
        <f>IF('調整・決定'!H9="","",'調整・決定'!H9&amp;IF(IFERROR(INDEX('名簿'!$E$5:$E$49,MATCH('調整・決定'!H9,'名簿'!$P$5:$P$49,0))&lt;&gt;"",FALSE),CHAR(10)&amp;INDEX('名簿'!$F$5:$F$49,MATCH('調整・決定'!H9,'名簿'!$P$5:$P$49,0)),""))</f>
        <v/>
      </c>
      <c r="AA9">
        <f>IF('calcA'!G$115=0,0,IF(IFERROR(INDEX('名簿'!$E$5:$E$49,MATCH('調整・決定'!C9,'名簿'!$P$5:$P$49,0))&lt;&gt;"",FALSE),1,2))</f>
        <v/>
      </c>
      <c r="AB9">
        <f>IF('calcA'!AE$115=0,0,IF(IFERROR(INDEX('名簿'!$E$5:$E$49,MATCH('調整・決定'!D9,'名簿'!$P$5:$P$49,0))&lt;&gt;"",FALSE),1,2))</f>
        <v/>
      </c>
      <c r="AC9">
        <f>IF('calcA'!BC$115=0,0,IF(IFERROR(INDEX('名簿'!$E$5:$E$49,MATCH('調整・決定'!E9,'名簿'!$P$5:$P$49,0))&lt;&gt;"",FALSE),1,2))</f>
        <v/>
      </c>
      <c r="AD9">
        <f>IF('calcA'!CA$115=0,0,IF(IFERROR(INDEX('名簿'!$E$5:$E$49,MATCH('調整・決定'!F9,'名簿'!$P$5:$P$49,0))&lt;&gt;"",FALSE),1,2))</f>
        <v/>
      </c>
      <c r="AE9">
        <f>IF('calcA'!CY$115=0,0,IF(IFERROR(INDEX('名簿'!$E$5:$E$49,MATCH('調整・決定'!G9,'名簿'!$P$5:$P$49,0))&lt;&gt;"",FALSE),1,2))</f>
        <v/>
      </c>
      <c r="AF9">
        <f>IF('calcA'!DW$115=0,0,IF(IFERROR(INDEX('名簿'!$E$5:$E$49,MATCH('調整・決定'!H9,'名簿'!$P$5:$P$49,0))&lt;&gt;"",FALSE),1,2))</f>
        <v/>
      </c>
    </row>
    <row r="10" ht="34" customHeight="1">
      <c r="B10" s="46">
        <f>'設定'!$I$15</f>
        <v/>
      </c>
      <c r="C10" s="27">
        <f>IF('調整・決定'!C10="","",'調整・決定'!C10&amp;IF(IFERROR(INDEX('名簿'!$E$5:$E$49,MATCH('調整・決定'!C10,'名簿'!$P$5:$P$49,0))&lt;&gt;"",FALSE),CHAR(10)&amp;INDEX('名簿'!$F$5:$F$49,MATCH('調整・決定'!C10,'名簿'!$P$5:$P$49,0)),""))</f>
        <v/>
      </c>
      <c r="D10" s="27">
        <f>IF('調整・決定'!D10="","",'調整・決定'!D10&amp;IF(IFERROR(INDEX('名簿'!$E$5:$E$49,MATCH('調整・決定'!D10,'名簿'!$P$5:$P$49,0))&lt;&gt;"",FALSE),CHAR(10)&amp;INDEX('名簿'!$F$5:$F$49,MATCH('調整・決定'!D10,'名簿'!$P$5:$P$49,0)),""))</f>
        <v/>
      </c>
      <c r="E10" s="27">
        <f>IF('調整・決定'!E10="","",'調整・決定'!E10&amp;IF(IFERROR(INDEX('名簿'!$E$5:$E$49,MATCH('調整・決定'!E10,'名簿'!$P$5:$P$49,0))&lt;&gt;"",FALSE),CHAR(10)&amp;INDEX('名簿'!$F$5:$F$49,MATCH('調整・決定'!E10,'名簿'!$P$5:$P$49,0)),""))</f>
        <v/>
      </c>
      <c r="F10" s="27">
        <f>IF('調整・決定'!F10="","",'調整・決定'!F10&amp;IF(IFERROR(INDEX('名簿'!$E$5:$E$49,MATCH('調整・決定'!F10,'名簿'!$P$5:$P$49,0))&lt;&gt;"",FALSE),CHAR(10)&amp;INDEX('名簿'!$F$5:$F$49,MATCH('調整・決定'!F10,'名簿'!$P$5:$P$49,0)),""))</f>
        <v/>
      </c>
      <c r="G10" s="27">
        <f>IF('調整・決定'!G10="","",'調整・決定'!G10&amp;IF(IFERROR(INDEX('名簿'!$E$5:$E$49,MATCH('調整・決定'!G10,'名簿'!$P$5:$P$49,0))&lt;&gt;"",FALSE),CHAR(10)&amp;INDEX('名簿'!$F$5:$F$49,MATCH('調整・決定'!G10,'名簿'!$P$5:$P$49,0)),""))</f>
        <v/>
      </c>
      <c r="H10" s="27">
        <f>IF('調整・決定'!H10="","",'調整・決定'!H10&amp;IF(IFERROR(INDEX('名簿'!$E$5:$E$49,MATCH('調整・決定'!H10,'名簿'!$P$5:$P$49,0))&lt;&gt;"",FALSE),CHAR(10)&amp;INDEX('名簿'!$F$5:$F$49,MATCH('調整・決定'!H10,'名簿'!$P$5:$P$49,0)),""))</f>
        <v/>
      </c>
      <c r="AA10">
        <f>IF('calcA'!H$115=0,0,IF(IFERROR(INDEX('名簿'!$E$5:$E$49,MATCH('調整・決定'!C10,'名簿'!$P$5:$P$49,0))&lt;&gt;"",FALSE),1,2))</f>
        <v/>
      </c>
      <c r="AB10">
        <f>IF('calcA'!AF$115=0,0,IF(IFERROR(INDEX('名簿'!$E$5:$E$49,MATCH('調整・決定'!D10,'名簿'!$P$5:$P$49,0))&lt;&gt;"",FALSE),1,2))</f>
        <v/>
      </c>
      <c r="AC10">
        <f>IF('calcA'!BD$115=0,0,IF(IFERROR(INDEX('名簿'!$E$5:$E$49,MATCH('調整・決定'!E10,'名簿'!$P$5:$P$49,0))&lt;&gt;"",FALSE),1,2))</f>
        <v/>
      </c>
      <c r="AD10">
        <f>IF('calcA'!CB$115=0,0,IF(IFERROR(INDEX('名簿'!$E$5:$E$49,MATCH('調整・決定'!F10,'名簿'!$P$5:$P$49,0))&lt;&gt;"",FALSE),1,2))</f>
        <v/>
      </c>
      <c r="AE10">
        <f>IF('calcA'!CZ$115=0,0,IF(IFERROR(INDEX('名簿'!$E$5:$E$49,MATCH('調整・決定'!G10,'名簿'!$P$5:$P$49,0))&lt;&gt;"",FALSE),1,2))</f>
        <v/>
      </c>
      <c r="AF10">
        <f>IF('calcA'!DX$115=0,0,IF(IFERROR(INDEX('名簿'!$E$5:$E$49,MATCH('調整・決定'!H10,'名簿'!$P$5:$P$49,0))&lt;&gt;"",FALSE),1,2))</f>
        <v/>
      </c>
    </row>
    <row r="11" ht="34" customHeight="1">
      <c r="B11" s="46">
        <f>'設定'!$I$16</f>
        <v/>
      </c>
      <c r="C11" s="27">
        <f>IF('調整・決定'!C11="","",'調整・決定'!C11&amp;IF(IFERROR(INDEX('名簿'!$E$5:$E$49,MATCH('調整・決定'!C11,'名簿'!$P$5:$P$49,0))&lt;&gt;"",FALSE),CHAR(10)&amp;INDEX('名簿'!$F$5:$F$49,MATCH('調整・決定'!C11,'名簿'!$P$5:$P$49,0)),""))</f>
        <v/>
      </c>
      <c r="D11" s="27">
        <f>IF('調整・決定'!D11="","",'調整・決定'!D11&amp;IF(IFERROR(INDEX('名簿'!$E$5:$E$49,MATCH('調整・決定'!D11,'名簿'!$P$5:$P$49,0))&lt;&gt;"",FALSE),CHAR(10)&amp;INDEX('名簿'!$F$5:$F$49,MATCH('調整・決定'!D11,'名簿'!$P$5:$P$49,0)),""))</f>
        <v/>
      </c>
      <c r="E11" s="27">
        <f>IF('調整・決定'!E11="","",'調整・決定'!E11&amp;IF(IFERROR(INDEX('名簿'!$E$5:$E$49,MATCH('調整・決定'!E11,'名簿'!$P$5:$P$49,0))&lt;&gt;"",FALSE),CHAR(10)&amp;INDEX('名簿'!$F$5:$F$49,MATCH('調整・決定'!E11,'名簿'!$P$5:$P$49,0)),""))</f>
        <v/>
      </c>
      <c r="F11" s="27">
        <f>IF('調整・決定'!F11="","",'調整・決定'!F11&amp;IF(IFERROR(INDEX('名簿'!$E$5:$E$49,MATCH('調整・決定'!F11,'名簿'!$P$5:$P$49,0))&lt;&gt;"",FALSE),CHAR(10)&amp;INDEX('名簿'!$F$5:$F$49,MATCH('調整・決定'!F11,'名簿'!$P$5:$P$49,0)),""))</f>
        <v/>
      </c>
      <c r="G11" s="27">
        <f>IF('調整・決定'!G11="","",'調整・決定'!G11&amp;IF(IFERROR(INDEX('名簿'!$E$5:$E$49,MATCH('調整・決定'!G11,'名簿'!$P$5:$P$49,0))&lt;&gt;"",FALSE),CHAR(10)&amp;INDEX('名簿'!$F$5:$F$49,MATCH('調整・決定'!G11,'名簿'!$P$5:$P$49,0)),""))</f>
        <v/>
      </c>
      <c r="H11" s="27">
        <f>IF('調整・決定'!H11="","",'調整・決定'!H11&amp;IF(IFERROR(INDEX('名簿'!$E$5:$E$49,MATCH('調整・決定'!H11,'名簿'!$P$5:$P$49,0))&lt;&gt;"",FALSE),CHAR(10)&amp;INDEX('名簿'!$F$5:$F$49,MATCH('調整・決定'!H11,'名簿'!$P$5:$P$49,0)),""))</f>
        <v/>
      </c>
      <c r="AA11">
        <f>IF('calcA'!I$115=0,0,IF(IFERROR(INDEX('名簿'!$E$5:$E$49,MATCH('調整・決定'!C11,'名簿'!$P$5:$P$49,0))&lt;&gt;"",FALSE),1,2))</f>
        <v/>
      </c>
      <c r="AB11">
        <f>IF('calcA'!AG$115=0,0,IF(IFERROR(INDEX('名簿'!$E$5:$E$49,MATCH('調整・決定'!D11,'名簿'!$P$5:$P$49,0))&lt;&gt;"",FALSE),1,2))</f>
        <v/>
      </c>
      <c r="AC11">
        <f>IF('calcA'!BE$115=0,0,IF(IFERROR(INDEX('名簿'!$E$5:$E$49,MATCH('調整・決定'!E11,'名簿'!$P$5:$P$49,0))&lt;&gt;"",FALSE),1,2))</f>
        <v/>
      </c>
      <c r="AD11">
        <f>IF('calcA'!CC$115=0,0,IF(IFERROR(INDEX('名簿'!$E$5:$E$49,MATCH('調整・決定'!F11,'名簿'!$P$5:$P$49,0))&lt;&gt;"",FALSE),1,2))</f>
        <v/>
      </c>
      <c r="AE11">
        <f>IF('calcA'!DA$115=0,0,IF(IFERROR(INDEX('名簿'!$E$5:$E$49,MATCH('調整・決定'!G11,'名簿'!$P$5:$P$49,0))&lt;&gt;"",FALSE),1,2))</f>
        <v/>
      </c>
      <c r="AF11">
        <f>IF('calcA'!DY$115=0,0,IF(IFERROR(INDEX('名簿'!$E$5:$E$49,MATCH('調整・決定'!H11,'名簿'!$P$5:$P$49,0))&lt;&gt;"",FALSE),1,2))</f>
        <v/>
      </c>
    </row>
    <row r="12" ht="34" customHeight="1">
      <c r="B12" s="46">
        <f>'設定'!$I$17</f>
        <v/>
      </c>
      <c r="C12" s="27">
        <f>IF('調整・決定'!C12="","",'調整・決定'!C12&amp;IF(IFERROR(INDEX('名簿'!$E$5:$E$49,MATCH('調整・決定'!C12,'名簿'!$P$5:$P$49,0))&lt;&gt;"",FALSE),CHAR(10)&amp;INDEX('名簿'!$F$5:$F$49,MATCH('調整・決定'!C12,'名簿'!$P$5:$P$49,0)),""))</f>
        <v/>
      </c>
      <c r="D12" s="27">
        <f>IF('調整・決定'!D12="","",'調整・決定'!D12&amp;IF(IFERROR(INDEX('名簿'!$E$5:$E$49,MATCH('調整・決定'!D12,'名簿'!$P$5:$P$49,0))&lt;&gt;"",FALSE),CHAR(10)&amp;INDEX('名簿'!$F$5:$F$49,MATCH('調整・決定'!D12,'名簿'!$P$5:$P$49,0)),""))</f>
        <v/>
      </c>
      <c r="E12" s="27">
        <f>IF('調整・決定'!E12="","",'調整・決定'!E12&amp;IF(IFERROR(INDEX('名簿'!$E$5:$E$49,MATCH('調整・決定'!E12,'名簿'!$P$5:$P$49,0))&lt;&gt;"",FALSE),CHAR(10)&amp;INDEX('名簿'!$F$5:$F$49,MATCH('調整・決定'!E12,'名簿'!$P$5:$P$49,0)),""))</f>
        <v/>
      </c>
      <c r="F12" s="27">
        <f>IF('調整・決定'!F12="","",'調整・決定'!F12&amp;IF(IFERROR(INDEX('名簿'!$E$5:$E$49,MATCH('調整・決定'!F12,'名簿'!$P$5:$P$49,0))&lt;&gt;"",FALSE),CHAR(10)&amp;INDEX('名簿'!$F$5:$F$49,MATCH('調整・決定'!F12,'名簿'!$P$5:$P$49,0)),""))</f>
        <v/>
      </c>
      <c r="G12" s="27">
        <f>IF('調整・決定'!G12="","",'調整・決定'!G12&amp;IF(IFERROR(INDEX('名簿'!$E$5:$E$49,MATCH('調整・決定'!G12,'名簿'!$P$5:$P$49,0))&lt;&gt;"",FALSE),CHAR(10)&amp;INDEX('名簿'!$F$5:$F$49,MATCH('調整・決定'!G12,'名簿'!$P$5:$P$49,0)),""))</f>
        <v/>
      </c>
      <c r="H12" s="27">
        <f>IF('調整・決定'!H12="","",'調整・決定'!H12&amp;IF(IFERROR(INDEX('名簿'!$E$5:$E$49,MATCH('調整・決定'!H12,'名簿'!$P$5:$P$49,0))&lt;&gt;"",FALSE),CHAR(10)&amp;INDEX('名簿'!$F$5:$F$49,MATCH('調整・決定'!H12,'名簿'!$P$5:$P$49,0)),""))</f>
        <v/>
      </c>
      <c r="AA12">
        <f>IF('calcA'!J$115=0,0,IF(IFERROR(INDEX('名簿'!$E$5:$E$49,MATCH('調整・決定'!C12,'名簿'!$P$5:$P$49,0))&lt;&gt;"",FALSE),1,2))</f>
        <v/>
      </c>
      <c r="AB12">
        <f>IF('calcA'!AH$115=0,0,IF(IFERROR(INDEX('名簿'!$E$5:$E$49,MATCH('調整・決定'!D12,'名簿'!$P$5:$P$49,0))&lt;&gt;"",FALSE),1,2))</f>
        <v/>
      </c>
      <c r="AC12">
        <f>IF('calcA'!BF$115=0,0,IF(IFERROR(INDEX('名簿'!$E$5:$E$49,MATCH('調整・決定'!E12,'名簿'!$P$5:$P$49,0))&lt;&gt;"",FALSE),1,2))</f>
        <v/>
      </c>
      <c r="AD12">
        <f>IF('calcA'!CD$115=0,0,IF(IFERROR(INDEX('名簿'!$E$5:$E$49,MATCH('調整・決定'!F12,'名簿'!$P$5:$P$49,0))&lt;&gt;"",FALSE),1,2))</f>
        <v/>
      </c>
      <c r="AE12">
        <f>IF('calcA'!DB$115=0,0,IF(IFERROR(INDEX('名簿'!$E$5:$E$49,MATCH('調整・決定'!G12,'名簿'!$P$5:$P$49,0))&lt;&gt;"",FALSE),1,2))</f>
        <v/>
      </c>
      <c r="AF12">
        <f>IF('calcA'!DZ$115=0,0,IF(IFERROR(INDEX('名簿'!$E$5:$E$49,MATCH('調整・決定'!H12,'名簿'!$P$5:$P$49,0))&lt;&gt;"",FALSE),1,2))</f>
        <v/>
      </c>
    </row>
    <row r="13" ht="34" customHeight="1">
      <c r="B13" s="46">
        <f>'設定'!$I$18</f>
        <v/>
      </c>
      <c r="C13" s="27">
        <f>IF('調整・決定'!C13="","",'調整・決定'!C13&amp;IF(IFERROR(INDEX('名簿'!$E$5:$E$49,MATCH('調整・決定'!C13,'名簿'!$P$5:$P$49,0))&lt;&gt;"",FALSE),CHAR(10)&amp;INDEX('名簿'!$F$5:$F$49,MATCH('調整・決定'!C13,'名簿'!$P$5:$P$49,0)),""))</f>
        <v/>
      </c>
      <c r="D13" s="27">
        <f>IF('調整・決定'!D13="","",'調整・決定'!D13&amp;IF(IFERROR(INDEX('名簿'!$E$5:$E$49,MATCH('調整・決定'!D13,'名簿'!$P$5:$P$49,0))&lt;&gt;"",FALSE),CHAR(10)&amp;INDEX('名簿'!$F$5:$F$49,MATCH('調整・決定'!D13,'名簿'!$P$5:$P$49,0)),""))</f>
        <v/>
      </c>
      <c r="E13" s="27">
        <f>IF('調整・決定'!E13="","",'調整・決定'!E13&amp;IF(IFERROR(INDEX('名簿'!$E$5:$E$49,MATCH('調整・決定'!E13,'名簿'!$P$5:$P$49,0))&lt;&gt;"",FALSE),CHAR(10)&amp;INDEX('名簿'!$F$5:$F$49,MATCH('調整・決定'!E13,'名簿'!$P$5:$P$49,0)),""))</f>
        <v/>
      </c>
      <c r="F13" s="27">
        <f>IF('調整・決定'!F13="","",'調整・決定'!F13&amp;IF(IFERROR(INDEX('名簿'!$E$5:$E$49,MATCH('調整・決定'!F13,'名簿'!$P$5:$P$49,0))&lt;&gt;"",FALSE),CHAR(10)&amp;INDEX('名簿'!$F$5:$F$49,MATCH('調整・決定'!F13,'名簿'!$P$5:$P$49,0)),""))</f>
        <v/>
      </c>
      <c r="G13" s="27">
        <f>IF('調整・決定'!G13="","",'調整・決定'!G13&amp;IF(IFERROR(INDEX('名簿'!$E$5:$E$49,MATCH('調整・決定'!G13,'名簿'!$P$5:$P$49,0))&lt;&gt;"",FALSE),CHAR(10)&amp;INDEX('名簿'!$F$5:$F$49,MATCH('調整・決定'!G13,'名簿'!$P$5:$P$49,0)),""))</f>
        <v/>
      </c>
      <c r="H13" s="27">
        <f>IF('調整・決定'!H13="","",'調整・決定'!H13&amp;IF(IFERROR(INDEX('名簿'!$E$5:$E$49,MATCH('調整・決定'!H13,'名簿'!$P$5:$P$49,0))&lt;&gt;"",FALSE),CHAR(10)&amp;INDEX('名簿'!$F$5:$F$49,MATCH('調整・決定'!H13,'名簿'!$P$5:$P$49,0)),""))</f>
        <v/>
      </c>
      <c r="AA13">
        <f>IF('calcA'!K$115=0,0,IF(IFERROR(INDEX('名簿'!$E$5:$E$49,MATCH('調整・決定'!C13,'名簿'!$P$5:$P$49,0))&lt;&gt;"",FALSE),1,2))</f>
        <v/>
      </c>
      <c r="AB13">
        <f>IF('calcA'!AI$115=0,0,IF(IFERROR(INDEX('名簿'!$E$5:$E$49,MATCH('調整・決定'!D13,'名簿'!$P$5:$P$49,0))&lt;&gt;"",FALSE),1,2))</f>
        <v/>
      </c>
      <c r="AC13">
        <f>IF('calcA'!BG$115=0,0,IF(IFERROR(INDEX('名簿'!$E$5:$E$49,MATCH('調整・決定'!E13,'名簿'!$P$5:$P$49,0))&lt;&gt;"",FALSE),1,2))</f>
        <v/>
      </c>
      <c r="AD13">
        <f>IF('calcA'!CE$115=0,0,IF(IFERROR(INDEX('名簿'!$E$5:$E$49,MATCH('調整・決定'!F13,'名簿'!$P$5:$P$49,0))&lt;&gt;"",FALSE),1,2))</f>
        <v/>
      </c>
      <c r="AE13">
        <f>IF('calcA'!DC$115=0,0,IF(IFERROR(INDEX('名簿'!$E$5:$E$49,MATCH('調整・決定'!G13,'名簿'!$P$5:$P$49,0))&lt;&gt;"",FALSE),1,2))</f>
        <v/>
      </c>
      <c r="AF13">
        <f>IF('calcA'!EA$115=0,0,IF(IFERROR(INDEX('名簿'!$E$5:$E$49,MATCH('調整・決定'!H13,'名簿'!$P$5:$P$49,0))&lt;&gt;"",FALSE),1,2))</f>
        <v/>
      </c>
    </row>
    <row r="14" ht="34" customHeight="1">
      <c r="B14" s="46">
        <f>'設定'!$I$19</f>
        <v/>
      </c>
      <c r="C14" s="27">
        <f>IF('調整・決定'!C14="","",'調整・決定'!C14&amp;IF(IFERROR(INDEX('名簿'!$E$5:$E$49,MATCH('調整・決定'!C14,'名簿'!$P$5:$P$49,0))&lt;&gt;"",FALSE),CHAR(10)&amp;INDEX('名簿'!$F$5:$F$49,MATCH('調整・決定'!C14,'名簿'!$P$5:$P$49,0)),""))</f>
        <v/>
      </c>
      <c r="D14" s="27">
        <f>IF('調整・決定'!D14="","",'調整・決定'!D14&amp;IF(IFERROR(INDEX('名簿'!$E$5:$E$49,MATCH('調整・決定'!D14,'名簿'!$P$5:$P$49,0))&lt;&gt;"",FALSE),CHAR(10)&amp;INDEX('名簿'!$F$5:$F$49,MATCH('調整・決定'!D14,'名簿'!$P$5:$P$49,0)),""))</f>
        <v/>
      </c>
      <c r="E14" s="27">
        <f>IF('調整・決定'!E14="","",'調整・決定'!E14&amp;IF(IFERROR(INDEX('名簿'!$E$5:$E$49,MATCH('調整・決定'!E14,'名簿'!$P$5:$P$49,0))&lt;&gt;"",FALSE),CHAR(10)&amp;INDEX('名簿'!$F$5:$F$49,MATCH('調整・決定'!E14,'名簿'!$P$5:$P$49,0)),""))</f>
        <v/>
      </c>
      <c r="F14" s="27">
        <f>IF('調整・決定'!F14="","",'調整・決定'!F14&amp;IF(IFERROR(INDEX('名簿'!$E$5:$E$49,MATCH('調整・決定'!F14,'名簿'!$P$5:$P$49,0))&lt;&gt;"",FALSE),CHAR(10)&amp;INDEX('名簿'!$F$5:$F$49,MATCH('調整・決定'!F14,'名簿'!$P$5:$P$49,0)),""))</f>
        <v/>
      </c>
      <c r="G14" s="27">
        <f>IF('調整・決定'!G14="","",'調整・決定'!G14&amp;IF(IFERROR(INDEX('名簿'!$E$5:$E$49,MATCH('調整・決定'!G14,'名簿'!$P$5:$P$49,0))&lt;&gt;"",FALSE),CHAR(10)&amp;INDEX('名簿'!$F$5:$F$49,MATCH('調整・決定'!G14,'名簿'!$P$5:$P$49,0)),""))</f>
        <v/>
      </c>
      <c r="H14" s="27">
        <f>IF('調整・決定'!H14="","",'調整・決定'!H14&amp;IF(IFERROR(INDEX('名簿'!$E$5:$E$49,MATCH('調整・決定'!H14,'名簿'!$P$5:$P$49,0))&lt;&gt;"",FALSE),CHAR(10)&amp;INDEX('名簿'!$F$5:$F$49,MATCH('調整・決定'!H14,'名簿'!$P$5:$P$49,0)),""))</f>
        <v/>
      </c>
      <c r="AA14">
        <f>IF('calcA'!L$115=0,0,IF(IFERROR(INDEX('名簿'!$E$5:$E$49,MATCH('調整・決定'!C14,'名簿'!$P$5:$P$49,0))&lt;&gt;"",FALSE),1,2))</f>
        <v/>
      </c>
      <c r="AB14">
        <f>IF('calcA'!AJ$115=0,0,IF(IFERROR(INDEX('名簿'!$E$5:$E$49,MATCH('調整・決定'!D14,'名簿'!$P$5:$P$49,0))&lt;&gt;"",FALSE),1,2))</f>
        <v/>
      </c>
      <c r="AC14">
        <f>IF('calcA'!BH$115=0,0,IF(IFERROR(INDEX('名簿'!$E$5:$E$49,MATCH('調整・決定'!E14,'名簿'!$P$5:$P$49,0))&lt;&gt;"",FALSE),1,2))</f>
        <v/>
      </c>
      <c r="AD14">
        <f>IF('calcA'!CF$115=0,0,IF(IFERROR(INDEX('名簿'!$E$5:$E$49,MATCH('調整・決定'!F14,'名簿'!$P$5:$P$49,0))&lt;&gt;"",FALSE),1,2))</f>
        <v/>
      </c>
      <c r="AE14">
        <f>IF('calcA'!DD$115=0,0,IF(IFERROR(INDEX('名簿'!$E$5:$E$49,MATCH('調整・決定'!G14,'名簿'!$P$5:$P$49,0))&lt;&gt;"",FALSE),1,2))</f>
        <v/>
      </c>
      <c r="AF14">
        <f>IF('calcA'!EB$115=0,0,IF(IFERROR(INDEX('名簿'!$E$5:$E$49,MATCH('調整・決定'!H14,'名簿'!$P$5:$P$49,0))&lt;&gt;"",FALSE),1,2))</f>
        <v/>
      </c>
    </row>
    <row r="15" ht="34" customHeight="1">
      <c r="B15" s="46">
        <f>'設定'!$I$20</f>
        <v/>
      </c>
      <c r="C15" s="27">
        <f>IF('調整・決定'!C15="","",'調整・決定'!C15&amp;IF(IFERROR(INDEX('名簿'!$E$5:$E$49,MATCH('調整・決定'!C15,'名簿'!$P$5:$P$49,0))&lt;&gt;"",FALSE),CHAR(10)&amp;INDEX('名簿'!$F$5:$F$49,MATCH('調整・決定'!C15,'名簿'!$P$5:$P$49,0)),""))</f>
        <v/>
      </c>
      <c r="D15" s="27">
        <f>IF('調整・決定'!D15="","",'調整・決定'!D15&amp;IF(IFERROR(INDEX('名簿'!$E$5:$E$49,MATCH('調整・決定'!D15,'名簿'!$P$5:$P$49,0))&lt;&gt;"",FALSE),CHAR(10)&amp;INDEX('名簿'!$F$5:$F$49,MATCH('調整・決定'!D15,'名簿'!$P$5:$P$49,0)),""))</f>
        <v/>
      </c>
      <c r="E15" s="27">
        <f>IF('調整・決定'!E15="","",'調整・決定'!E15&amp;IF(IFERROR(INDEX('名簿'!$E$5:$E$49,MATCH('調整・決定'!E15,'名簿'!$P$5:$P$49,0))&lt;&gt;"",FALSE),CHAR(10)&amp;INDEX('名簿'!$F$5:$F$49,MATCH('調整・決定'!E15,'名簿'!$P$5:$P$49,0)),""))</f>
        <v/>
      </c>
      <c r="F15" s="27">
        <f>IF('調整・決定'!F15="","",'調整・決定'!F15&amp;IF(IFERROR(INDEX('名簿'!$E$5:$E$49,MATCH('調整・決定'!F15,'名簿'!$P$5:$P$49,0))&lt;&gt;"",FALSE),CHAR(10)&amp;INDEX('名簿'!$F$5:$F$49,MATCH('調整・決定'!F15,'名簿'!$P$5:$P$49,0)),""))</f>
        <v/>
      </c>
      <c r="G15" s="27">
        <f>IF('調整・決定'!G15="","",'調整・決定'!G15&amp;IF(IFERROR(INDEX('名簿'!$E$5:$E$49,MATCH('調整・決定'!G15,'名簿'!$P$5:$P$49,0))&lt;&gt;"",FALSE),CHAR(10)&amp;INDEX('名簿'!$F$5:$F$49,MATCH('調整・決定'!G15,'名簿'!$P$5:$P$49,0)),""))</f>
        <v/>
      </c>
      <c r="H15" s="27">
        <f>IF('調整・決定'!H15="","",'調整・決定'!H15&amp;IF(IFERROR(INDEX('名簿'!$E$5:$E$49,MATCH('調整・決定'!H15,'名簿'!$P$5:$P$49,0))&lt;&gt;"",FALSE),CHAR(10)&amp;INDEX('名簿'!$F$5:$F$49,MATCH('調整・決定'!H15,'名簿'!$P$5:$P$49,0)),""))</f>
        <v/>
      </c>
      <c r="AA15">
        <f>IF('calcA'!M$115=0,0,IF(IFERROR(INDEX('名簿'!$E$5:$E$49,MATCH('調整・決定'!C15,'名簿'!$P$5:$P$49,0))&lt;&gt;"",FALSE),1,2))</f>
        <v/>
      </c>
      <c r="AB15">
        <f>IF('calcA'!AK$115=0,0,IF(IFERROR(INDEX('名簿'!$E$5:$E$49,MATCH('調整・決定'!D15,'名簿'!$P$5:$P$49,0))&lt;&gt;"",FALSE),1,2))</f>
        <v/>
      </c>
      <c r="AC15">
        <f>IF('calcA'!BI$115=0,0,IF(IFERROR(INDEX('名簿'!$E$5:$E$49,MATCH('調整・決定'!E15,'名簿'!$P$5:$P$49,0))&lt;&gt;"",FALSE),1,2))</f>
        <v/>
      </c>
      <c r="AD15">
        <f>IF('calcA'!CG$115=0,0,IF(IFERROR(INDEX('名簿'!$E$5:$E$49,MATCH('調整・決定'!F15,'名簿'!$P$5:$P$49,0))&lt;&gt;"",FALSE),1,2))</f>
        <v/>
      </c>
      <c r="AE15">
        <f>IF('calcA'!DE$115=0,0,IF(IFERROR(INDEX('名簿'!$E$5:$E$49,MATCH('調整・決定'!G15,'名簿'!$P$5:$P$49,0))&lt;&gt;"",FALSE),1,2))</f>
        <v/>
      </c>
      <c r="AF15">
        <f>IF('calcA'!EC$115=0,0,IF(IFERROR(INDEX('名簿'!$E$5:$E$49,MATCH('調整・決定'!H15,'名簿'!$P$5:$P$49,0))&lt;&gt;"",FALSE),1,2))</f>
        <v/>
      </c>
    </row>
    <row r="16" ht="34" customHeight="1">
      <c r="B16" s="46">
        <f>'設定'!$I$21</f>
        <v/>
      </c>
      <c r="C16" s="27">
        <f>IF('調整・決定'!C16="","",'調整・決定'!C16&amp;IF(IFERROR(INDEX('名簿'!$E$5:$E$49,MATCH('調整・決定'!C16,'名簿'!$P$5:$P$49,0))&lt;&gt;"",FALSE),CHAR(10)&amp;INDEX('名簿'!$F$5:$F$49,MATCH('調整・決定'!C16,'名簿'!$P$5:$P$49,0)),""))</f>
        <v/>
      </c>
      <c r="D16" s="27">
        <f>IF('調整・決定'!D16="","",'調整・決定'!D16&amp;IF(IFERROR(INDEX('名簿'!$E$5:$E$49,MATCH('調整・決定'!D16,'名簿'!$P$5:$P$49,0))&lt;&gt;"",FALSE),CHAR(10)&amp;INDEX('名簿'!$F$5:$F$49,MATCH('調整・決定'!D16,'名簿'!$P$5:$P$49,0)),""))</f>
        <v/>
      </c>
      <c r="E16" s="27">
        <f>IF('調整・決定'!E16="","",'調整・決定'!E16&amp;IF(IFERROR(INDEX('名簿'!$E$5:$E$49,MATCH('調整・決定'!E16,'名簿'!$P$5:$P$49,0))&lt;&gt;"",FALSE),CHAR(10)&amp;INDEX('名簿'!$F$5:$F$49,MATCH('調整・決定'!E16,'名簿'!$P$5:$P$49,0)),""))</f>
        <v/>
      </c>
      <c r="F16" s="27">
        <f>IF('調整・決定'!F16="","",'調整・決定'!F16&amp;IF(IFERROR(INDEX('名簿'!$E$5:$E$49,MATCH('調整・決定'!F16,'名簿'!$P$5:$P$49,0))&lt;&gt;"",FALSE),CHAR(10)&amp;INDEX('名簿'!$F$5:$F$49,MATCH('調整・決定'!F16,'名簿'!$P$5:$P$49,0)),""))</f>
        <v/>
      </c>
      <c r="G16" s="27">
        <f>IF('調整・決定'!G16="","",'調整・決定'!G16&amp;IF(IFERROR(INDEX('名簿'!$E$5:$E$49,MATCH('調整・決定'!G16,'名簿'!$P$5:$P$49,0))&lt;&gt;"",FALSE),CHAR(10)&amp;INDEX('名簿'!$F$5:$F$49,MATCH('調整・決定'!G16,'名簿'!$P$5:$P$49,0)),""))</f>
        <v/>
      </c>
      <c r="H16" s="27">
        <f>IF('調整・決定'!H16="","",'調整・決定'!H16&amp;IF(IFERROR(INDEX('名簿'!$E$5:$E$49,MATCH('調整・決定'!H16,'名簿'!$P$5:$P$49,0))&lt;&gt;"",FALSE),CHAR(10)&amp;INDEX('名簿'!$F$5:$F$49,MATCH('調整・決定'!H16,'名簿'!$P$5:$P$49,0)),""))</f>
        <v/>
      </c>
      <c r="AA16">
        <f>IF('calcA'!N$115=0,0,IF(IFERROR(INDEX('名簿'!$E$5:$E$49,MATCH('調整・決定'!C16,'名簿'!$P$5:$P$49,0))&lt;&gt;"",FALSE),1,2))</f>
        <v/>
      </c>
      <c r="AB16">
        <f>IF('calcA'!AL$115=0,0,IF(IFERROR(INDEX('名簿'!$E$5:$E$49,MATCH('調整・決定'!D16,'名簿'!$P$5:$P$49,0))&lt;&gt;"",FALSE),1,2))</f>
        <v/>
      </c>
      <c r="AC16">
        <f>IF('calcA'!BJ$115=0,0,IF(IFERROR(INDEX('名簿'!$E$5:$E$49,MATCH('調整・決定'!E16,'名簿'!$P$5:$P$49,0))&lt;&gt;"",FALSE),1,2))</f>
        <v/>
      </c>
      <c r="AD16">
        <f>IF('calcA'!CH$115=0,0,IF(IFERROR(INDEX('名簿'!$E$5:$E$49,MATCH('調整・決定'!F16,'名簿'!$P$5:$P$49,0))&lt;&gt;"",FALSE),1,2))</f>
        <v/>
      </c>
      <c r="AE16">
        <f>IF('calcA'!DF$115=0,0,IF(IFERROR(INDEX('名簿'!$E$5:$E$49,MATCH('調整・決定'!G16,'名簿'!$P$5:$P$49,0))&lt;&gt;"",FALSE),1,2))</f>
        <v/>
      </c>
      <c r="AF16">
        <f>IF('calcA'!ED$115=0,0,IF(IFERROR(INDEX('名簿'!$E$5:$E$49,MATCH('調整・決定'!H16,'名簿'!$P$5:$P$49,0))&lt;&gt;"",FALSE),1,2))</f>
        <v/>
      </c>
    </row>
    <row r="17" ht="34" customHeight="1">
      <c r="B17" s="46">
        <f>'設定'!$I$22</f>
        <v/>
      </c>
      <c r="C17" s="27">
        <f>IF('調整・決定'!C17="","",'調整・決定'!C17&amp;IF(IFERROR(INDEX('名簿'!$E$5:$E$49,MATCH('調整・決定'!C17,'名簿'!$P$5:$P$49,0))&lt;&gt;"",FALSE),CHAR(10)&amp;INDEX('名簿'!$F$5:$F$49,MATCH('調整・決定'!C17,'名簿'!$P$5:$P$49,0)),""))</f>
        <v/>
      </c>
      <c r="D17" s="27">
        <f>IF('調整・決定'!D17="","",'調整・決定'!D17&amp;IF(IFERROR(INDEX('名簿'!$E$5:$E$49,MATCH('調整・決定'!D17,'名簿'!$P$5:$P$49,0))&lt;&gt;"",FALSE),CHAR(10)&amp;INDEX('名簿'!$F$5:$F$49,MATCH('調整・決定'!D17,'名簿'!$P$5:$P$49,0)),""))</f>
        <v/>
      </c>
      <c r="E17" s="27">
        <f>IF('調整・決定'!E17="","",'調整・決定'!E17&amp;IF(IFERROR(INDEX('名簿'!$E$5:$E$49,MATCH('調整・決定'!E17,'名簿'!$P$5:$P$49,0))&lt;&gt;"",FALSE),CHAR(10)&amp;INDEX('名簿'!$F$5:$F$49,MATCH('調整・決定'!E17,'名簿'!$P$5:$P$49,0)),""))</f>
        <v/>
      </c>
      <c r="F17" s="27">
        <f>IF('調整・決定'!F17="","",'調整・決定'!F17&amp;IF(IFERROR(INDEX('名簿'!$E$5:$E$49,MATCH('調整・決定'!F17,'名簿'!$P$5:$P$49,0))&lt;&gt;"",FALSE),CHAR(10)&amp;INDEX('名簿'!$F$5:$F$49,MATCH('調整・決定'!F17,'名簿'!$P$5:$P$49,0)),""))</f>
        <v/>
      </c>
      <c r="G17" s="27">
        <f>IF('調整・決定'!G17="","",'調整・決定'!G17&amp;IF(IFERROR(INDEX('名簿'!$E$5:$E$49,MATCH('調整・決定'!G17,'名簿'!$P$5:$P$49,0))&lt;&gt;"",FALSE),CHAR(10)&amp;INDEX('名簿'!$F$5:$F$49,MATCH('調整・決定'!G17,'名簿'!$P$5:$P$49,0)),""))</f>
        <v/>
      </c>
      <c r="H17" s="27">
        <f>IF('調整・決定'!H17="","",'調整・決定'!H17&amp;IF(IFERROR(INDEX('名簿'!$E$5:$E$49,MATCH('調整・決定'!H17,'名簿'!$P$5:$P$49,0))&lt;&gt;"",FALSE),CHAR(10)&amp;INDEX('名簿'!$F$5:$F$49,MATCH('調整・決定'!H17,'名簿'!$P$5:$P$49,0)),""))</f>
        <v/>
      </c>
      <c r="AA17">
        <f>IF('calcA'!O$115=0,0,IF(IFERROR(INDEX('名簿'!$E$5:$E$49,MATCH('調整・決定'!C17,'名簿'!$P$5:$P$49,0))&lt;&gt;"",FALSE),1,2))</f>
        <v/>
      </c>
      <c r="AB17">
        <f>IF('calcA'!AM$115=0,0,IF(IFERROR(INDEX('名簿'!$E$5:$E$49,MATCH('調整・決定'!D17,'名簿'!$P$5:$P$49,0))&lt;&gt;"",FALSE),1,2))</f>
        <v/>
      </c>
      <c r="AC17">
        <f>IF('calcA'!BK$115=0,0,IF(IFERROR(INDEX('名簿'!$E$5:$E$49,MATCH('調整・決定'!E17,'名簿'!$P$5:$P$49,0))&lt;&gt;"",FALSE),1,2))</f>
        <v/>
      </c>
      <c r="AD17">
        <f>IF('calcA'!CI$115=0,0,IF(IFERROR(INDEX('名簿'!$E$5:$E$49,MATCH('調整・決定'!F17,'名簿'!$P$5:$P$49,0))&lt;&gt;"",FALSE),1,2))</f>
        <v/>
      </c>
      <c r="AE17">
        <f>IF('calcA'!DG$115=0,0,IF(IFERROR(INDEX('名簿'!$E$5:$E$49,MATCH('調整・決定'!G17,'名簿'!$P$5:$P$49,0))&lt;&gt;"",FALSE),1,2))</f>
        <v/>
      </c>
      <c r="AF17">
        <f>IF('calcA'!EE$115=0,0,IF(IFERROR(INDEX('名簿'!$E$5:$E$49,MATCH('調整・決定'!H17,'名簿'!$P$5:$P$49,0))&lt;&gt;"",FALSE),1,2))</f>
        <v/>
      </c>
    </row>
    <row r="18" ht="34" customHeight="1">
      <c r="B18" s="46">
        <f>'設定'!$I$23</f>
        <v/>
      </c>
      <c r="C18" s="27">
        <f>IF('調整・決定'!C18="","",'調整・決定'!C18&amp;IF(IFERROR(INDEX('名簿'!$E$5:$E$49,MATCH('調整・決定'!C18,'名簿'!$P$5:$P$49,0))&lt;&gt;"",FALSE),CHAR(10)&amp;INDEX('名簿'!$F$5:$F$49,MATCH('調整・決定'!C18,'名簿'!$P$5:$P$49,0)),""))</f>
        <v/>
      </c>
      <c r="D18" s="27">
        <f>IF('調整・決定'!D18="","",'調整・決定'!D18&amp;IF(IFERROR(INDEX('名簿'!$E$5:$E$49,MATCH('調整・決定'!D18,'名簿'!$P$5:$P$49,0))&lt;&gt;"",FALSE),CHAR(10)&amp;INDEX('名簿'!$F$5:$F$49,MATCH('調整・決定'!D18,'名簿'!$P$5:$P$49,0)),""))</f>
        <v/>
      </c>
      <c r="E18" s="27">
        <f>IF('調整・決定'!E18="","",'調整・決定'!E18&amp;IF(IFERROR(INDEX('名簿'!$E$5:$E$49,MATCH('調整・決定'!E18,'名簿'!$P$5:$P$49,0))&lt;&gt;"",FALSE),CHAR(10)&amp;INDEX('名簿'!$F$5:$F$49,MATCH('調整・決定'!E18,'名簿'!$P$5:$P$49,0)),""))</f>
        <v/>
      </c>
      <c r="F18" s="27">
        <f>IF('調整・決定'!F18="","",'調整・決定'!F18&amp;IF(IFERROR(INDEX('名簿'!$E$5:$E$49,MATCH('調整・決定'!F18,'名簿'!$P$5:$P$49,0))&lt;&gt;"",FALSE),CHAR(10)&amp;INDEX('名簿'!$F$5:$F$49,MATCH('調整・決定'!F18,'名簿'!$P$5:$P$49,0)),""))</f>
        <v/>
      </c>
      <c r="G18" s="27">
        <f>IF('調整・決定'!G18="","",'調整・決定'!G18&amp;IF(IFERROR(INDEX('名簿'!$E$5:$E$49,MATCH('調整・決定'!G18,'名簿'!$P$5:$P$49,0))&lt;&gt;"",FALSE),CHAR(10)&amp;INDEX('名簿'!$F$5:$F$49,MATCH('調整・決定'!G18,'名簿'!$P$5:$P$49,0)),""))</f>
        <v/>
      </c>
      <c r="H18" s="27">
        <f>IF('調整・決定'!H18="","",'調整・決定'!H18&amp;IF(IFERROR(INDEX('名簿'!$E$5:$E$49,MATCH('調整・決定'!H18,'名簿'!$P$5:$P$49,0))&lt;&gt;"",FALSE),CHAR(10)&amp;INDEX('名簿'!$F$5:$F$49,MATCH('調整・決定'!H18,'名簿'!$P$5:$P$49,0)),""))</f>
        <v/>
      </c>
      <c r="AA18">
        <f>IF('calcA'!P$115=0,0,IF(IFERROR(INDEX('名簿'!$E$5:$E$49,MATCH('調整・決定'!C18,'名簿'!$P$5:$P$49,0))&lt;&gt;"",FALSE),1,2))</f>
        <v/>
      </c>
      <c r="AB18">
        <f>IF('calcA'!AN$115=0,0,IF(IFERROR(INDEX('名簿'!$E$5:$E$49,MATCH('調整・決定'!D18,'名簿'!$P$5:$P$49,0))&lt;&gt;"",FALSE),1,2))</f>
        <v/>
      </c>
      <c r="AC18">
        <f>IF('calcA'!BL$115=0,0,IF(IFERROR(INDEX('名簿'!$E$5:$E$49,MATCH('調整・決定'!E18,'名簿'!$P$5:$P$49,0))&lt;&gt;"",FALSE),1,2))</f>
        <v/>
      </c>
      <c r="AD18">
        <f>IF('calcA'!CJ$115=0,0,IF(IFERROR(INDEX('名簿'!$E$5:$E$49,MATCH('調整・決定'!F18,'名簿'!$P$5:$P$49,0))&lt;&gt;"",FALSE),1,2))</f>
        <v/>
      </c>
      <c r="AE18">
        <f>IF('calcA'!DH$115=0,0,IF(IFERROR(INDEX('名簿'!$E$5:$E$49,MATCH('調整・決定'!G18,'名簿'!$P$5:$P$49,0))&lt;&gt;"",FALSE),1,2))</f>
        <v/>
      </c>
      <c r="AF18">
        <f>IF('calcA'!EF$115=0,0,IF(IFERROR(INDEX('名簿'!$E$5:$E$49,MATCH('調整・決定'!H18,'名簿'!$P$5:$P$49,0))&lt;&gt;"",FALSE),1,2))</f>
        <v/>
      </c>
    </row>
    <row r="19" ht="34" customHeight="1">
      <c r="B19" s="46">
        <f>'設定'!$I$24</f>
        <v/>
      </c>
      <c r="C19" s="27">
        <f>IF('調整・決定'!C19="","",'調整・決定'!C19&amp;IF(IFERROR(INDEX('名簿'!$E$5:$E$49,MATCH('調整・決定'!C19,'名簿'!$P$5:$P$49,0))&lt;&gt;"",FALSE),CHAR(10)&amp;INDEX('名簿'!$F$5:$F$49,MATCH('調整・決定'!C19,'名簿'!$P$5:$P$49,0)),""))</f>
        <v/>
      </c>
      <c r="D19" s="27">
        <f>IF('調整・決定'!D19="","",'調整・決定'!D19&amp;IF(IFERROR(INDEX('名簿'!$E$5:$E$49,MATCH('調整・決定'!D19,'名簿'!$P$5:$P$49,0))&lt;&gt;"",FALSE),CHAR(10)&amp;INDEX('名簿'!$F$5:$F$49,MATCH('調整・決定'!D19,'名簿'!$P$5:$P$49,0)),""))</f>
        <v/>
      </c>
      <c r="E19" s="27">
        <f>IF('調整・決定'!E19="","",'調整・決定'!E19&amp;IF(IFERROR(INDEX('名簿'!$E$5:$E$49,MATCH('調整・決定'!E19,'名簿'!$P$5:$P$49,0))&lt;&gt;"",FALSE),CHAR(10)&amp;INDEX('名簿'!$F$5:$F$49,MATCH('調整・決定'!E19,'名簿'!$P$5:$P$49,0)),""))</f>
        <v/>
      </c>
      <c r="F19" s="27">
        <f>IF('調整・決定'!F19="","",'調整・決定'!F19&amp;IF(IFERROR(INDEX('名簿'!$E$5:$E$49,MATCH('調整・決定'!F19,'名簿'!$P$5:$P$49,0))&lt;&gt;"",FALSE),CHAR(10)&amp;INDEX('名簿'!$F$5:$F$49,MATCH('調整・決定'!F19,'名簿'!$P$5:$P$49,0)),""))</f>
        <v/>
      </c>
      <c r="G19" s="27">
        <f>IF('調整・決定'!G19="","",'調整・決定'!G19&amp;IF(IFERROR(INDEX('名簿'!$E$5:$E$49,MATCH('調整・決定'!G19,'名簿'!$P$5:$P$49,0))&lt;&gt;"",FALSE),CHAR(10)&amp;INDEX('名簿'!$F$5:$F$49,MATCH('調整・決定'!G19,'名簿'!$P$5:$P$49,0)),""))</f>
        <v/>
      </c>
      <c r="H19" s="27">
        <f>IF('調整・決定'!H19="","",'調整・決定'!H19&amp;IF(IFERROR(INDEX('名簿'!$E$5:$E$49,MATCH('調整・決定'!H19,'名簿'!$P$5:$P$49,0))&lt;&gt;"",FALSE),CHAR(10)&amp;INDEX('名簿'!$F$5:$F$49,MATCH('調整・決定'!H19,'名簿'!$P$5:$P$49,0)),""))</f>
        <v/>
      </c>
      <c r="AA19">
        <f>IF('calcA'!Q$115=0,0,IF(IFERROR(INDEX('名簿'!$E$5:$E$49,MATCH('調整・決定'!C19,'名簿'!$P$5:$P$49,0))&lt;&gt;"",FALSE),1,2))</f>
        <v/>
      </c>
      <c r="AB19">
        <f>IF('calcA'!AO$115=0,0,IF(IFERROR(INDEX('名簿'!$E$5:$E$49,MATCH('調整・決定'!D19,'名簿'!$P$5:$P$49,0))&lt;&gt;"",FALSE),1,2))</f>
        <v/>
      </c>
      <c r="AC19">
        <f>IF('calcA'!BM$115=0,0,IF(IFERROR(INDEX('名簿'!$E$5:$E$49,MATCH('調整・決定'!E19,'名簿'!$P$5:$P$49,0))&lt;&gt;"",FALSE),1,2))</f>
        <v/>
      </c>
      <c r="AD19">
        <f>IF('calcA'!CK$115=0,0,IF(IFERROR(INDEX('名簿'!$E$5:$E$49,MATCH('調整・決定'!F19,'名簿'!$P$5:$P$49,0))&lt;&gt;"",FALSE),1,2))</f>
        <v/>
      </c>
      <c r="AE19">
        <f>IF('calcA'!DI$115=0,0,IF(IFERROR(INDEX('名簿'!$E$5:$E$49,MATCH('調整・決定'!G19,'名簿'!$P$5:$P$49,0))&lt;&gt;"",FALSE),1,2))</f>
        <v/>
      </c>
      <c r="AF19">
        <f>IF('calcA'!EG$115=0,0,IF(IFERROR(INDEX('名簿'!$E$5:$E$49,MATCH('調整・決定'!H19,'名簿'!$P$5:$P$49,0))&lt;&gt;"",FALSE),1,2))</f>
        <v/>
      </c>
    </row>
    <row r="20" ht="34" customHeight="1">
      <c r="B20" s="46">
        <f>'設定'!$I$25</f>
        <v/>
      </c>
      <c r="C20" s="27">
        <f>IF('調整・決定'!C20="","",'調整・決定'!C20&amp;IF(IFERROR(INDEX('名簿'!$E$5:$E$49,MATCH('調整・決定'!C20,'名簿'!$P$5:$P$49,0))&lt;&gt;"",FALSE),CHAR(10)&amp;INDEX('名簿'!$F$5:$F$49,MATCH('調整・決定'!C20,'名簿'!$P$5:$P$49,0)),""))</f>
        <v/>
      </c>
      <c r="D20" s="27">
        <f>IF('調整・決定'!D20="","",'調整・決定'!D20&amp;IF(IFERROR(INDEX('名簿'!$E$5:$E$49,MATCH('調整・決定'!D20,'名簿'!$P$5:$P$49,0))&lt;&gt;"",FALSE),CHAR(10)&amp;INDEX('名簿'!$F$5:$F$49,MATCH('調整・決定'!D20,'名簿'!$P$5:$P$49,0)),""))</f>
        <v/>
      </c>
      <c r="E20" s="27">
        <f>IF('調整・決定'!E20="","",'調整・決定'!E20&amp;IF(IFERROR(INDEX('名簿'!$E$5:$E$49,MATCH('調整・決定'!E20,'名簿'!$P$5:$P$49,0))&lt;&gt;"",FALSE),CHAR(10)&amp;INDEX('名簿'!$F$5:$F$49,MATCH('調整・決定'!E20,'名簿'!$P$5:$P$49,0)),""))</f>
        <v/>
      </c>
      <c r="F20" s="27">
        <f>IF('調整・決定'!F20="","",'調整・決定'!F20&amp;IF(IFERROR(INDEX('名簿'!$E$5:$E$49,MATCH('調整・決定'!F20,'名簿'!$P$5:$P$49,0))&lt;&gt;"",FALSE),CHAR(10)&amp;INDEX('名簿'!$F$5:$F$49,MATCH('調整・決定'!F20,'名簿'!$P$5:$P$49,0)),""))</f>
        <v/>
      </c>
      <c r="G20" s="27">
        <f>IF('調整・決定'!G20="","",'調整・決定'!G20&amp;IF(IFERROR(INDEX('名簿'!$E$5:$E$49,MATCH('調整・決定'!G20,'名簿'!$P$5:$P$49,0))&lt;&gt;"",FALSE),CHAR(10)&amp;INDEX('名簿'!$F$5:$F$49,MATCH('調整・決定'!G20,'名簿'!$P$5:$P$49,0)),""))</f>
        <v/>
      </c>
      <c r="H20" s="27">
        <f>IF('調整・決定'!H20="","",'調整・決定'!H20&amp;IF(IFERROR(INDEX('名簿'!$E$5:$E$49,MATCH('調整・決定'!H20,'名簿'!$P$5:$P$49,0))&lt;&gt;"",FALSE),CHAR(10)&amp;INDEX('名簿'!$F$5:$F$49,MATCH('調整・決定'!H20,'名簿'!$P$5:$P$49,0)),""))</f>
        <v/>
      </c>
      <c r="AA20">
        <f>IF('calcA'!R$115=0,0,IF(IFERROR(INDEX('名簿'!$E$5:$E$49,MATCH('調整・決定'!C20,'名簿'!$P$5:$P$49,0))&lt;&gt;"",FALSE),1,2))</f>
        <v/>
      </c>
      <c r="AB20">
        <f>IF('calcA'!AP$115=0,0,IF(IFERROR(INDEX('名簿'!$E$5:$E$49,MATCH('調整・決定'!D20,'名簿'!$P$5:$P$49,0))&lt;&gt;"",FALSE),1,2))</f>
        <v/>
      </c>
      <c r="AC20">
        <f>IF('calcA'!BN$115=0,0,IF(IFERROR(INDEX('名簿'!$E$5:$E$49,MATCH('調整・決定'!E20,'名簿'!$P$5:$P$49,0))&lt;&gt;"",FALSE),1,2))</f>
        <v/>
      </c>
      <c r="AD20">
        <f>IF('calcA'!CL$115=0,0,IF(IFERROR(INDEX('名簿'!$E$5:$E$49,MATCH('調整・決定'!F20,'名簿'!$P$5:$P$49,0))&lt;&gt;"",FALSE),1,2))</f>
        <v/>
      </c>
      <c r="AE20">
        <f>IF('calcA'!DJ$115=0,0,IF(IFERROR(INDEX('名簿'!$E$5:$E$49,MATCH('調整・決定'!G20,'名簿'!$P$5:$P$49,0))&lt;&gt;"",FALSE),1,2))</f>
        <v/>
      </c>
      <c r="AF20">
        <f>IF('calcA'!EH$115=0,0,IF(IFERROR(INDEX('名簿'!$E$5:$E$49,MATCH('調整・決定'!H20,'名簿'!$P$5:$P$49,0))&lt;&gt;"",FALSE),1,2))</f>
        <v/>
      </c>
    </row>
    <row r="21" ht="34" customHeight="1">
      <c r="B21" s="46">
        <f>'設定'!$I$26</f>
        <v/>
      </c>
      <c r="C21" s="27">
        <f>IF('調整・決定'!C21="","",'調整・決定'!C21&amp;IF(IFERROR(INDEX('名簿'!$E$5:$E$49,MATCH('調整・決定'!C21,'名簿'!$P$5:$P$49,0))&lt;&gt;"",FALSE),CHAR(10)&amp;INDEX('名簿'!$F$5:$F$49,MATCH('調整・決定'!C21,'名簿'!$P$5:$P$49,0)),""))</f>
        <v/>
      </c>
      <c r="D21" s="27">
        <f>IF('調整・決定'!D21="","",'調整・決定'!D21&amp;IF(IFERROR(INDEX('名簿'!$E$5:$E$49,MATCH('調整・決定'!D21,'名簿'!$P$5:$P$49,0))&lt;&gt;"",FALSE),CHAR(10)&amp;INDEX('名簿'!$F$5:$F$49,MATCH('調整・決定'!D21,'名簿'!$P$5:$P$49,0)),""))</f>
        <v/>
      </c>
      <c r="E21" s="27">
        <f>IF('調整・決定'!E21="","",'調整・決定'!E21&amp;IF(IFERROR(INDEX('名簿'!$E$5:$E$49,MATCH('調整・決定'!E21,'名簿'!$P$5:$P$49,0))&lt;&gt;"",FALSE),CHAR(10)&amp;INDEX('名簿'!$F$5:$F$49,MATCH('調整・決定'!E21,'名簿'!$P$5:$P$49,0)),""))</f>
        <v/>
      </c>
      <c r="F21" s="27">
        <f>IF('調整・決定'!F21="","",'調整・決定'!F21&amp;IF(IFERROR(INDEX('名簿'!$E$5:$E$49,MATCH('調整・決定'!F21,'名簿'!$P$5:$P$49,0))&lt;&gt;"",FALSE),CHAR(10)&amp;INDEX('名簿'!$F$5:$F$49,MATCH('調整・決定'!F21,'名簿'!$P$5:$P$49,0)),""))</f>
        <v/>
      </c>
      <c r="G21" s="27">
        <f>IF('調整・決定'!G21="","",'調整・決定'!G21&amp;IF(IFERROR(INDEX('名簿'!$E$5:$E$49,MATCH('調整・決定'!G21,'名簿'!$P$5:$P$49,0))&lt;&gt;"",FALSE),CHAR(10)&amp;INDEX('名簿'!$F$5:$F$49,MATCH('調整・決定'!G21,'名簿'!$P$5:$P$49,0)),""))</f>
        <v/>
      </c>
      <c r="H21" s="27">
        <f>IF('調整・決定'!H21="","",'調整・決定'!H21&amp;IF(IFERROR(INDEX('名簿'!$E$5:$E$49,MATCH('調整・決定'!H21,'名簿'!$P$5:$P$49,0))&lt;&gt;"",FALSE),CHAR(10)&amp;INDEX('名簿'!$F$5:$F$49,MATCH('調整・決定'!H21,'名簿'!$P$5:$P$49,0)),""))</f>
        <v/>
      </c>
      <c r="AA21">
        <f>IF('calcA'!S$115=0,0,IF(IFERROR(INDEX('名簿'!$E$5:$E$49,MATCH('調整・決定'!C21,'名簿'!$P$5:$P$49,0))&lt;&gt;"",FALSE),1,2))</f>
        <v/>
      </c>
      <c r="AB21">
        <f>IF('calcA'!AQ$115=0,0,IF(IFERROR(INDEX('名簿'!$E$5:$E$49,MATCH('調整・決定'!D21,'名簿'!$P$5:$P$49,0))&lt;&gt;"",FALSE),1,2))</f>
        <v/>
      </c>
      <c r="AC21">
        <f>IF('calcA'!BO$115=0,0,IF(IFERROR(INDEX('名簿'!$E$5:$E$49,MATCH('調整・決定'!E21,'名簿'!$P$5:$P$49,0))&lt;&gt;"",FALSE),1,2))</f>
        <v/>
      </c>
      <c r="AD21">
        <f>IF('calcA'!CM$115=0,0,IF(IFERROR(INDEX('名簿'!$E$5:$E$49,MATCH('調整・決定'!F21,'名簿'!$P$5:$P$49,0))&lt;&gt;"",FALSE),1,2))</f>
        <v/>
      </c>
      <c r="AE21">
        <f>IF('calcA'!DK$115=0,0,IF(IFERROR(INDEX('名簿'!$E$5:$E$49,MATCH('調整・決定'!G21,'名簿'!$P$5:$P$49,0))&lt;&gt;"",FALSE),1,2))</f>
        <v/>
      </c>
      <c r="AF21">
        <f>IF('calcA'!EI$115=0,0,IF(IFERROR(INDEX('名簿'!$E$5:$E$49,MATCH('調整・決定'!H21,'名簿'!$P$5:$P$49,0))&lt;&gt;"",FALSE),1,2))</f>
        <v/>
      </c>
    </row>
    <row r="22" ht="34" customHeight="1">
      <c r="B22" s="46">
        <f>'設定'!$I$27</f>
        <v/>
      </c>
      <c r="C22" s="27">
        <f>IF('調整・決定'!C22="","",'調整・決定'!C22&amp;IF(IFERROR(INDEX('名簿'!$E$5:$E$49,MATCH('調整・決定'!C22,'名簿'!$P$5:$P$49,0))&lt;&gt;"",FALSE),CHAR(10)&amp;INDEX('名簿'!$F$5:$F$49,MATCH('調整・決定'!C22,'名簿'!$P$5:$P$49,0)),""))</f>
        <v/>
      </c>
      <c r="D22" s="27">
        <f>IF('調整・決定'!D22="","",'調整・決定'!D22&amp;IF(IFERROR(INDEX('名簿'!$E$5:$E$49,MATCH('調整・決定'!D22,'名簿'!$P$5:$P$49,0))&lt;&gt;"",FALSE),CHAR(10)&amp;INDEX('名簿'!$F$5:$F$49,MATCH('調整・決定'!D22,'名簿'!$P$5:$P$49,0)),""))</f>
        <v/>
      </c>
      <c r="E22" s="27">
        <f>IF('調整・決定'!E22="","",'調整・決定'!E22&amp;IF(IFERROR(INDEX('名簿'!$E$5:$E$49,MATCH('調整・決定'!E22,'名簿'!$P$5:$P$49,0))&lt;&gt;"",FALSE),CHAR(10)&amp;INDEX('名簿'!$F$5:$F$49,MATCH('調整・決定'!E22,'名簿'!$P$5:$P$49,0)),""))</f>
        <v/>
      </c>
      <c r="F22" s="27">
        <f>IF('調整・決定'!F22="","",'調整・決定'!F22&amp;IF(IFERROR(INDEX('名簿'!$E$5:$E$49,MATCH('調整・決定'!F22,'名簿'!$P$5:$P$49,0))&lt;&gt;"",FALSE),CHAR(10)&amp;INDEX('名簿'!$F$5:$F$49,MATCH('調整・決定'!F22,'名簿'!$P$5:$P$49,0)),""))</f>
        <v/>
      </c>
      <c r="G22" s="27">
        <f>IF('調整・決定'!G22="","",'調整・決定'!G22&amp;IF(IFERROR(INDEX('名簿'!$E$5:$E$49,MATCH('調整・決定'!G22,'名簿'!$P$5:$P$49,0))&lt;&gt;"",FALSE),CHAR(10)&amp;INDEX('名簿'!$F$5:$F$49,MATCH('調整・決定'!G22,'名簿'!$P$5:$P$49,0)),""))</f>
        <v/>
      </c>
      <c r="H22" s="27">
        <f>IF('調整・決定'!H22="","",'調整・決定'!H22&amp;IF(IFERROR(INDEX('名簿'!$E$5:$E$49,MATCH('調整・決定'!H22,'名簿'!$P$5:$P$49,0))&lt;&gt;"",FALSE),CHAR(10)&amp;INDEX('名簿'!$F$5:$F$49,MATCH('調整・決定'!H22,'名簿'!$P$5:$P$49,0)),""))</f>
        <v/>
      </c>
      <c r="AA22">
        <f>IF('calcA'!T$115=0,0,IF(IFERROR(INDEX('名簿'!$E$5:$E$49,MATCH('調整・決定'!C22,'名簿'!$P$5:$P$49,0))&lt;&gt;"",FALSE),1,2))</f>
        <v/>
      </c>
      <c r="AB22">
        <f>IF('calcA'!AR$115=0,0,IF(IFERROR(INDEX('名簿'!$E$5:$E$49,MATCH('調整・決定'!D22,'名簿'!$P$5:$P$49,0))&lt;&gt;"",FALSE),1,2))</f>
        <v/>
      </c>
      <c r="AC22">
        <f>IF('calcA'!BP$115=0,0,IF(IFERROR(INDEX('名簿'!$E$5:$E$49,MATCH('調整・決定'!E22,'名簿'!$P$5:$P$49,0))&lt;&gt;"",FALSE),1,2))</f>
        <v/>
      </c>
      <c r="AD22">
        <f>IF('calcA'!CN$115=0,0,IF(IFERROR(INDEX('名簿'!$E$5:$E$49,MATCH('調整・決定'!F22,'名簿'!$P$5:$P$49,0))&lt;&gt;"",FALSE),1,2))</f>
        <v/>
      </c>
      <c r="AE22">
        <f>IF('calcA'!DL$115=0,0,IF(IFERROR(INDEX('名簿'!$E$5:$E$49,MATCH('調整・決定'!G22,'名簿'!$P$5:$P$49,0))&lt;&gt;"",FALSE),1,2))</f>
        <v/>
      </c>
      <c r="AF22">
        <f>IF('calcA'!EJ$115=0,0,IF(IFERROR(INDEX('名簿'!$E$5:$E$49,MATCH('調整・決定'!H22,'名簿'!$P$5:$P$49,0))&lt;&gt;"",FALSE),1,2))</f>
        <v/>
      </c>
    </row>
    <row r="23" ht="34" customHeight="1">
      <c r="B23" s="46">
        <f>'設定'!$I$28</f>
        <v/>
      </c>
      <c r="C23" s="27">
        <f>IF('調整・決定'!C23="","",'調整・決定'!C23&amp;IF(IFERROR(INDEX('名簿'!$E$5:$E$49,MATCH('調整・決定'!C23,'名簿'!$P$5:$P$49,0))&lt;&gt;"",FALSE),CHAR(10)&amp;INDEX('名簿'!$F$5:$F$49,MATCH('調整・決定'!C23,'名簿'!$P$5:$P$49,0)),""))</f>
        <v/>
      </c>
      <c r="D23" s="27">
        <f>IF('調整・決定'!D23="","",'調整・決定'!D23&amp;IF(IFERROR(INDEX('名簿'!$E$5:$E$49,MATCH('調整・決定'!D23,'名簿'!$P$5:$P$49,0))&lt;&gt;"",FALSE),CHAR(10)&amp;INDEX('名簿'!$F$5:$F$49,MATCH('調整・決定'!D23,'名簿'!$P$5:$P$49,0)),""))</f>
        <v/>
      </c>
      <c r="E23" s="27">
        <f>IF('調整・決定'!E23="","",'調整・決定'!E23&amp;IF(IFERROR(INDEX('名簿'!$E$5:$E$49,MATCH('調整・決定'!E23,'名簿'!$P$5:$P$49,0))&lt;&gt;"",FALSE),CHAR(10)&amp;INDEX('名簿'!$F$5:$F$49,MATCH('調整・決定'!E23,'名簿'!$P$5:$P$49,0)),""))</f>
        <v/>
      </c>
      <c r="F23" s="27">
        <f>IF('調整・決定'!F23="","",'調整・決定'!F23&amp;IF(IFERROR(INDEX('名簿'!$E$5:$E$49,MATCH('調整・決定'!F23,'名簿'!$P$5:$P$49,0))&lt;&gt;"",FALSE),CHAR(10)&amp;INDEX('名簿'!$F$5:$F$49,MATCH('調整・決定'!F23,'名簿'!$P$5:$P$49,0)),""))</f>
        <v/>
      </c>
      <c r="G23" s="27">
        <f>IF('調整・決定'!G23="","",'調整・決定'!G23&amp;IF(IFERROR(INDEX('名簿'!$E$5:$E$49,MATCH('調整・決定'!G23,'名簿'!$P$5:$P$49,0))&lt;&gt;"",FALSE),CHAR(10)&amp;INDEX('名簿'!$F$5:$F$49,MATCH('調整・決定'!G23,'名簿'!$P$5:$P$49,0)),""))</f>
        <v/>
      </c>
      <c r="H23" s="27">
        <f>IF('調整・決定'!H23="","",'調整・決定'!H23&amp;IF(IFERROR(INDEX('名簿'!$E$5:$E$49,MATCH('調整・決定'!H23,'名簿'!$P$5:$P$49,0))&lt;&gt;"",FALSE),CHAR(10)&amp;INDEX('名簿'!$F$5:$F$49,MATCH('調整・決定'!H23,'名簿'!$P$5:$P$49,0)),""))</f>
        <v/>
      </c>
      <c r="AA23">
        <f>IF('calcA'!U$115=0,0,IF(IFERROR(INDEX('名簿'!$E$5:$E$49,MATCH('調整・決定'!C23,'名簿'!$P$5:$P$49,0))&lt;&gt;"",FALSE),1,2))</f>
        <v/>
      </c>
      <c r="AB23">
        <f>IF('calcA'!AS$115=0,0,IF(IFERROR(INDEX('名簿'!$E$5:$E$49,MATCH('調整・決定'!D23,'名簿'!$P$5:$P$49,0))&lt;&gt;"",FALSE),1,2))</f>
        <v/>
      </c>
      <c r="AC23">
        <f>IF('calcA'!BQ$115=0,0,IF(IFERROR(INDEX('名簿'!$E$5:$E$49,MATCH('調整・決定'!E23,'名簿'!$P$5:$P$49,0))&lt;&gt;"",FALSE),1,2))</f>
        <v/>
      </c>
      <c r="AD23">
        <f>IF('calcA'!CO$115=0,0,IF(IFERROR(INDEX('名簿'!$E$5:$E$49,MATCH('調整・決定'!F23,'名簿'!$P$5:$P$49,0))&lt;&gt;"",FALSE),1,2))</f>
        <v/>
      </c>
      <c r="AE23">
        <f>IF('calcA'!DM$115=0,0,IF(IFERROR(INDEX('名簿'!$E$5:$E$49,MATCH('調整・決定'!G23,'名簿'!$P$5:$P$49,0))&lt;&gt;"",FALSE),1,2))</f>
        <v/>
      </c>
      <c r="AF23">
        <f>IF('calcA'!EK$115=0,0,IF(IFERROR(INDEX('名簿'!$E$5:$E$49,MATCH('調整・決定'!H23,'名簿'!$P$5:$P$49,0))&lt;&gt;"",FALSE),1,2))</f>
        <v/>
      </c>
    </row>
    <row r="24" ht="34" customHeight="1">
      <c r="B24" s="46">
        <f>'設定'!$I$29</f>
        <v/>
      </c>
      <c r="C24" s="27">
        <f>IF('調整・決定'!C24="","",'調整・決定'!C24&amp;IF(IFERROR(INDEX('名簿'!$E$5:$E$49,MATCH('調整・決定'!C24,'名簿'!$P$5:$P$49,0))&lt;&gt;"",FALSE),CHAR(10)&amp;INDEX('名簿'!$F$5:$F$49,MATCH('調整・決定'!C24,'名簿'!$P$5:$P$49,0)),""))</f>
        <v/>
      </c>
      <c r="D24" s="27">
        <f>IF('調整・決定'!D24="","",'調整・決定'!D24&amp;IF(IFERROR(INDEX('名簿'!$E$5:$E$49,MATCH('調整・決定'!D24,'名簿'!$P$5:$P$49,0))&lt;&gt;"",FALSE),CHAR(10)&amp;INDEX('名簿'!$F$5:$F$49,MATCH('調整・決定'!D24,'名簿'!$P$5:$P$49,0)),""))</f>
        <v/>
      </c>
      <c r="E24" s="27">
        <f>IF('調整・決定'!E24="","",'調整・決定'!E24&amp;IF(IFERROR(INDEX('名簿'!$E$5:$E$49,MATCH('調整・決定'!E24,'名簿'!$P$5:$P$49,0))&lt;&gt;"",FALSE),CHAR(10)&amp;INDEX('名簿'!$F$5:$F$49,MATCH('調整・決定'!E24,'名簿'!$P$5:$P$49,0)),""))</f>
        <v/>
      </c>
      <c r="F24" s="27">
        <f>IF('調整・決定'!F24="","",'調整・決定'!F24&amp;IF(IFERROR(INDEX('名簿'!$E$5:$E$49,MATCH('調整・決定'!F24,'名簿'!$P$5:$P$49,0))&lt;&gt;"",FALSE),CHAR(10)&amp;INDEX('名簿'!$F$5:$F$49,MATCH('調整・決定'!F24,'名簿'!$P$5:$P$49,0)),""))</f>
        <v/>
      </c>
      <c r="G24" s="27">
        <f>IF('調整・決定'!G24="","",'調整・決定'!G24&amp;IF(IFERROR(INDEX('名簿'!$E$5:$E$49,MATCH('調整・決定'!G24,'名簿'!$P$5:$P$49,0))&lt;&gt;"",FALSE),CHAR(10)&amp;INDEX('名簿'!$F$5:$F$49,MATCH('調整・決定'!G24,'名簿'!$P$5:$P$49,0)),""))</f>
        <v/>
      </c>
      <c r="H24" s="27">
        <f>IF('調整・決定'!H24="","",'調整・決定'!H24&amp;IF(IFERROR(INDEX('名簿'!$E$5:$E$49,MATCH('調整・決定'!H24,'名簿'!$P$5:$P$49,0))&lt;&gt;"",FALSE),CHAR(10)&amp;INDEX('名簿'!$F$5:$F$49,MATCH('調整・決定'!H24,'名簿'!$P$5:$P$49,0)),""))</f>
        <v/>
      </c>
      <c r="AA24">
        <f>IF('calcA'!V$115=0,0,IF(IFERROR(INDEX('名簿'!$E$5:$E$49,MATCH('調整・決定'!C24,'名簿'!$P$5:$P$49,0))&lt;&gt;"",FALSE),1,2))</f>
        <v/>
      </c>
      <c r="AB24">
        <f>IF('calcA'!AT$115=0,0,IF(IFERROR(INDEX('名簿'!$E$5:$E$49,MATCH('調整・決定'!D24,'名簿'!$P$5:$P$49,0))&lt;&gt;"",FALSE),1,2))</f>
        <v/>
      </c>
      <c r="AC24">
        <f>IF('calcA'!BR$115=0,0,IF(IFERROR(INDEX('名簿'!$E$5:$E$49,MATCH('調整・決定'!E24,'名簿'!$P$5:$P$49,0))&lt;&gt;"",FALSE),1,2))</f>
        <v/>
      </c>
      <c r="AD24">
        <f>IF('calcA'!CP$115=0,0,IF(IFERROR(INDEX('名簿'!$E$5:$E$49,MATCH('調整・決定'!F24,'名簿'!$P$5:$P$49,0))&lt;&gt;"",FALSE),1,2))</f>
        <v/>
      </c>
      <c r="AE24">
        <f>IF('calcA'!DN$115=0,0,IF(IFERROR(INDEX('名簿'!$E$5:$E$49,MATCH('調整・決定'!G24,'名簿'!$P$5:$P$49,0))&lt;&gt;"",FALSE),1,2))</f>
        <v/>
      </c>
      <c r="AF24">
        <f>IF('calcA'!EL$115=0,0,IF(IFERROR(INDEX('名簿'!$E$5:$E$49,MATCH('調整・決定'!H24,'名簿'!$P$5:$P$49,0))&lt;&gt;"",FALSE),1,2))</f>
        <v/>
      </c>
    </row>
    <row r="25" ht="34" customHeight="1">
      <c r="B25" s="46">
        <f>'設定'!$I$30</f>
        <v/>
      </c>
      <c r="C25" s="27">
        <f>IF('調整・決定'!C25="","",'調整・決定'!C25&amp;IF(IFERROR(INDEX('名簿'!$E$5:$E$49,MATCH('調整・決定'!C25,'名簿'!$P$5:$P$49,0))&lt;&gt;"",FALSE),CHAR(10)&amp;INDEX('名簿'!$F$5:$F$49,MATCH('調整・決定'!C25,'名簿'!$P$5:$P$49,0)),""))</f>
        <v/>
      </c>
      <c r="D25" s="27">
        <f>IF('調整・決定'!D25="","",'調整・決定'!D25&amp;IF(IFERROR(INDEX('名簿'!$E$5:$E$49,MATCH('調整・決定'!D25,'名簿'!$P$5:$P$49,0))&lt;&gt;"",FALSE),CHAR(10)&amp;INDEX('名簿'!$F$5:$F$49,MATCH('調整・決定'!D25,'名簿'!$P$5:$P$49,0)),""))</f>
        <v/>
      </c>
      <c r="E25" s="27">
        <f>IF('調整・決定'!E25="","",'調整・決定'!E25&amp;IF(IFERROR(INDEX('名簿'!$E$5:$E$49,MATCH('調整・決定'!E25,'名簿'!$P$5:$P$49,0))&lt;&gt;"",FALSE),CHAR(10)&amp;INDEX('名簿'!$F$5:$F$49,MATCH('調整・決定'!E25,'名簿'!$P$5:$P$49,0)),""))</f>
        <v/>
      </c>
      <c r="F25" s="27">
        <f>IF('調整・決定'!F25="","",'調整・決定'!F25&amp;IF(IFERROR(INDEX('名簿'!$E$5:$E$49,MATCH('調整・決定'!F25,'名簿'!$P$5:$P$49,0))&lt;&gt;"",FALSE),CHAR(10)&amp;INDEX('名簿'!$F$5:$F$49,MATCH('調整・決定'!F25,'名簿'!$P$5:$P$49,0)),""))</f>
        <v/>
      </c>
      <c r="G25" s="27">
        <f>IF('調整・決定'!G25="","",'調整・決定'!G25&amp;IF(IFERROR(INDEX('名簿'!$E$5:$E$49,MATCH('調整・決定'!G25,'名簿'!$P$5:$P$49,0))&lt;&gt;"",FALSE),CHAR(10)&amp;INDEX('名簿'!$F$5:$F$49,MATCH('調整・決定'!G25,'名簿'!$P$5:$P$49,0)),""))</f>
        <v/>
      </c>
      <c r="H25" s="27">
        <f>IF('調整・決定'!H25="","",'調整・決定'!H25&amp;IF(IFERROR(INDEX('名簿'!$E$5:$E$49,MATCH('調整・決定'!H25,'名簿'!$P$5:$P$49,0))&lt;&gt;"",FALSE),CHAR(10)&amp;INDEX('名簿'!$F$5:$F$49,MATCH('調整・決定'!H25,'名簿'!$P$5:$P$49,0)),""))</f>
        <v/>
      </c>
      <c r="AA25">
        <f>IF('calcA'!W$115=0,0,IF(IFERROR(INDEX('名簿'!$E$5:$E$49,MATCH('調整・決定'!C25,'名簿'!$P$5:$P$49,0))&lt;&gt;"",FALSE),1,2))</f>
        <v/>
      </c>
      <c r="AB25">
        <f>IF('calcA'!AU$115=0,0,IF(IFERROR(INDEX('名簿'!$E$5:$E$49,MATCH('調整・決定'!D25,'名簿'!$P$5:$P$49,0))&lt;&gt;"",FALSE),1,2))</f>
        <v/>
      </c>
      <c r="AC25">
        <f>IF('calcA'!BS$115=0,0,IF(IFERROR(INDEX('名簿'!$E$5:$E$49,MATCH('調整・決定'!E25,'名簿'!$P$5:$P$49,0))&lt;&gt;"",FALSE),1,2))</f>
        <v/>
      </c>
      <c r="AD25">
        <f>IF('calcA'!CQ$115=0,0,IF(IFERROR(INDEX('名簿'!$E$5:$E$49,MATCH('調整・決定'!F25,'名簿'!$P$5:$P$49,0))&lt;&gt;"",FALSE),1,2))</f>
        <v/>
      </c>
      <c r="AE25">
        <f>IF('calcA'!DO$115=0,0,IF(IFERROR(INDEX('名簿'!$E$5:$E$49,MATCH('調整・決定'!G25,'名簿'!$P$5:$P$49,0))&lt;&gt;"",FALSE),1,2))</f>
        <v/>
      </c>
      <c r="AF25">
        <f>IF('calcA'!EM$115=0,0,IF(IFERROR(INDEX('名簿'!$E$5:$E$49,MATCH('調整・決定'!H25,'名簿'!$P$5:$P$49,0))&lt;&gt;"",FALSE),1,2))</f>
        <v/>
      </c>
    </row>
    <row r="26" ht="34" customHeight="1">
      <c r="B26" s="46">
        <f>'設定'!$I$31</f>
        <v/>
      </c>
      <c r="C26" s="27">
        <f>IF('調整・決定'!C26="","",'調整・決定'!C26&amp;IF(IFERROR(INDEX('名簿'!$E$5:$E$49,MATCH('調整・決定'!C26,'名簿'!$P$5:$P$49,0))&lt;&gt;"",FALSE),CHAR(10)&amp;INDEX('名簿'!$F$5:$F$49,MATCH('調整・決定'!C26,'名簿'!$P$5:$P$49,0)),""))</f>
        <v/>
      </c>
      <c r="D26" s="27">
        <f>IF('調整・決定'!D26="","",'調整・決定'!D26&amp;IF(IFERROR(INDEX('名簿'!$E$5:$E$49,MATCH('調整・決定'!D26,'名簿'!$P$5:$P$49,0))&lt;&gt;"",FALSE),CHAR(10)&amp;INDEX('名簿'!$F$5:$F$49,MATCH('調整・決定'!D26,'名簿'!$P$5:$P$49,0)),""))</f>
        <v/>
      </c>
      <c r="E26" s="27">
        <f>IF('調整・決定'!E26="","",'調整・決定'!E26&amp;IF(IFERROR(INDEX('名簿'!$E$5:$E$49,MATCH('調整・決定'!E26,'名簿'!$P$5:$P$49,0))&lt;&gt;"",FALSE),CHAR(10)&amp;INDEX('名簿'!$F$5:$F$49,MATCH('調整・決定'!E26,'名簿'!$P$5:$P$49,0)),""))</f>
        <v/>
      </c>
      <c r="F26" s="27">
        <f>IF('調整・決定'!F26="","",'調整・決定'!F26&amp;IF(IFERROR(INDEX('名簿'!$E$5:$E$49,MATCH('調整・決定'!F26,'名簿'!$P$5:$P$49,0))&lt;&gt;"",FALSE),CHAR(10)&amp;INDEX('名簿'!$F$5:$F$49,MATCH('調整・決定'!F26,'名簿'!$P$5:$P$49,0)),""))</f>
        <v/>
      </c>
      <c r="G26" s="27">
        <f>IF('調整・決定'!G26="","",'調整・決定'!G26&amp;IF(IFERROR(INDEX('名簿'!$E$5:$E$49,MATCH('調整・決定'!G26,'名簿'!$P$5:$P$49,0))&lt;&gt;"",FALSE),CHAR(10)&amp;INDEX('名簿'!$F$5:$F$49,MATCH('調整・決定'!G26,'名簿'!$P$5:$P$49,0)),""))</f>
        <v/>
      </c>
      <c r="H26" s="27">
        <f>IF('調整・決定'!H26="","",'調整・決定'!H26&amp;IF(IFERROR(INDEX('名簿'!$E$5:$E$49,MATCH('調整・決定'!H26,'名簿'!$P$5:$P$49,0))&lt;&gt;"",FALSE),CHAR(10)&amp;INDEX('名簿'!$F$5:$F$49,MATCH('調整・決定'!H26,'名簿'!$P$5:$P$49,0)),""))</f>
        <v/>
      </c>
      <c r="AA26">
        <f>IF('calcA'!X$115=0,0,IF(IFERROR(INDEX('名簿'!$E$5:$E$49,MATCH('調整・決定'!C26,'名簿'!$P$5:$P$49,0))&lt;&gt;"",FALSE),1,2))</f>
        <v/>
      </c>
      <c r="AB26">
        <f>IF('calcA'!AV$115=0,0,IF(IFERROR(INDEX('名簿'!$E$5:$E$49,MATCH('調整・決定'!D26,'名簿'!$P$5:$P$49,0))&lt;&gt;"",FALSE),1,2))</f>
        <v/>
      </c>
      <c r="AC26">
        <f>IF('calcA'!BT$115=0,0,IF(IFERROR(INDEX('名簿'!$E$5:$E$49,MATCH('調整・決定'!E26,'名簿'!$P$5:$P$49,0))&lt;&gt;"",FALSE),1,2))</f>
        <v/>
      </c>
      <c r="AD26">
        <f>IF('calcA'!CR$115=0,0,IF(IFERROR(INDEX('名簿'!$E$5:$E$49,MATCH('調整・決定'!F26,'名簿'!$P$5:$P$49,0))&lt;&gt;"",FALSE),1,2))</f>
        <v/>
      </c>
      <c r="AE26">
        <f>IF('calcA'!DP$115=0,0,IF(IFERROR(INDEX('名簿'!$E$5:$E$49,MATCH('調整・決定'!G26,'名簿'!$P$5:$P$49,0))&lt;&gt;"",FALSE),1,2))</f>
        <v/>
      </c>
      <c r="AF26">
        <f>IF('calcA'!EN$115=0,0,IF(IFERROR(INDEX('名簿'!$E$5:$E$49,MATCH('調整・決定'!H26,'名簿'!$P$5:$P$49,0))&lt;&gt;"",FALSE),1,2))</f>
        <v/>
      </c>
    </row>
    <row r="27" ht="34" customHeight="1">
      <c r="B27" s="46">
        <f>'設定'!$I$32</f>
        <v/>
      </c>
      <c r="C27" s="27">
        <f>IF('調整・決定'!C27="","",'調整・決定'!C27&amp;IF(IFERROR(INDEX('名簿'!$E$5:$E$49,MATCH('調整・決定'!C27,'名簿'!$P$5:$P$49,0))&lt;&gt;"",FALSE),CHAR(10)&amp;INDEX('名簿'!$F$5:$F$49,MATCH('調整・決定'!C27,'名簿'!$P$5:$P$49,0)),""))</f>
        <v/>
      </c>
      <c r="D27" s="27">
        <f>IF('調整・決定'!D27="","",'調整・決定'!D27&amp;IF(IFERROR(INDEX('名簿'!$E$5:$E$49,MATCH('調整・決定'!D27,'名簿'!$P$5:$P$49,0))&lt;&gt;"",FALSE),CHAR(10)&amp;INDEX('名簿'!$F$5:$F$49,MATCH('調整・決定'!D27,'名簿'!$P$5:$P$49,0)),""))</f>
        <v/>
      </c>
      <c r="E27" s="27">
        <f>IF('調整・決定'!E27="","",'調整・決定'!E27&amp;IF(IFERROR(INDEX('名簿'!$E$5:$E$49,MATCH('調整・決定'!E27,'名簿'!$P$5:$P$49,0))&lt;&gt;"",FALSE),CHAR(10)&amp;INDEX('名簿'!$F$5:$F$49,MATCH('調整・決定'!E27,'名簿'!$P$5:$P$49,0)),""))</f>
        <v/>
      </c>
      <c r="F27" s="27">
        <f>IF('調整・決定'!F27="","",'調整・決定'!F27&amp;IF(IFERROR(INDEX('名簿'!$E$5:$E$49,MATCH('調整・決定'!F27,'名簿'!$P$5:$P$49,0))&lt;&gt;"",FALSE),CHAR(10)&amp;INDEX('名簿'!$F$5:$F$49,MATCH('調整・決定'!F27,'名簿'!$P$5:$P$49,0)),""))</f>
        <v/>
      </c>
      <c r="G27" s="27">
        <f>IF('調整・決定'!G27="","",'調整・決定'!G27&amp;IF(IFERROR(INDEX('名簿'!$E$5:$E$49,MATCH('調整・決定'!G27,'名簿'!$P$5:$P$49,0))&lt;&gt;"",FALSE),CHAR(10)&amp;INDEX('名簿'!$F$5:$F$49,MATCH('調整・決定'!G27,'名簿'!$P$5:$P$49,0)),""))</f>
        <v/>
      </c>
      <c r="H27" s="27">
        <f>IF('調整・決定'!H27="","",'調整・決定'!H27&amp;IF(IFERROR(INDEX('名簿'!$E$5:$E$49,MATCH('調整・決定'!H27,'名簿'!$P$5:$P$49,0))&lt;&gt;"",FALSE),CHAR(10)&amp;INDEX('名簿'!$F$5:$F$49,MATCH('調整・決定'!H27,'名簿'!$P$5:$P$49,0)),""))</f>
        <v/>
      </c>
      <c r="AA27">
        <f>IF('calcA'!Y$115=0,0,IF(IFERROR(INDEX('名簿'!$E$5:$E$49,MATCH('調整・決定'!C27,'名簿'!$P$5:$P$49,0))&lt;&gt;"",FALSE),1,2))</f>
        <v/>
      </c>
      <c r="AB27">
        <f>IF('calcA'!AW$115=0,0,IF(IFERROR(INDEX('名簿'!$E$5:$E$49,MATCH('調整・決定'!D27,'名簿'!$P$5:$P$49,0))&lt;&gt;"",FALSE),1,2))</f>
        <v/>
      </c>
      <c r="AC27">
        <f>IF('calcA'!BU$115=0,0,IF(IFERROR(INDEX('名簿'!$E$5:$E$49,MATCH('調整・決定'!E27,'名簿'!$P$5:$P$49,0))&lt;&gt;"",FALSE),1,2))</f>
        <v/>
      </c>
      <c r="AD27">
        <f>IF('calcA'!CS$115=0,0,IF(IFERROR(INDEX('名簿'!$E$5:$E$49,MATCH('調整・決定'!F27,'名簿'!$P$5:$P$49,0))&lt;&gt;"",FALSE),1,2))</f>
        <v/>
      </c>
      <c r="AE27">
        <f>IF('calcA'!DQ$115=0,0,IF(IFERROR(INDEX('名簿'!$E$5:$E$49,MATCH('調整・決定'!G27,'名簿'!$P$5:$P$49,0))&lt;&gt;"",FALSE),1,2))</f>
        <v/>
      </c>
      <c r="AF27">
        <f>IF('calcA'!EO$115=0,0,IF(IFERROR(INDEX('名簿'!$E$5:$E$49,MATCH('調整・決定'!H27,'名簿'!$P$5:$P$49,0))&lt;&gt;"",FALSE),1,2))</f>
        <v/>
      </c>
    </row>
    <row r="28" ht="34" customHeight="1">
      <c r="B28" s="46">
        <f>'設定'!$I$33</f>
        <v/>
      </c>
      <c r="C28" s="27">
        <f>IF('調整・決定'!C28="","",'調整・決定'!C28&amp;IF(IFERROR(INDEX('名簿'!$E$5:$E$49,MATCH('調整・決定'!C28,'名簿'!$P$5:$P$49,0))&lt;&gt;"",FALSE),CHAR(10)&amp;INDEX('名簿'!$F$5:$F$49,MATCH('調整・決定'!C28,'名簿'!$P$5:$P$49,0)),""))</f>
        <v/>
      </c>
      <c r="D28" s="27">
        <f>IF('調整・決定'!D28="","",'調整・決定'!D28&amp;IF(IFERROR(INDEX('名簿'!$E$5:$E$49,MATCH('調整・決定'!D28,'名簿'!$P$5:$P$49,0))&lt;&gt;"",FALSE),CHAR(10)&amp;INDEX('名簿'!$F$5:$F$49,MATCH('調整・決定'!D28,'名簿'!$P$5:$P$49,0)),""))</f>
        <v/>
      </c>
      <c r="E28" s="27">
        <f>IF('調整・決定'!E28="","",'調整・決定'!E28&amp;IF(IFERROR(INDEX('名簿'!$E$5:$E$49,MATCH('調整・決定'!E28,'名簿'!$P$5:$P$49,0))&lt;&gt;"",FALSE),CHAR(10)&amp;INDEX('名簿'!$F$5:$F$49,MATCH('調整・決定'!E28,'名簿'!$P$5:$P$49,0)),""))</f>
        <v/>
      </c>
      <c r="F28" s="27">
        <f>IF('調整・決定'!F28="","",'調整・決定'!F28&amp;IF(IFERROR(INDEX('名簿'!$E$5:$E$49,MATCH('調整・決定'!F28,'名簿'!$P$5:$P$49,0))&lt;&gt;"",FALSE),CHAR(10)&amp;INDEX('名簿'!$F$5:$F$49,MATCH('調整・決定'!F28,'名簿'!$P$5:$P$49,0)),""))</f>
        <v/>
      </c>
      <c r="G28" s="27">
        <f>IF('調整・決定'!G28="","",'調整・決定'!G28&amp;IF(IFERROR(INDEX('名簿'!$E$5:$E$49,MATCH('調整・決定'!G28,'名簿'!$P$5:$P$49,0))&lt;&gt;"",FALSE),CHAR(10)&amp;INDEX('名簿'!$F$5:$F$49,MATCH('調整・決定'!G28,'名簿'!$P$5:$P$49,0)),""))</f>
        <v/>
      </c>
      <c r="H28" s="27">
        <f>IF('調整・決定'!H28="","",'調整・決定'!H28&amp;IF(IFERROR(INDEX('名簿'!$E$5:$E$49,MATCH('調整・決定'!H28,'名簿'!$P$5:$P$49,0))&lt;&gt;"",FALSE),CHAR(10)&amp;INDEX('名簿'!$F$5:$F$49,MATCH('調整・決定'!H28,'名簿'!$P$5:$P$49,0)),""))</f>
        <v/>
      </c>
      <c r="AA28">
        <f>IF('calcA'!Z$115=0,0,IF(IFERROR(INDEX('名簿'!$E$5:$E$49,MATCH('調整・決定'!C28,'名簿'!$P$5:$P$49,0))&lt;&gt;"",FALSE),1,2))</f>
        <v/>
      </c>
      <c r="AB28">
        <f>IF('calcA'!AX$115=0,0,IF(IFERROR(INDEX('名簿'!$E$5:$E$49,MATCH('調整・決定'!D28,'名簿'!$P$5:$P$49,0))&lt;&gt;"",FALSE),1,2))</f>
        <v/>
      </c>
      <c r="AC28">
        <f>IF('calcA'!BV$115=0,0,IF(IFERROR(INDEX('名簿'!$E$5:$E$49,MATCH('調整・決定'!E28,'名簿'!$P$5:$P$49,0))&lt;&gt;"",FALSE),1,2))</f>
        <v/>
      </c>
      <c r="AD28">
        <f>IF('calcA'!CT$115=0,0,IF(IFERROR(INDEX('名簿'!$E$5:$E$49,MATCH('調整・決定'!F28,'名簿'!$P$5:$P$49,0))&lt;&gt;"",FALSE),1,2))</f>
        <v/>
      </c>
      <c r="AE28">
        <f>IF('calcA'!DR$115=0,0,IF(IFERROR(INDEX('名簿'!$E$5:$E$49,MATCH('調整・決定'!G28,'名簿'!$P$5:$P$49,0))&lt;&gt;"",FALSE),1,2))</f>
        <v/>
      </c>
      <c r="AF28">
        <f>IF('calcA'!EP$115=0,0,IF(IFERROR(INDEX('名簿'!$E$5:$E$49,MATCH('調整・決定'!H28,'名簿'!$P$5:$P$49,0))&lt;&gt;"",FALSE),1,2))</f>
        <v/>
      </c>
    </row>
    <row r="29" ht="34" customHeight="1">
      <c r="B29" s="46">
        <f>'設定'!$I$34</f>
        <v/>
      </c>
      <c r="C29" s="27">
        <f>IF('調整・決定'!C29="","",'調整・決定'!C29&amp;IF(IFERROR(INDEX('名簿'!$E$5:$E$49,MATCH('調整・決定'!C29,'名簿'!$P$5:$P$49,0))&lt;&gt;"",FALSE),CHAR(10)&amp;INDEX('名簿'!$F$5:$F$49,MATCH('調整・決定'!C29,'名簿'!$P$5:$P$49,0)),""))</f>
        <v/>
      </c>
      <c r="D29" s="27">
        <f>IF('調整・決定'!D29="","",'調整・決定'!D29&amp;IF(IFERROR(INDEX('名簿'!$E$5:$E$49,MATCH('調整・決定'!D29,'名簿'!$P$5:$P$49,0))&lt;&gt;"",FALSE),CHAR(10)&amp;INDEX('名簿'!$F$5:$F$49,MATCH('調整・決定'!D29,'名簿'!$P$5:$P$49,0)),""))</f>
        <v/>
      </c>
      <c r="E29" s="27">
        <f>IF('調整・決定'!E29="","",'調整・決定'!E29&amp;IF(IFERROR(INDEX('名簿'!$E$5:$E$49,MATCH('調整・決定'!E29,'名簿'!$P$5:$P$49,0))&lt;&gt;"",FALSE),CHAR(10)&amp;INDEX('名簿'!$F$5:$F$49,MATCH('調整・決定'!E29,'名簿'!$P$5:$P$49,0)),""))</f>
        <v/>
      </c>
      <c r="F29" s="27">
        <f>IF('調整・決定'!F29="","",'調整・決定'!F29&amp;IF(IFERROR(INDEX('名簿'!$E$5:$E$49,MATCH('調整・決定'!F29,'名簿'!$P$5:$P$49,0))&lt;&gt;"",FALSE),CHAR(10)&amp;INDEX('名簿'!$F$5:$F$49,MATCH('調整・決定'!F29,'名簿'!$P$5:$P$49,0)),""))</f>
        <v/>
      </c>
      <c r="G29" s="27">
        <f>IF('調整・決定'!G29="","",'調整・決定'!G29&amp;IF(IFERROR(INDEX('名簿'!$E$5:$E$49,MATCH('調整・決定'!G29,'名簿'!$P$5:$P$49,0))&lt;&gt;"",FALSE),CHAR(10)&amp;INDEX('名簿'!$F$5:$F$49,MATCH('調整・決定'!G29,'名簿'!$P$5:$P$49,0)),""))</f>
        <v/>
      </c>
      <c r="H29" s="27">
        <f>IF('調整・決定'!H29="","",'調整・決定'!H29&amp;IF(IFERROR(INDEX('名簿'!$E$5:$E$49,MATCH('調整・決定'!H29,'名簿'!$P$5:$P$49,0))&lt;&gt;"",FALSE),CHAR(10)&amp;INDEX('名簿'!$F$5:$F$49,MATCH('調整・決定'!H29,'名簿'!$P$5:$P$49,0)),""))</f>
        <v/>
      </c>
      <c r="AA29">
        <f>IF('calcA'!AA$115=0,0,IF(IFERROR(INDEX('名簿'!$E$5:$E$49,MATCH('調整・決定'!C29,'名簿'!$P$5:$P$49,0))&lt;&gt;"",FALSE),1,2))</f>
        <v/>
      </c>
      <c r="AB29">
        <f>IF('calcA'!AY$115=0,0,IF(IFERROR(INDEX('名簿'!$E$5:$E$49,MATCH('調整・決定'!D29,'名簿'!$P$5:$P$49,0))&lt;&gt;"",FALSE),1,2))</f>
        <v/>
      </c>
      <c r="AC29">
        <f>IF('calcA'!BW$115=0,0,IF(IFERROR(INDEX('名簿'!$E$5:$E$49,MATCH('調整・決定'!E29,'名簿'!$P$5:$P$49,0))&lt;&gt;"",FALSE),1,2))</f>
        <v/>
      </c>
      <c r="AD29">
        <f>IF('calcA'!CU$115=0,0,IF(IFERROR(INDEX('名簿'!$E$5:$E$49,MATCH('調整・決定'!F29,'名簿'!$P$5:$P$49,0))&lt;&gt;"",FALSE),1,2))</f>
        <v/>
      </c>
      <c r="AE29">
        <f>IF('calcA'!DS$115=0,0,IF(IFERROR(INDEX('名簿'!$E$5:$E$49,MATCH('調整・決定'!G29,'名簿'!$P$5:$P$49,0))&lt;&gt;"",FALSE),1,2))</f>
        <v/>
      </c>
      <c r="AF29">
        <f>IF('calcA'!EQ$115=0,0,IF(IFERROR(INDEX('名簿'!$E$5:$E$49,MATCH('調整・決定'!H29,'名簿'!$P$5:$P$49,0))&lt;&gt;"",FALSE),1,2))</f>
        <v/>
      </c>
    </row>
  </sheetData>
  <mergeCells count="3">
    <mergeCell ref="B3:H3"/>
    <mergeCell ref="J4:K4"/>
    <mergeCell ref="B4:H4"/>
  </mergeCells>
  <conditionalFormatting sqref="B6:B29">
    <cfRule type="expression" priority="1" dxfId="3" stopIfTrue="1">
      <formula>B6=""</formula>
    </cfRule>
  </conditionalFormatting>
  <conditionalFormatting sqref="B4:H4">
    <cfRule type="expression" priority="2" dxfId="27">
      <formula>$B$4=""</formula>
    </cfRule>
    <cfRule type="expression" priority="3" dxfId="4">
      <formula>TRUE</formula>
    </cfRule>
  </conditionalFormatting>
  <conditionalFormatting sqref="C6:H29">
    <cfRule type="expression" priority="4" dxfId="3" stopIfTrue="1">
      <formula>AA6=0</formula>
    </cfRule>
    <cfRule type="expression" priority="5" dxfId="28" stopIfTrue="1">
      <formula>AA6=1</formula>
    </cfRule>
    <cfRule type="expression" priority="6" dxfId="4">
      <formula>TRUE</formula>
    </cfRule>
  </conditionalFormatting>
  <conditionalFormatting sqref="C5:H5">
    <cfRule type="expression" priority="7" dxfId="3">
      <formula>C5=""</formula>
    </cfRule>
  </conditionalFormatting>
  <hyperlinks>
    <hyperlink ref="J3" location="'兄弟確認用'!J3" display="▶ 印刷プレビュー"/>
    <hyperlink ref="K3" location="'兄弟確認用'!K3" display="▶ PDFで保存"/>
  </hyperlinks>
  <printOptions horizontalCentered="1"/>
  <pageMargins left="0.75" right="0.75" top="1" bottom="1" header="0.5" footer="0.5"/>
  <pageSetup orientation="portrait" paperSize="9" fitToHeight="1" fitToWidth="1"/>
</worksheet>
</file>

<file path=xl/worksheets/sheet9.xml><?xml version="1.0" encoding="utf-8"?>
<worksheet xmlns="http://schemas.openxmlformats.org/spreadsheetml/2006/main">
  <sheetPr>
    <tabColor rgb="001E90A0"/>
    <outlinePr summaryBelow="1" summaryRight="1"/>
    <pageSetUpPr fitToPage="1"/>
  </sheetPr>
  <dimension ref="A1:R67"/>
  <sheetViews>
    <sheetView showGridLines="0" showRowColHeaders="0" workbookViewId="0">
      <selection activeCell="A1" sqref="A1"/>
    </sheetView>
  </sheetViews>
  <sheetFormatPr baseColWidth="8" defaultRowHeight="15"/>
  <cols>
    <col width="0.91" customWidth="1" min="1" max="1"/>
    <col width="13.65" customWidth="1" min="2" max="2"/>
    <col width="15.97" customWidth="1" min="3" max="3"/>
    <col width="15.48" customWidth="1" min="4" max="4"/>
    <col width="15.48" customWidth="1" min="5" max="5"/>
    <col width="15.48" customWidth="1" min="6" max="6"/>
    <col width="15.48" customWidth="1" min="7" max="7"/>
    <col width="15.48" customWidth="1" min="8" max="8"/>
    <col width="20" customWidth="1" min="10" max="10"/>
    <col width="15" customWidth="1" min="12" max="12"/>
    <col hidden="1" width="15" customWidth="1" min="13" max="13"/>
    <col width="15" customWidth="1" min="14" max="14"/>
    <col width="15" customWidth="1" min="15" max="15"/>
    <col width="15" customWidth="1" min="16" max="16"/>
    <col width="15" customWidth="1" min="17" max="17"/>
    <col width="15" customWidth="1" min="18" max="18"/>
  </cols>
  <sheetData>
    <row r="1" ht="44" customHeight="1">
      <c r="A1" s="2" t="n"/>
      <c r="B1" s="71" t="inlineStr">
        <is>
          <t>お手紙（夏）</t>
        </is>
      </c>
      <c r="C1" s="2" t="n"/>
      <c r="D1" s="2" t="n"/>
      <c r="E1" s="22">
        <f>HYPERLINK("#'ホーム'!A1","ホーム")</f>
        <v/>
      </c>
      <c r="F1" s="22">
        <f>HYPERLINK("#'設定'!A1","① 設定")</f>
        <v/>
      </c>
      <c r="G1" s="22">
        <f>HYPERLINK("#'名簿'!A1","② 名簿")</f>
        <v/>
      </c>
      <c r="H1" s="22">
        <f>HYPERLINK("#'×入力'!A1","③ ×入力")</f>
        <v/>
      </c>
      <c r="I1" s="2" t="n"/>
      <c r="J1" s="2" t="n"/>
      <c r="K1" s="2" t="n"/>
      <c r="L1" s="22">
        <f>HYPERLINK("#'自動案A'!A1","④ 自動案A")</f>
        <v/>
      </c>
      <c r="M1" s="2" t="n"/>
      <c r="N1" s="22">
        <f>HYPERLINK("#'自動案B'!A1","④ 自動案B")</f>
        <v/>
      </c>
      <c r="O1" s="22">
        <f>HYPERLINK("#'調整・決定'!A1","⑤ 調整・決定")</f>
        <v/>
      </c>
      <c r="P1" s="22">
        <f>HYPERLINK("#'兄弟確認用'!A1","⑥ 兄弟確認")</f>
        <v/>
      </c>
      <c r="Q1" s="23">
        <f>HYPERLINK("#'お手紙（夏）'!A1","⑦ お手紙 夏")</f>
        <v/>
      </c>
      <c r="R1" s="22">
        <f>HYPERLINK("#'お手紙（秋）'!A1","⑧ お手紙 秋")</f>
        <v/>
      </c>
    </row>
    <row r="2" ht="24" customHeight="1">
      <c r="A2" s="5" t="n"/>
      <c r="B2" s="72" t="inlineStr">
        <is>
          <t>保護者へのお知らせ（夏用：午前・午後の枠が多いときの形）。宛名・日付・本文などは「設定」のいちばん下で決めます。このまま印刷できます（A4たて）。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c r="R2" s="5" t="n"/>
    </row>
    <row r="3" ht="48" customHeight="1">
      <c r="B3" s="113">
        <f>IF(SUBTOTAL(103,M14:M67)&lt;&gt;COUNTIF(M14:M67,"表示"),"⚠ 設定で枠の数が変わりました。このシートで Ctrl＋Alt＋L を押してください"&amp;CHAR(10)&amp;"（押さないと、増えた時刻の行が印刷されません）","")</f>
        <v/>
      </c>
    </row>
    <row r="4" ht="26.1" customHeight="1">
      <c r="J4" s="90" t="inlineStr">
        <is>
          <t>▶ 印刷プレビュー</t>
        </is>
      </c>
    </row>
    <row r="5" ht="18" customHeight="1">
      <c r="B5" s="114">
        <f>IF('設定'!$B$31="","　",IF(RIGHT('設定'!$B$31,1)="年",LEFT('設定'!$B$31,LEN('設定'!$B$31)-1),'設定'!$B$31))&amp;"年"&amp;IF('設定'!$B$32="","　",IF(RIGHT('設定'!$B$32,1)="組",LEFT('設定'!$B$32,LEN('設定'!$B$32)-1),'設定'!$B$32))&amp;"組"&amp;"　保護者様"</f>
        <v/>
      </c>
      <c r="F5" s="115">
        <f>IFERROR(IF('設定'!$B$35="","","令和"&amp;(YEAR('設定'!$B$35)-2018)&amp;"年"&amp;MONTH('設定'!$B$35)&amp;"月"&amp;DAY('設定'!$B$35)&amp;"日（"&amp;CHOOSE(WEEKDAY('設定'!$B$35),"日","月","火","水","木","金","土")&amp;"）"),'設定'!$B$35&amp;"")</f>
        <v/>
      </c>
      <c r="J5" s="116" t="n"/>
    </row>
    <row r="6" ht="18" customHeight="1">
      <c r="F6" s="115">
        <f>IF('設定'!$B$34="","",'設定'!$B$34)</f>
        <v/>
      </c>
      <c r="J6" s="111" t="inlineStr">
        <is>
          <t>▶ PDFで保存</t>
        </is>
      </c>
    </row>
    <row r="7" ht="18" customHeight="1">
      <c r="F7" s="115">
        <f>IF('設定'!$B$31="","　",IF(RIGHT('設定'!$B$31,1)="年",LEFT('設定'!$B$31,LEN('設定'!$B$31)-1),'設定'!$B$31))&amp;"年"&amp;IF('設定'!$B$32="","　",IF(RIGHT('設定'!$B$32,1)="組",LEFT('設定'!$B$32,LEN('設定'!$B$32)-1),'設定'!$B$32))&amp;"組"&amp;"　担任　"&amp;'設定'!$B$33</f>
        <v/>
      </c>
      <c r="J7" s="116" t="n"/>
    </row>
    <row r="8" ht="36" customHeight="1">
      <c r="B8" s="117">
        <f>IF('設定'!$B$36="個人面談","個人面談",IF('設定'!$B$36="進路面談","進路面談",IF(OR(IF(RIGHT('設定'!$B$31,1)="年",LEFT('設定'!$B$31,LEN('設定'!$B$31)-1),'設定'!$B$31)&amp;""="6",IF(RIGHT('設定'!$B$31,1)="年",LEFT('設定'!$B$31,LEN('設定'!$B$31)-1),'設定'!$B$31)&amp;""="６"),"進路面談","個人面談")))&amp;"のお知らせ"</f>
        <v/>
      </c>
      <c r="J8" s="48" t="inlineStr">
        <is>
          <t>1日の枠が13以上なら夏の形、12以下なら秋の形で印刷・保存します</t>
        </is>
      </c>
    </row>
    <row r="9" ht="18" customHeight="1"/>
    <row r="10" ht="18" customHeight="1">
      <c r="B10" s="114">
        <f>MID(SUBSTITUTE('設定'!$B$43,"【面談】",IF('設定'!$B$36="個人面談","個人面談",IF('設定'!$B$36="進路面談","進路面談",IF(OR(IF(RIGHT('設定'!$B$31,1)="年",LEFT('設定'!$B$31,LEN('設定'!$B$31)-1),'設定'!$B$31)&amp;""="6",IF(RIGHT('設定'!$B$31,1)="年",LEFT('設定'!$B$31,LEN('設定'!$B$31)-1),'設定'!$B$31)&amp;""="６"),"進路面談","個人面談")))),1,41)</f>
        <v/>
      </c>
    </row>
    <row r="11" ht="18" customHeight="1">
      <c r="B11" s="114">
        <f>MID(SUBSTITUTE('設定'!$B$43,"【面談】",IF('設定'!$B$36="個人面談","個人面談",IF('設定'!$B$36="進路面談","進路面談",IF(OR(IF(RIGHT('設定'!$B$31,1)="年",LEFT('設定'!$B$31,LEN('設定'!$B$31)-1),'設定'!$B$31)&amp;""="6",IF(RIGHT('設定'!$B$31,1)="年",LEFT('設定'!$B$31,LEN('設定'!$B$31)-1),'設定'!$B$31)&amp;""="６"),"進路面談","個人面談")))),42,41)</f>
        <v/>
      </c>
    </row>
    <row r="12" ht="18" customHeight="1">
      <c r="B12" s="118" t="inlineStr">
        <is>
          <t>記</t>
        </is>
      </c>
    </row>
    <row r="13" ht="18" customHeight="1">
      <c r="M13" t="inlineStr">
        <is>
          <t>表示</t>
        </is>
      </c>
    </row>
    <row r="14" ht="18" customHeight="1">
      <c r="B14" s="114">
        <f>IF('設定'!$B$45="","",'設定'!$B$45)</f>
        <v/>
      </c>
      <c r="M14">
        <f>IF(B14="","隠す","表示")</f>
        <v/>
      </c>
    </row>
    <row r="15" hidden="1" ht="18" customHeight="1">
      <c r="B15" s="114">
        <f>IF('設定'!$B$46="","",'設定'!$B$46)</f>
        <v/>
      </c>
      <c r="M15">
        <f>IF(B15="","隠す","表示")</f>
        <v/>
      </c>
    </row>
    <row r="16" hidden="1" ht="18" customHeight="1">
      <c r="B16" s="114">
        <f>IF('設定'!$B$47="","",'設定'!$B$47)</f>
        <v/>
      </c>
      <c r="M16">
        <f>IF(B16="","隠す","表示")</f>
        <v/>
      </c>
    </row>
    <row r="17" ht="13.7" customHeight="1">
      <c r="M17" t="inlineStr">
        <is>
          <t>表示</t>
        </is>
      </c>
    </row>
    <row r="18" ht="23.5" customHeight="1">
      <c r="C18" s="119">
        <f>SUBSTITUTE(SUBSTITUTE(SUBSTITUTE(SUBSTITUTE(SUBSTITUTE(SUBSTITUTE(SUBSTITUTE(SUBSTITUTE(SUBSTITUTE(SUBSTITUTE(SUBSTITUTE('設定'!$E$11,"0","０"),"1","１"),"2","２"),"3","３"),"4","４"),"5","５"),"6","６"),"7","７"),"8","８"),"9","９"),":","：")</f>
        <v/>
      </c>
      <c r="D18" s="119">
        <f>SUBSTITUTE(SUBSTITUTE(SUBSTITUTE(SUBSTITUTE(SUBSTITUTE(SUBSTITUTE(SUBSTITUTE(SUBSTITUTE(SUBSTITUTE(SUBSTITUTE(SUBSTITUTE('設定'!$E$12,"0","０"),"1","１"),"2","２"),"3","３"),"4","４"),"5","５"),"6","６"),"7","７"),"8","８"),"9","９"),":","：")</f>
        <v/>
      </c>
      <c r="E18" s="119">
        <f>SUBSTITUTE(SUBSTITUTE(SUBSTITUTE(SUBSTITUTE(SUBSTITUTE(SUBSTITUTE(SUBSTITUTE(SUBSTITUTE(SUBSTITUTE(SUBSTITUTE(SUBSTITUTE('設定'!$E$13,"0","０"),"1","１"),"2","２"),"3","３"),"4","４"),"5","５"),"6","６"),"7","７"),"8","８"),"9","９"),":","：")</f>
        <v/>
      </c>
      <c r="F18" s="119">
        <f>SUBSTITUTE(SUBSTITUTE(SUBSTITUTE(SUBSTITUTE(SUBSTITUTE(SUBSTITUTE(SUBSTITUTE(SUBSTITUTE(SUBSTITUTE(SUBSTITUTE(SUBSTITUTE('設定'!$E$14,"0","０"),"1","１"),"2","２"),"3","３"),"4","４"),"5","５"),"6","６"),"7","７"),"8","８"),"9","９"),":","：")</f>
        <v/>
      </c>
      <c r="G18" s="119">
        <f>SUBSTITUTE(SUBSTITUTE(SUBSTITUTE(SUBSTITUTE(SUBSTITUTE(SUBSTITUTE(SUBSTITUTE(SUBSTITUTE(SUBSTITUTE(SUBSTITUTE(SUBSTITUTE('設定'!$E$15,"0","０"),"1","１"),"2","２"),"3","３"),"4","４"),"5","５"),"6","６"),"7","７"),"8","８"),"9","９"),":","：")</f>
        <v/>
      </c>
      <c r="H18" s="119">
        <f>SUBSTITUTE(SUBSTITUTE(SUBSTITUTE(SUBSTITUTE(SUBSTITUTE(SUBSTITUTE(SUBSTITUTE(SUBSTITUTE(SUBSTITUTE(SUBSTITUTE(SUBSTITUTE('設定'!$E$16,"0","０"),"1","１"),"2","２"),"3","３"),"4","４"),"5","５"),"6","６"),"7","７"),"8","８"),"9","９"),":","：")</f>
        <v/>
      </c>
      <c r="M18" t="inlineStr">
        <is>
          <t>表示</t>
        </is>
      </c>
    </row>
    <row r="19" ht="20.9" customHeight="1">
      <c r="B19" s="119">
        <f>IFERROR(IF(INDEX('設定'!$I$11:$I$34,1)="","",SUBSTITUTE(SUBSTITUTE(SUBSTITUTE(SUBSTITUTE(SUBSTITUTE(SUBSTITUTE(SUBSTITUTE(SUBSTITUTE(SUBSTITUTE(SUBSTITUTE(SUBSTITUTE(SUBSTITUTE(INDEX('設定'!$I$11:$I$34,1),"〜",""),"0","０"),"1","１"),"2","２"),"3","３"),"4","４"),"5","５"),"6","６"),"7","７"),"8","８"),"9","９"),":","：")),"")</f>
        <v/>
      </c>
      <c r="C19" s="120">
        <f>IFERROR(IF(INDEX('調整・決定'!$C$6:$C$29,1)="","",INDEX('調整・決定'!$C$6:$C$29,1)),"")</f>
        <v/>
      </c>
      <c r="D19" s="120">
        <f>IFERROR(IF(INDEX('調整・決定'!$D$6:$D$29,1)="","",INDEX('調整・決定'!$D$6:$D$29,1)),"")</f>
        <v/>
      </c>
      <c r="E19" s="120">
        <f>IFERROR(IF(INDEX('調整・決定'!$E$6:$E$29,1)="","",INDEX('調整・決定'!$E$6:$E$29,1)),"")</f>
        <v/>
      </c>
      <c r="F19" s="120">
        <f>IFERROR(IF(INDEX('調整・決定'!$F$6:$F$29,1)="","",INDEX('調整・決定'!$F$6:$F$29,1)),"")</f>
        <v/>
      </c>
      <c r="G19" s="120">
        <f>IFERROR(IF(INDEX('調整・決定'!$G$6:$G$29,1)="","",INDEX('調整・決定'!$G$6:$G$29,1)),"")</f>
        <v/>
      </c>
      <c r="H19" s="120">
        <f>IFERROR(IF(INDEX('調整・決定'!$H$6:$H$29,1)="","",INDEX('調整・決定'!$H$6:$H$29,1)),"")</f>
        <v/>
      </c>
      <c r="M19">
        <f>IF(1&lt;=MIN(calcA!$A$3,'設定'!$B$6),"表示","隠す")</f>
        <v/>
      </c>
    </row>
    <row r="20" ht="20.9" customHeight="1">
      <c r="B20" s="119">
        <f>IFERROR(IF(INDEX('設定'!$I$11:$I$34,2)="","",SUBSTITUTE(SUBSTITUTE(SUBSTITUTE(SUBSTITUTE(SUBSTITUTE(SUBSTITUTE(SUBSTITUTE(SUBSTITUTE(SUBSTITUTE(SUBSTITUTE(SUBSTITUTE(SUBSTITUTE(INDEX('設定'!$I$11:$I$34,2),"〜",""),"0","０"),"1","１"),"2","２"),"3","３"),"4","４"),"5","５"),"6","６"),"7","７"),"8","８"),"9","９"),":","：")),"")</f>
        <v/>
      </c>
      <c r="C20" s="120">
        <f>IFERROR(IF(INDEX('調整・決定'!$C$6:$C$29,2)="","",INDEX('調整・決定'!$C$6:$C$29,2)),"")</f>
        <v/>
      </c>
      <c r="D20" s="120">
        <f>IFERROR(IF(INDEX('調整・決定'!$D$6:$D$29,2)="","",INDEX('調整・決定'!$D$6:$D$29,2)),"")</f>
        <v/>
      </c>
      <c r="E20" s="120">
        <f>IFERROR(IF(INDEX('調整・決定'!$E$6:$E$29,2)="","",INDEX('調整・決定'!$E$6:$E$29,2)),"")</f>
        <v/>
      </c>
      <c r="F20" s="120">
        <f>IFERROR(IF(INDEX('調整・決定'!$F$6:$F$29,2)="","",INDEX('調整・決定'!$F$6:$F$29,2)),"")</f>
        <v/>
      </c>
      <c r="G20" s="120">
        <f>IFERROR(IF(INDEX('調整・決定'!$G$6:$G$29,2)="","",INDEX('調整・決定'!$G$6:$G$29,2)),"")</f>
        <v/>
      </c>
      <c r="H20" s="120">
        <f>IFERROR(IF(INDEX('調整・決定'!$H$6:$H$29,2)="","",INDEX('調整・決定'!$H$6:$H$29,2)),"")</f>
        <v/>
      </c>
      <c r="M20">
        <f>IF(2&lt;=MIN(calcA!$A$3,'設定'!$B$6),"表示","隠す")</f>
        <v/>
      </c>
    </row>
    <row r="21" ht="20.9" customHeight="1">
      <c r="B21" s="119">
        <f>IFERROR(IF(INDEX('設定'!$I$11:$I$34,3)="","",SUBSTITUTE(SUBSTITUTE(SUBSTITUTE(SUBSTITUTE(SUBSTITUTE(SUBSTITUTE(SUBSTITUTE(SUBSTITUTE(SUBSTITUTE(SUBSTITUTE(SUBSTITUTE(SUBSTITUTE(INDEX('設定'!$I$11:$I$34,3),"〜",""),"0","０"),"1","１"),"2","２"),"3","３"),"4","４"),"5","５"),"6","６"),"7","７"),"8","８"),"9","９"),":","：")),"")</f>
        <v/>
      </c>
      <c r="C21" s="120">
        <f>IFERROR(IF(INDEX('調整・決定'!$C$6:$C$29,3)="","",INDEX('調整・決定'!$C$6:$C$29,3)),"")</f>
        <v/>
      </c>
      <c r="D21" s="120">
        <f>IFERROR(IF(INDEX('調整・決定'!$D$6:$D$29,3)="","",INDEX('調整・決定'!$D$6:$D$29,3)),"")</f>
        <v/>
      </c>
      <c r="E21" s="120">
        <f>IFERROR(IF(INDEX('調整・決定'!$E$6:$E$29,3)="","",INDEX('調整・決定'!$E$6:$E$29,3)),"")</f>
        <v/>
      </c>
      <c r="F21" s="120">
        <f>IFERROR(IF(INDEX('調整・決定'!$F$6:$F$29,3)="","",INDEX('調整・決定'!$F$6:$F$29,3)),"")</f>
        <v/>
      </c>
      <c r="G21" s="120">
        <f>IFERROR(IF(INDEX('調整・決定'!$G$6:$G$29,3)="","",INDEX('調整・決定'!$G$6:$G$29,3)),"")</f>
        <v/>
      </c>
      <c r="H21" s="120">
        <f>IFERROR(IF(INDEX('調整・決定'!$H$6:$H$29,3)="","",INDEX('調整・決定'!$H$6:$H$29,3)),"")</f>
        <v/>
      </c>
      <c r="M21">
        <f>IF(3&lt;=MIN(calcA!$A$3,'設定'!$B$6),"表示","隠す")</f>
        <v/>
      </c>
    </row>
    <row r="22" ht="20.9" customHeight="1">
      <c r="B22" s="119">
        <f>IFERROR(IF(INDEX('設定'!$I$11:$I$34,4)="","",SUBSTITUTE(SUBSTITUTE(SUBSTITUTE(SUBSTITUTE(SUBSTITUTE(SUBSTITUTE(SUBSTITUTE(SUBSTITUTE(SUBSTITUTE(SUBSTITUTE(SUBSTITUTE(SUBSTITUTE(INDEX('設定'!$I$11:$I$34,4),"〜",""),"0","０"),"1","１"),"2","２"),"3","３"),"4","４"),"5","５"),"6","６"),"7","７"),"8","８"),"9","９"),":","：")),"")</f>
        <v/>
      </c>
      <c r="C22" s="120">
        <f>IFERROR(IF(INDEX('調整・決定'!$C$6:$C$29,4)="","",INDEX('調整・決定'!$C$6:$C$29,4)),"")</f>
        <v/>
      </c>
      <c r="D22" s="120">
        <f>IFERROR(IF(INDEX('調整・決定'!$D$6:$D$29,4)="","",INDEX('調整・決定'!$D$6:$D$29,4)),"")</f>
        <v/>
      </c>
      <c r="E22" s="120">
        <f>IFERROR(IF(INDEX('調整・決定'!$E$6:$E$29,4)="","",INDEX('調整・決定'!$E$6:$E$29,4)),"")</f>
        <v/>
      </c>
      <c r="F22" s="120">
        <f>IFERROR(IF(INDEX('調整・決定'!$F$6:$F$29,4)="","",INDEX('調整・決定'!$F$6:$F$29,4)),"")</f>
        <v/>
      </c>
      <c r="G22" s="120">
        <f>IFERROR(IF(INDEX('調整・決定'!$G$6:$G$29,4)="","",INDEX('調整・決定'!$G$6:$G$29,4)),"")</f>
        <v/>
      </c>
      <c r="H22" s="120">
        <f>IFERROR(IF(INDEX('調整・決定'!$H$6:$H$29,4)="","",INDEX('調整・決定'!$H$6:$H$29,4)),"")</f>
        <v/>
      </c>
      <c r="M22">
        <f>IF(4&lt;=MIN(calcA!$A$3,'設定'!$B$6),"表示","隠す")</f>
        <v/>
      </c>
    </row>
    <row r="23" ht="20.9" customHeight="1">
      <c r="B23" s="119">
        <f>IFERROR(IF(INDEX('設定'!$I$11:$I$34,5)="","",SUBSTITUTE(SUBSTITUTE(SUBSTITUTE(SUBSTITUTE(SUBSTITUTE(SUBSTITUTE(SUBSTITUTE(SUBSTITUTE(SUBSTITUTE(SUBSTITUTE(SUBSTITUTE(SUBSTITUTE(INDEX('設定'!$I$11:$I$34,5),"〜",""),"0","０"),"1","１"),"2","２"),"3","３"),"4","４"),"5","５"),"6","６"),"7","７"),"8","８"),"9","９"),":","：")),"")</f>
        <v/>
      </c>
      <c r="C23" s="120">
        <f>IFERROR(IF(INDEX('調整・決定'!$C$6:$C$29,5)="","",INDEX('調整・決定'!$C$6:$C$29,5)),"")</f>
        <v/>
      </c>
      <c r="D23" s="120">
        <f>IFERROR(IF(INDEX('調整・決定'!$D$6:$D$29,5)="","",INDEX('調整・決定'!$D$6:$D$29,5)),"")</f>
        <v/>
      </c>
      <c r="E23" s="120">
        <f>IFERROR(IF(INDEX('調整・決定'!$E$6:$E$29,5)="","",INDEX('調整・決定'!$E$6:$E$29,5)),"")</f>
        <v/>
      </c>
      <c r="F23" s="120">
        <f>IFERROR(IF(INDEX('調整・決定'!$F$6:$F$29,5)="","",INDEX('調整・決定'!$F$6:$F$29,5)),"")</f>
        <v/>
      </c>
      <c r="G23" s="120">
        <f>IFERROR(IF(INDEX('調整・決定'!$G$6:$G$29,5)="","",INDEX('調整・決定'!$G$6:$G$29,5)),"")</f>
        <v/>
      </c>
      <c r="H23" s="120">
        <f>IFERROR(IF(INDEX('調整・決定'!$H$6:$H$29,5)="","",INDEX('調整・決定'!$H$6:$H$29,5)),"")</f>
        <v/>
      </c>
      <c r="M23">
        <f>IF(5&lt;=MIN(calcA!$A$3,'設定'!$B$6),"表示","隠す")</f>
        <v/>
      </c>
    </row>
    <row r="24" ht="20.9" customHeight="1">
      <c r="B24" s="119">
        <f>IFERROR(IF(INDEX('設定'!$I$11:$I$34,6)="","",SUBSTITUTE(SUBSTITUTE(SUBSTITUTE(SUBSTITUTE(SUBSTITUTE(SUBSTITUTE(SUBSTITUTE(SUBSTITUTE(SUBSTITUTE(SUBSTITUTE(SUBSTITUTE(SUBSTITUTE(INDEX('設定'!$I$11:$I$34,6),"〜",""),"0","０"),"1","１"),"2","２"),"3","３"),"4","４"),"5","５"),"6","６"),"7","７"),"8","８"),"9","９"),":","：")),"")</f>
        <v/>
      </c>
      <c r="C24" s="120">
        <f>IFERROR(IF(INDEX('調整・決定'!$C$6:$C$29,6)="","",INDEX('調整・決定'!$C$6:$C$29,6)),"")</f>
        <v/>
      </c>
      <c r="D24" s="120">
        <f>IFERROR(IF(INDEX('調整・決定'!$D$6:$D$29,6)="","",INDEX('調整・決定'!$D$6:$D$29,6)),"")</f>
        <v/>
      </c>
      <c r="E24" s="120">
        <f>IFERROR(IF(INDEX('調整・決定'!$E$6:$E$29,6)="","",INDEX('調整・決定'!$E$6:$E$29,6)),"")</f>
        <v/>
      </c>
      <c r="F24" s="120">
        <f>IFERROR(IF(INDEX('調整・決定'!$F$6:$F$29,6)="","",INDEX('調整・決定'!$F$6:$F$29,6)),"")</f>
        <v/>
      </c>
      <c r="G24" s="120">
        <f>IFERROR(IF(INDEX('調整・決定'!$G$6:$G$29,6)="","",INDEX('調整・決定'!$G$6:$G$29,6)),"")</f>
        <v/>
      </c>
      <c r="H24" s="120">
        <f>IFERROR(IF(INDEX('調整・決定'!$H$6:$H$29,6)="","",INDEX('調整・決定'!$H$6:$H$29,6)),"")</f>
        <v/>
      </c>
      <c r="M24">
        <f>IF(6&lt;=MIN(calcA!$A$3,'設定'!$B$6),"表示","隠す")</f>
        <v/>
      </c>
    </row>
    <row r="25" ht="20.9" customHeight="1">
      <c r="B25" s="119">
        <f>IFERROR(IF(INDEX('設定'!$I$11:$I$34,7)="","",SUBSTITUTE(SUBSTITUTE(SUBSTITUTE(SUBSTITUTE(SUBSTITUTE(SUBSTITUTE(SUBSTITUTE(SUBSTITUTE(SUBSTITUTE(SUBSTITUTE(SUBSTITUTE(SUBSTITUTE(INDEX('設定'!$I$11:$I$34,7),"〜",""),"0","０"),"1","１"),"2","２"),"3","３"),"4","４"),"5","５"),"6","６"),"7","７"),"8","８"),"9","９"),":","：")),"")</f>
        <v/>
      </c>
      <c r="C25" s="120">
        <f>IFERROR(IF(INDEX('調整・決定'!$C$6:$C$29,7)="","",INDEX('調整・決定'!$C$6:$C$29,7)),"")</f>
        <v/>
      </c>
      <c r="D25" s="120">
        <f>IFERROR(IF(INDEX('調整・決定'!$D$6:$D$29,7)="","",INDEX('調整・決定'!$D$6:$D$29,7)),"")</f>
        <v/>
      </c>
      <c r="E25" s="120">
        <f>IFERROR(IF(INDEX('調整・決定'!$E$6:$E$29,7)="","",INDEX('調整・決定'!$E$6:$E$29,7)),"")</f>
        <v/>
      </c>
      <c r="F25" s="120">
        <f>IFERROR(IF(INDEX('調整・決定'!$F$6:$F$29,7)="","",INDEX('調整・決定'!$F$6:$F$29,7)),"")</f>
        <v/>
      </c>
      <c r="G25" s="120">
        <f>IFERROR(IF(INDEX('調整・決定'!$G$6:$G$29,7)="","",INDEX('調整・決定'!$G$6:$G$29,7)),"")</f>
        <v/>
      </c>
      <c r="H25" s="120">
        <f>IFERROR(IF(INDEX('調整・決定'!$H$6:$H$29,7)="","",INDEX('調整・決定'!$H$6:$H$29,7)),"")</f>
        <v/>
      </c>
      <c r="M25">
        <f>IF(7&lt;=MIN(calcA!$A$3,'設定'!$B$6),"表示","隠す")</f>
        <v/>
      </c>
    </row>
    <row r="26" ht="20.9" customHeight="1">
      <c r="B26" s="119">
        <f>IFERROR(IF(INDEX('設定'!$I$11:$I$34,8)="","",SUBSTITUTE(SUBSTITUTE(SUBSTITUTE(SUBSTITUTE(SUBSTITUTE(SUBSTITUTE(SUBSTITUTE(SUBSTITUTE(SUBSTITUTE(SUBSTITUTE(SUBSTITUTE(SUBSTITUTE(INDEX('設定'!$I$11:$I$34,8),"〜",""),"0","０"),"1","１"),"2","２"),"3","３"),"4","４"),"5","５"),"6","６"),"7","７"),"8","８"),"9","９"),":","：")),"")</f>
        <v/>
      </c>
      <c r="C26" s="120">
        <f>IFERROR(IF(INDEX('調整・決定'!$C$6:$C$29,8)="","",INDEX('調整・決定'!$C$6:$C$29,8)),"")</f>
        <v/>
      </c>
      <c r="D26" s="120">
        <f>IFERROR(IF(INDEX('調整・決定'!$D$6:$D$29,8)="","",INDEX('調整・決定'!$D$6:$D$29,8)),"")</f>
        <v/>
      </c>
      <c r="E26" s="120">
        <f>IFERROR(IF(INDEX('調整・決定'!$E$6:$E$29,8)="","",INDEX('調整・決定'!$E$6:$E$29,8)),"")</f>
        <v/>
      </c>
      <c r="F26" s="120">
        <f>IFERROR(IF(INDEX('調整・決定'!$F$6:$F$29,8)="","",INDEX('調整・決定'!$F$6:$F$29,8)),"")</f>
        <v/>
      </c>
      <c r="G26" s="120">
        <f>IFERROR(IF(INDEX('調整・決定'!$G$6:$G$29,8)="","",INDEX('調整・決定'!$G$6:$G$29,8)),"")</f>
        <v/>
      </c>
      <c r="H26" s="120">
        <f>IFERROR(IF(INDEX('調整・決定'!$H$6:$H$29,8)="","",INDEX('調整・決定'!$H$6:$H$29,8)),"")</f>
        <v/>
      </c>
      <c r="M26">
        <f>IF(8&lt;=MIN(calcA!$A$3,'設定'!$B$6),"表示","隠す")</f>
        <v/>
      </c>
    </row>
    <row r="27" ht="20.9" customHeight="1">
      <c r="B27" s="119">
        <f>IFERROR(IF(INDEX('設定'!$I$11:$I$34,9)="","",SUBSTITUTE(SUBSTITUTE(SUBSTITUTE(SUBSTITUTE(SUBSTITUTE(SUBSTITUTE(SUBSTITUTE(SUBSTITUTE(SUBSTITUTE(SUBSTITUTE(SUBSTITUTE(SUBSTITUTE(INDEX('設定'!$I$11:$I$34,9),"〜",""),"0","０"),"1","１"),"2","２"),"3","３"),"4","４"),"5","５"),"6","６"),"7","７"),"8","８"),"9","９"),":","：")),"")</f>
        <v/>
      </c>
      <c r="C27" s="120">
        <f>IFERROR(IF(INDEX('調整・決定'!$C$6:$C$29,9)="","",INDEX('調整・決定'!$C$6:$C$29,9)),"")</f>
        <v/>
      </c>
      <c r="D27" s="120">
        <f>IFERROR(IF(INDEX('調整・決定'!$D$6:$D$29,9)="","",INDEX('調整・決定'!$D$6:$D$29,9)),"")</f>
        <v/>
      </c>
      <c r="E27" s="120">
        <f>IFERROR(IF(INDEX('調整・決定'!$E$6:$E$29,9)="","",INDEX('調整・決定'!$E$6:$E$29,9)),"")</f>
        <v/>
      </c>
      <c r="F27" s="120">
        <f>IFERROR(IF(INDEX('調整・決定'!$F$6:$F$29,9)="","",INDEX('調整・決定'!$F$6:$F$29,9)),"")</f>
        <v/>
      </c>
      <c r="G27" s="120">
        <f>IFERROR(IF(INDEX('調整・決定'!$G$6:$G$29,9)="","",INDEX('調整・決定'!$G$6:$G$29,9)),"")</f>
        <v/>
      </c>
      <c r="H27" s="120">
        <f>IFERROR(IF(INDEX('調整・決定'!$H$6:$H$29,9)="","",INDEX('調整・決定'!$H$6:$H$29,9)),"")</f>
        <v/>
      </c>
      <c r="M27">
        <f>IF(9&lt;=MIN(calcA!$A$3,'設定'!$B$6),"表示","隠す")</f>
        <v/>
      </c>
    </row>
    <row r="28" hidden="1" ht="20.9" customHeight="1">
      <c r="B28" s="119">
        <f>IFERROR(IF(INDEX('設定'!$I$11:$I$34,10)="","",SUBSTITUTE(SUBSTITUTE(SUBSTITUTE(SUBSTITUTE(SUBSTITUTE(SUBSTITUTE(SUBSTITUTE(SUBSTITUTE(SUBSTITUTE(SUBSTITUTE(SUBSTITUTE(SUBSTITUTE(INDEX('設定'!$I$11:$I$34,10),"〜",""),"0","０"),"1","１"),"2","２"),"3","３"),"4","４"),"5","５"),"6","６"),"7","７"),"8","８"),"9","９"),":","：")),"")</f>
        <v/>
      </c>
      <c r="C28" s="120">
        <f>IFERROR(IF(INDEX('調整・決定'!$C$6:$C$29,10)="","",INDEX('調整・決定'!$C$6:$C$29,10)),"")</f>
        <v/>
      </c>
      <c r="D28" s="120">
        <f>IFERROR(IF(INDEX('調整・決定'!$D$6:$D$29,10)="","",INDEX('調整・決定'!$D$6:$D$29,10)),"")</f>
        <v/>
      </c>
      <c r="E28" s="120">
        <f>IFERROR(IF(INDEX('調整・決定'!$E$6:$E$29,10)="","",INDEX('調整・決定'!$E$6:$E$29,10)),"")</f>
        <v/>
      </c>
      <c r="F28" s="120">
        <f>IFERROR(IF(INDEX('調整・決定'!$F$6:$F$29,10)="","",INDEX('調整・決定'!$F$6:$F$29,10)),"")</f>
        <v/>
      </c>
      <c r="G28" s="120">
        <f>IFERROR(IF(INDEX('調整・決定'!$G$6:$G$29,10)="","",INDEX('調整・決定'!$G$6:$G$29,10)),"")</f>
        <v/>
      </c>
      <c r="H28" s="120">
        <f>IFERROR(IF(INDEX('調整・決定'!$H$6:$H$29,10)="","",INDEX('調整・決定'!$H$6:$H$29,10)),"")</f>
        <v/>
      </c>
      <c r="M28">
        <f>IF(10&lt;=MIN(calcA!$A$3,'設定'!$B$6),"表示","隠す")</f>
        <v/>
      </c>
    </row>
    <row r="29" hidden="1" ht="20.9" customHeight="1">
      <c r="B29" s="119">
        <f>IFERROR(IF(INDEX('設定'!$I$11:$I$34,11)="","",SUBSTITUTE(SUBSTITUTE(SUBSTITUTE(SUBSTITUTE(SUBSTITUTE(SUBSTITUTE(SUBSTITUTE(SUBSTITUTE(SUBSTITUTE(SUBSTITUTE(SUBSTITUTE(SUBSTITUTE(INDEX('設定'!$I$11:$I$34,11),"〜",""),"0","０"),"1","１"),"2","２"),"3","３"),"4","４"),"5","５"),"6","６"),"7","７"),"8","８"),"9","９"),":","：")),"")</f>
        <v/>
      </c>
      <c r="C29" s="120">
        <f>IFERROR(IF(INDEX('調整・決定'!$C$6:$C$29,11)="","",INDEX('調整・決定'!$C$6:$C$29,11)),"")</f>
        <v/>
      </c>
      <c r="D29" s="120">
        <f>IFERROR(IF(INDEX('調整・決定'!$D$6:$D$29,11)="","",INDEX('調整・決定'!$D$6:$D$29,11)),"")</f>
        <v/>
      </c>
      <c r="E29" s="120">
        <f>IFERROR(IF(INDEX('調整・決定'!$E$6:$E$29,11)="","",INDEX('調整・決定'!$E$6:$E$29,11)),"")</f>
        <v/>
      </c>
      <c r="F29" s="120">
        <f>IFERROR(IF(INDEX('調整・決定'!$F$6:$F$29,11)="","",INDEX('調整・決定'!$F$6:$F$29,11)),"")</f>
        <v/>
      </c>
      <c r="G29" s="120">
        <f>IFERROR(IF(INDEX('調整・決定'!$G$6:$G$29,11)="","",INDEX('調整・決定'!$G$6:$G$29,11)),"")</f>
        <v/>
      </c>
      <c r="H29" s="120">
        <f>IFERROR(IF(INDEX('調整・決定'!$H$6:$H$29,11)="","",INDEX('調整・決定'!$H$6:$H$29,11)),"")</f>
        <v/>
      </c>
      <c r="M29">
        <f>IF(11&lt;=MIN(calcA!$A$3,'設定'!$B$6),"表示","隠す")</f>
        <v/>
      </c>
    </row>
    <row r="30" hidden="1" ht="20.9" customHeight="1">
      <c r="B30" s="119">
        <f>IFERROR(IF(INDEX('設定'!$I$11:$I$34,12)="","",SUBSTITUTE(SUBSTITUTE(SUBSTITUTE(SUBSTITUTE(SUBSTITUTE(SUBSTITUTE(SUBSTITUTE(SUBSTITUTE(SUBSTITUTE(SUBSTITUTE(SUBSTITUTE(SUBSTITUTE(INDEX('設定'!$I$11:$I$34,12),"〜",""),"0","０"),"1","１"),"2","２"),"3","３"),"4","４"),"5","５"),"6","６"),"7","７"),"8","８"),"9","９"),":","：")),"")</f>
        <v/>
      </c>
      <c r="C30" s="120">
        <f>IFERROR(IF(INDEX('調整・決定'!$C$6:$C$29,12)="","",INDEX('調整・決定'!$C$6:$C$29,12)),"")</f>
        <v/>
      </c>
      <c r="D30" s="120">
        <f>IFERROR(IF(INDEX('調整・決定'!$D$6:$D$29,12)="","",INDEX('調整・決定'!$D$6:$D$29,12)),"")</f>
        <v/>
      </c>
      <c r="E30" s="120">
        <f>IFERROR(IF(INDEX('調整・決定'!$E$6:$E$29,12)="","",INDEX('調整・決定'!$E$6:$E$29,12)),"")</f>
        <v/>
      </c>
      <c r="F30" s="120">
        <f>IFERROR(IF(INDEX('調整・決定'!$F$6:$F$29,12)="","",INDEX('調整・決定'!$F$6:$F$29,12)),"")</f>
        <v/>
      </c>
      <c r="G30" s="120">
        <f>IFERROR(IF(INDEX('調整・決定'!$G$6:$G$29,12)="","",INDEX('調整・決定'!$G$6:$G$29,12)),"")</f>
        <v/>
      </c>
      <c r="H30" s="120">
        <f>IFERROR(IF(INDEX('調整・決定'!$H$6:$H$29,12)="","",INDEX('調整・決定'!$H$6:$H$29,12)),"")</f>
        <v/>
      </c>
      <c r="M30">
        <f>IF(12&lt;=MIN(calcA!$A$3,'設定'!$B$6),"表示","隠す")</f>
        <v/>
      </c>
    </row>
    <row r="31" hidden="1" ht="20.9" customHeight="1">
      <c r="B31" s="119">
        <f>IFERROR(IF(INDEX('設定'!$I$11:$I$34,13)="","",SUBSTITUTE(SUBSTITUTE(SUBSTITUTE(SUBSTITUTE(SUBSTITUTE(SUBSTITUTE(SUBSTITUTE(SUBSTITUTE(SUBSTITUTE(SUBSTITUTE(SUBSTITUTE(SUBSTITUTE(INDEX('設定'!$I$11:$I$34,13),"〜",""),"0","０"),"1","１"),"2","２"),"3","３"),"4","４"),"5","５"),"6","６"),"7","７"),"8","８"),"9","９"),":","：")),"")</f>
        <v/>
      </c>
      <c r="C31" s="120">
        <f>IFERROR(IF(INDEX('調整・決定'!$C$6:$C$29,13)="","",INDEX('調整・決定'!$C$6:$C$29,13)),"")</f>
        <v/>
      </c>
      <c r="D31" s="120">
        <f>IFERROR(IF(INDEX('調整・決定'!$D$6:$D$29,13)="","",INDEX('調整・決定'!$D$6:$D$29,13)),"")</f>
        <v/>
      </c>
      <c r="E31" s="120">
        <f>IFERROR(IF(INDEX('調整・決定'!$E$6:$E$29,13)="","",INDEX('調整・決定'!$E$6:$E$29,13)),"")</f>
        <v/>
      </c>
      <c r="F31" s="120">
        <f>IFERROR(IF(INDEX('調整・決定'!$F$6:$F$29,13)="","",INDEX('調整・決定'!$F$6:$F$29,13)),"")</f>
        <v/>
      </c>
      <c r="G31" s="120">
        <f>IFERROR(IF(INDEX('調整・決定'!$G$6:$G$29,13)="","",INDEX('調整・決定'!$G$6:$G$29,13)),"")</f>
        <v/>
      </c>
      <c r="H31" s="120">
        <f>IFERROR(IF(INDEX('調整・決定'!$H$6:$H$29,13)="","",INDEX('調整・決定'!$H$6:$H$29,13)),"")</f>
        <v/>
      </c>
      <c r="M31">
        <f>IF(13&lt;=MIN(calcA!$A$3,'設定'!$B$6),"表示","隠す")</f>
        <v/>
      </c>
    </row>
    <row r="32" hidden="1" ht="20.9" customHeight="1">
      <c r="B32" s="119">
        <f>IFERROR(IF(INDEX('設定'!$I$11:$I$34,14)="","",SUBSTITUTE(SUBSTITUTE(SUBSTITUTE(SUBSTITUTE(SUBSTITUTE(SUBSTITUTE(SUBSTITUTE(SUBSTITUTE(SUBSTITUTE(SUBSTITUTE(SUBSTITUTE(SUBSTITUTE(INDEX('設定'!$I$11:$I$34,14),"〜",""),"0","０"),"1","１"),"2","２"),"3","３"),"4","４"),"5","５"),"6","６"),"7","７"),"8","８"),"9","９"),":","：")),"")</f>
        <v/>
      </c>
      <c r="C32" s="120">
        <f>IFERROR(IF(INDEX('調整・決定'!$C$6:$C$29,14)="","",INDEX('調整・決定'!$C$6:$C$29,14)),"")</f>
        <v/>
      </c>
      <c r="D32" s="120">
        <f>IFERROR(IF(INDEX('調整・決定'!$D$6:$D$29,14)="","",INDEX('調整・決定'!$D$6:$D$29,14)),"")</f>
        <v/>
      </c>
      <c r="E32" s="120">
        <f>IFERROR(IF(INDEX('調整・決定'!$E$6:$E$29,14)="","",INDEX('調整・決定'!$E$6:$E$29,14)),"")</f>
        <v/>
      </c>
      <c r="F32" s="120">
        <f>IFERROR(IF(INDEX('調整・決定'!$F$6:$F$29,14)="","",INDEX('調整・決定'!$F$6:$F$29,14)),"")</f>
        <v/>
      </c>
      <c r="G32" s="120">
        <f>IFERROR(IF(INDEX('調整・決定'!$G$6:$G$29,14)="","",INDEX('調整・決定'!$G$6:$G$29,14)),"")</f>
        <v/>
      </c>
      <c r="H32" s="120">
        <f>IFERROR(IF(INDEX('調整・決定'!$H$6:$H$29,14)="","",INDEX('調整・決定'!$H$6:$H$29,14)),"")</f>
        <v/>
      </c>
      <c r="M32">
        <f>IF(14&lt;=MIN(calcA!$A$3,'設定'!$B$6),"表示","隠す")</f>
        <v/>
      </c>
    </row>
    <row r="33" hidden="1" ht="20.9" customHeight="1">
      <c r="B33" s="119">
        <f>IFERROR(IF(INDEX('設定'!$I$11:$I$34,15)="","",SUBSTITUTE(SUBSTITUTE(SUBSTITUTE(SUBSTITUTE(SUBSTITUTE(SUBSTITUTE(SUBSTITUTE(SUBSTITUTE(SUBSTITUTE(SUBSTITUTE(SUBSTITUTE(SUBSTITUTE(INDEX('設定'!$I$11:$I$34,15),"〜",""),"0","０"),"1","１"),"2","２"),"3","３"),"4","４"),"5","５"),"6","６"),"7","７"),"8","８"),"9","９"),":","：")),"")</f>
        <v/>
      </c>
      <c r="C33" s="120">
        <f>IFERROR(IF(INDEX('調整・決定'!$C$6:$C$29,15)="","",INDEX('調整・決定'!$C$6:$C$29,15)),"")</f>
        <v/>
      </c>
      <c r="D33" s="120">
        <f>IFERROR(IF(INDEX('調整・決定'!$D$6:$D$29,15)="","",INDEX('調整・決定'!$D$6:$D$29,15)),"")</f>
        <v/>
      </c>
      <c r="E33" s="120">
        <f>IFERROR(IF(INDEX('調整・決定'!$E$6:$E$29,15)="","",INDEX('調整・決定'!$E$6:$E$29,15)),"")</f>
        <v/>
      </c>
      <c r="F33" s="120">
        <f>IFERROR(IF(INDEX('調整・決定'!$F$6:$F$29,15)="","",INDEX('調整・決定'!$F$6:$F$29,15)),"")</f>
        <v/>
      </c>
      <c r="G33" s="120">
        <f>IFERROR(IF(INDEX('調整・決定'!$G$6:$G$29,15)="","",INDEX('調整・決定'!$G$6:$G$29,15)),"")</f>
        <v/>
      </c>
      <c r="H33" s="120">
        <f>IFERROR(IF(INDEX('調整・決定'!$H$6:$H$29,15)="","",INDEX('調整・決定'!$H$6:$H$29,15)),"")</f>
        <v/>
      </c>
      <c r="M33">
        <f>IF(15&lt;=MIN(calcA!$A$3,'設定'!$B$6),"表示","隠す")</f>
        <v/>
      </c>
    </row>
    <row r="34" hidden="1" ht="20.9" customHeight="1">
      <c r="B34" s="119">
        <f>IFERROR(IF(INDEX('設定'!$I$11:$I$34,16)="","",SUBSTITUTE(SUBSTITUTE(SUBSTITUTE(SUBSTITUTE(SUBSTITUTE(SUBSTITUTE(SUBSTITUTE(SUBSTITUTE(SUBSTITUTE(SUBSTITUTE(SUBSTITUTE(SUBSTITUTE(INDEX('設定'!$I$11:$I$34,16),"〜",""),"0","０"),"1","１"),"2","２"),"3","３"),"4","４"),"5","５"),"6","６"),"7","７"),"8","８"),"9","９"),":","：")),"")</f>
        <v/>
      </c>
      <c r="C34" s="120">
        <f>IFERROR(IF(INDEX('調整・決定'!$C$6:$C$29,16)="","",INDEX('調整・決定'!$C$6:$C$29,16)),"")</f>
        <v/>
      </c>
      <c r="D34" s="120">
        <f>IFERROR(IF(INDEX('調整・決定'!$D$6:$D$29,16)="","",INDEX('調整・決定'!$D$6:$D$29,16)),"")</f>
        <v/>
      </c>
      <c r="E34" s="120">
        <f>IFERROR(IF(INDEX('調整・決定'!$E$6:$E$29,16)="","",INDEX('調整・決定'!$E$6:$E$29,16)),"")</f>
        <v/>
      </c>
      <c r="F34" s="120">
        <f>IFERROR(IF(INDEX('調整・決定'!$F$6:$F$29,16)="","",INDEX('調整・決定'!$F$6:$F$29,16)),"")</f>
        <v/>
      </c>
      <c r="G34" s="120">
        <f>IFERROR(IF(INDEX('調整・決定'!$G$6:$G$29,16)="","",INDEX('調整・決定'!$G$6:$G$29,16)),"")</f>
        <v/>
      </c>
      <c r="H34" s="120">
        <f>IFERROR(IF(INDEX('調整・決定'!$H$6:$H$29,16)="","",INDEX('調整・決定'!$H$6:$H$29,16)),"")</f>
        <v/>
      </c>
      <c r="M34">
        <f>IF(16&lt;=MIN(calcA!$A$3,'設定'!$B$6),"表示","隠す")</f>
        <v/>
      </c>
    </row>
    <row r="35" hidden="1" ht="20.9" customHeight="1">
      <c r="B35" s="119">
        <f>IFERROR(IF(INDEX('設定'!$I$11:$I$34,17)="","",SUBSTITUTE(SUBSTITUTE(SUBSTITUTE(SUBSTITUTE(SUBSTITUTE(SUBSTITUTE(SUBSTITUTE(SUBSTITUTE(SUBSTITUTE(SUBSTITUTE(SUBSTITUTE(SUBSTITUTE(INDEX('設定'!$I$11:$I$34,17),"〜",""),"0","０"),"1","１"),"2","２"),"3","３"),"4","４"),"5","５"),"6","６"),"7","７"),"8","８"),"9","９"),":","：")),"")</f>
        <v/>
      </c>
      <c r="C35" s="120">
        <f>IFERROR(IF(INDEX('調整・決定'!$C$6:$C$29,17)="","",INDEX('調整・決定'!$C$6:$C$29,17)),"")</f>
        <v/>
      </c>
      <c r="D35" s="120">
        <f>IFERROR(IF(INDEX('調整・決定'!$D$6:$D$29,17)="","",INDEX('調整・決定'!$D$6:$D$29,17)),"")</f>
        <v/>
      </c>
      <c r="E35" s="120">
        <f>IFERROR(IF(INDEX('調整・決定'!$E$6:$E$29,17)="","",INDEX('調整・決定'!$E$6:$E$29,17)),"")</f>
        <v/>
      </c>
      <c r="F35" s="120">
        <f>IFERROR(IF(INDEX('調整・決定'!$F$6:$F$29,17)="","",INDEX('調整・決定'!$F$6:$F$29,17)),"")</f>
        <v/>
      </c>
      <c r="G35" s="120">
        <f>IFERROR(IF(INDEX('調整・決定'!$G$6:$G$29,17)="","",INDEX('調整・決定'!$G$6:$G$29,17)),"")</f>
        <v/>
      </c>
      <c r="H35" s="120">
        <f>IFERROR(IF(INDEX('調整・決定'!$H$6:$H$29,17)="","",INDEX('調整・決定'!$H$6:$H$29,17)),"")</f>
        <v/>
      </c>
      <c r="M35">
        <f>IF(17&lt;=MIN(calcA!$A$3,'設定'!$B$6),"表示","隠す")</f>
        <v/>
      </c>
    </row>
    <row r="36" hidden="1" ht="20.9" customHeight="1">
      <c r="B36" s="119">
        <f>IFERROR(IF(INDEX('設定'!$I$11:$I$34,18)="","",SUBSTITUTE(SUBSTITUTE(SUBSTITUTE(SUBSTITUTE(SUBSTITUTE(SUBSTITUTE(SUBSTITUTE(SUBSTITUTE(SUBSTITUTE(SUBSTITUTE(SUBSTITUTE(SUBSTITUTE(INDEX('設定'!$I$11:$I$34,18),"〜",""),"0","０"),"1","１"),"2","２"),"3","３"),"4","４"),"5","５"),"6","６"),"7","７"),"8","８"),"9","９"),":","：")),"")</f>
        <v/>
      </c>
      <c r="C36" s="120">
        <f>IFERROR(IF(INDEX('調整・決定'!$C$6:$C$29,18)="","",INDEX('調整・決定'!$C$6:$C$29,18)),"")</f>
        <v/>
      </c>
      <c r="D36" s="120">
        <f>IFERROR(IF(INDEX('調整・決定'!$D$6:$D$29,18)="","",INDEX('調整・決定'!$D$6:$D$29,18)),"")</f>
        <v/>
      </c>
      <c r="E36" s="120">
        <f>IFERROR(IF(INDEX('調整・決定'!$E$6:$E$29,18)="","",INDEX('調整・決定'!$E$6:$E$29,18)),"")</f>
        <v/>
      </c>
      <c r="F36" s="120">
        <f>IFERROR(IF(INDEX('調整・決定'!$F$6:$F$29,18)="","",INDEX('調整・決定'!$F$6:$F$29,18)),"")</f>
        <v/>
      </c>
      <c r="G36" s="120">
        <f>IFERROR(IF(INDEX('調整・決定'!$G$6:$G$29,18)="","",INDEX('調整・決定'!$G$6:$G$29,18)),"")</f>
        <v/>
      </c>
      <c r="H36" s="120">
        <f>IFERROR(IF(INDEX('調整・決定'!$H$6:$H$29,18)="","",INDEX('調整・決定'!$H$6:$H$29,18)),"")</f>
        <v/>
      </c>
      <c r="M36">
        <f>IF(18&lt;=MIN(calcA!$A$3,'設定'!$B$6),"表示","隠す")</f>
        <v/>
      </c>
    </row>
    <row r="37" hidden="1" ht="20.9" customHeight="1">
      <c r="B37" s="119">
        <f>IFERROR(IF(INDEX('設定'!$I$11:$I$34,19)="","",SUBSTITUTE(SUBSTITUTE(SUBSTITUTE(SUBSTITUTE(SUBSTITUTE(SUBSTITUTE(SUBSTITUTE(SUBSTITUTE(SUBSTITUTE(SUBSTITUTE(SUBSTITUTE(SUBSTITUTE(INDEX('設定'!$I$11:$I$34,19),"〜",""),"0","０"),"1","１"),"2","２"),"3","３"),"4","４"),"5","５"),"6","６"),"7","７"),"8","８"),"9","９"),":","：")),"")</f>
        <v/>
      </c>
      <c r="C37" s="120">
        <f>IFERROR(IF(INDEX('調整・決定'!$C$6:$C$29,19)="","",INDEX('調整・決定'!$C$6:$C$29,19)),"")</f>
        <v/>
      </c>
      <c r="D37" s="120">
        <f>IFERROR(IF(INDEX('調整・決定'!$D$6:$D$29,19)="","",INDEX('調整・決定'!$D$6:$D$29,19)),"")</f>
        <v/>
      </c>
      <c r="E37" s="120">
        <f>IFERROR(IF(INDEX('調整・決定'!$E$6:$E$29,19)="","",INDEX('調整・決定'!$E$6:$E$29,19)),"")</f>
        <v/>
      </c>
      <c r="F37" s="120">
        <f>IFERROR(IF(INDEX('調整・決定'!$F$6:$F$29,19)="","",INDEX('調整・決定'!$F$6:$F$29,19)),"")</f>
        <v/>
      </c>
      <c r="G37" s="120">
        <f>IFERROR(IF(INDEX('調整・決定'!$G$6:$G$29,19)="","",INDEX('調整・決定'!$G$6:$G$29,19)),"")</f>
        <v/>
      </c>
      <c r="H37" s="120">
        <f>IFERROR(IF(INDEX('調整・決定'!$H$6:$H$29,19)="","",INDEX('調整・決定'!$H$6:$H$29,19)),"")</f>
        <v/>
      </c>
      <c r="M37">
        <f>IF(19&lt;=MIN(calcA!$A$3,'設定'!$B$6),"表示","隠す")</f>
        <v/>
      </c>
    </row>
    <row r="38" hidden="1" ht="20.9" customHeight="1">
      <c r="B38" s="119">
        <f>IFERROR(IF(INDEX('設定'!$I$11:$I$34,20)="","",SUBSTITUTE(SUBSTITUTE(SUBSTITUTE(SUBSTITUTE(SUBSTITUTE(SUBSTITUTE(SUBSTITUTE(SUBSTITUTE(SUBSTITUTE(SUBSTITUTE(SUBSTITUTE(SUBSTITUTE(INDEX('設定'!$I$11:$I$34,20),"〜",""),"0","０"),"1","１"),"2","２"),"3","３"),"4","４"),"5","５"),"6","６"),"7","７"),"8","８"),"9","９"),":","：")),"")</f>
        <v/>
      </c>
      <c r="C38" s="120">
        <f>IFERROR(IF(INDEX('調整・決定'!$C$6:$C$29,20)="","",INDEX('調整・決定'!$C$6:$C$29,20)),"")</f>
        <v/>
      </c>
      <c r="D38" s="120">
        <f>IFERROR(IF(INDEX('調整・決定'!$D$6:$D$29,20)="","",INDEX('調整・決定'!$D$6:$D$29,20)),"")</f>
        <v/>
      </c>
      <c r="E38" s="120">
        <f>IFERROR(IF(INDEX('調整・決定'!$E$6:$E$29,20)="","",INDEX('調整・決定'!$E$6:$E$29,20)),"")</f>
        <v/>
      </c>
      <c r="F38" s="120">
        <f>IFERROR(IF(INDEX('調整・決定'!$F$6:$F$29,20)="","",INDEX('調整・決定'!$F$6:$F$29,20)),"")</f>
        <v/>
      </c>
      <c r="G38" s="120">
        <f>IFERROR(IF(INDEX('調整・決定'!$G$6:$G$29,20)="","",INDEX('調整・決定'!$G$6:$G$29,20)),"")</f>
        <v/>
      </c>
      <c r="H38" s="120">
        <f>IFERROR(IF(INDEX('調整・決定'!$H$6:$H$29,20)="","",INDEX('調整・決定'!$H$6:$H$29,20)),"")</f>
        <v/>
      </c>
      <c r="M38">
        <f>IF(20&lt;=MIN(calcA!$A$3,'設定'!$B$6),"表示","隠す")</f>
        <v/>
      </c>
    </row>
    <row r="39" hidden="1" ht="20.9" customHeight="1">
      <c r="B39" s="119">
        <f>IFERROR(IF(INDEX('設定'!$I$11:$I$34,21)="","",SUBSTITUTE(SUBSTITUTE(SUBSTITUTE(SUBSTITUTE(SUBSTITUTE(SUBSTITUTE(SUBSTITUTE(SUBSTITUTE(SUBSTITUTE(SUBSTITUTE(SUBSTITUTE(SUBSTITUTE(INDEX('設定'!$I$11:$I$34,21),"〜",""),"0","０"),"1","１"),"2","２"),"3","３"),"4","４"),"5","５"),"6","６"),"7","７"),"8","８"),"9","９"),":","：")),"")</f>
        <v/>
      </c>
      <c r="C39" s="120">
        <f>IFERROR(IF(INDEX('調整・決定'!$C$6:$C$29,21)="","",INDEX('調整・決定'!$C$6:$C$29,21)),"")</f>
        <v/>
      </c>
      <c r="D39" s="120">
        <f>IFERROR(IF(INDEX('調整・決定'!$D$6:$D$29,21)="","",INDEX('調整・決定'!$D$6:$D$29,21)),"")</f>
        <v/>
      </c>
      <c r="E39" s="120">
        <f>IFERROR(IF(INDEX('調整・決定'!$E$6:$E$29,21)="","",INDEX('調整・決定'!$E$6:$E$29,21)),"")</f>
        <v/>
      </c>
      <c r="F39" s="120">
        <f>IFERROR(IF(INDEX('調整・決定'!$F$6:$F$29,21)="","",INDEX('調整・決定'!$F$6:$F$29,21)),"")</f>
        <v/>
      </c>
      <c r="G39" s="120">
        <f>IFERROR(IF(INDEX('調整・決定'!$G$6:$G$29,21)="","",INDEX('調整・決定'!$G$6:$G$29,21)),"")</f>
        <v/>
      </c>
      <c r="H39" s="120">
        <f>IFERROR(IF(INDEX('調整・決定'!$H$6:$H$29,21)="","",INDEX('調整・決定'!$H$6:$H$29,21)),"")</f>
        <v/>
      </c>
      <c r="M39">
        <f>IF(21&lt;=MIN(calcA!$A$3,'設定'!$B$6),"表示","隠す")</f>
        <v/>
      </c>
    </row>
    <row r="40" hidden="1" ht="20.9" customHeight="1">
      <c r="B40" s="119">
        <f>IFERROR(IF(INDEX('設定'!$I$11:$I$34,22)="","",SUBSTITUTE(SUBSTITUTE(SUBSTITUTE(SUBSTITUTE(SUBSTITUTE(SUBSTITUTE(SUBSTITUTE(SUBSTITUTE(SUBSTITUTE(SUBSTITUTE(SUBSTITUTE(SUBSTITUTE(INDEX('設定'!$I$11:$I$34,22),"〜",""),"0","０"),"1","１"),"2","２"),"3","３"),"4","４"),"5","５"),"6","６"),"7","７"),"8","８"),"9","９"),":","：")),"")</f>
        <v/>
      </c>
      <c r="C40" s="120">
        <f>IFERROR(IF(INDEX('調整・決定'!$C$6:$C$29,22)="","",INDEX('調整・決定'!$C$6:$C$29,22)),"")</f>
        <v/>
      </c>
      <c r="D40" s="120">
        <f>IFERROR(IF(INDEX('調整・決定'!$D$6:$D$29,22)="","",INDEX('調整・決定'!$D$6:$D$29,22)),"")</f>
        <v/>
      </c>
      <c r="E40" s="120">
        <f>IFERROR(IF(INDEX('調整・決定'!$E$6:$E$29,22)="","",INDEX('調整・決定'!$E$6:$E$29,22)),"")</f>
        <v/>
      </c>
      <c r="F40" s="120">
        <f>IFERROR(IF(INDEX('調整・決定'!$F$6:$F$29,22)="","",INDEX('調整・決定'!$F$6:$F$29,22)),"")</f>
        <v/>
      </c>
      <c r="G40" s="120">
        <f>IFERROR(IF(INDEX('調整・決定'!$G$6:$G$29,22)="","",INDEX('調整・決定'!$G$6:$G$29,22)),"")</f>
        <v/>
      </c>
      <c r="H40" s="120">
        <f>IFERROR(IF(INDEX('調整・決定'!$H$6:$H$29,22)="","",INDEX('調整・決定'!$H$6:$H$29,22)),"")</f>
        <v/>
      </c>
      <c r="M40">
        <f>IF(22&lt;=MIN(calcA!$A$3,'設定'!$B$6),"表示","隠す")</f>
        <v/>
      </c>
    </row>
    <row r="41" hidden="1" ht="20.9" customHeight="1">
      <c r="B41" s="119">
        <f>IFERROR(IF(INDEX('設定'!$I$11:$I$34,23)="","",SUBSTITUTE(SUBSTITUTE(SUBSTITUTE(SUBSTITUTE(SUBSTITUTE(SUBSTITUTE(SUBSTITUTE(SUBSTITUTE(SUBSTITUTE(SUBSTITUTE(SUBSTITUTE(SUBSTITUTE(INDEX('設定'!$I$11:$I$34,23),"〜",""),"0","０"),"1","１"),"2","２"),"3","３"),"4","４"),"5","５"),"6","６"),"7","７"),"8","８"),"9","９"),":","：")),"")</f>
        <v/>
      </c>
      <c r="C41" s="120">
        <f>IFERROR(IF(INDEX('調整・決定'!$C$6:$C$29,23)="","",INDEX('調整・決定'!$C$6:$C$29,23)),"")</f>
        <v/>
      </c>
      <c r="D41" s="120">
        <f>IFERROR(IF(INDEX('調整・決定'!$D$6:$D$29,23)="","",INDEX('調整・決定'!$D$6:$D$29,23)),"")</f>
        <v/>
      </c>
      <c r="E41" s="120">
        <f>IFERROR(IF(INDEX('調整・決定'!$E$6:$E$29,23)="","",INDEX('調整・決定'!$E$6:$E$29,23)),"")</f>
        <v/>
      </c>
      <c r="F41" s="120">
        <f>IFERROR(IF(INDEX('調整・決定'!$F$6:$F$29,23)="","",INDEX('調整・決定'!$F$6:$F$29,23)),"")</f>
        <v/>
      </c>
      <c r="G41" s="120">
        <f>IFERROR(IF(INDEX('調整・決定'!$G$6:$G$29,23)="","",INDEX('調整・決定'!$G$6:$G$29,23)),"")</f>
        <v/>
      </c>
      <c r="H41" s="120">
        <f>IFERROR(IF(INDEX('調整・決定'!$H$6:$H$29,23)="","",INDEX('調整・決定'!$H$6:$H$29,23)),"")</f>
        <v/>
      </c>
      <c r="M41">
        <f>IF(23&lt;=MIN(calcA!$A$3,'設定'!$B$6),"表示","隠す")</f>
        <v/>
      </c>
    </row>
    <row r="42" hidden="1" ht="20.9" customHeight="1">
      <c r="B42" s="119">
        <f>IFERROR(IF(INDEX('設定'!$I$11:$I$34,24)="","",SUBSTITUTE(SUBSTITUTE(SUBSTITUTE(SUBSTITUTE(SUBSTITUTE(SUBSTITUTE(SUBSTITUTE(SUBSTITUTE(SUBSTITUTE(SUBSTITUTE(SUBSTITUTE(SUBSTITUTE(INDEX('設定'!$I$11:$I$34,24),"〜",""),"0","０"),"1","１"),"2","２"),"3","３"),"4","４"),"5","５"),"6","６"),"7","７"),"8","８"),"9","９"),":","：")),"")</f>
        <v/>
      </c>
      <c r="C42" s="120">
        <f>IFERROR(IF(INDEX('調整・決定'!$C$6:$C$29,24)="","",INDEX('調整・決定'!$C$6:$C$29,24)),"")</f>
        <v/>
      </c>
      <c r="D42" s="120">
        <f>IFERROR(IF(INDEX('調整・決定'!$D$6:$D$29,24)="","",INDEX('調整・決定'!$D$6:$D$29,24)),"")</f>
        <v/>
      </c>
      <c r="E42" s="120">
        <f>IFERROR(IF(INDEX('調整・決定'!$E$6:$E$29,24)="","",INDEX('調整・決定'!$E$6:$E$29,24)),"")</f>
        <v/>
      </c>
      <c r="F42" s="120">
        <f>IFERROR(IF(INDEX('調整・決定'!$F$6:$F$29,24)="","",INDEX('調整・決定'!$F$6:$F$29,24)),"")</f>
        <v/>
      </c>
      <c r="G42" s="120">
        <f>IFERROR(IF(INDEX('調整・決定'!$G$6:$G$29,24)="","",INDEX('調整・決定'!$G$6:$G$29,24)),"")</f>
        <v/>
      </c>
      <c r="H42" s="120">
        <f>IFERROR(IF(INDEX('調整・決定'!$H$6:$H$29,24)="","",INDEX('調整・決定'!$H$6:$H$29,24)),"")</f>
        <v/>
      </c>
      <c r="M42">
        <f>IF(24&lt;=MIN(calcA!$A$3,'設定'!$B$6),"表示","隠す")</f>
        <v/>
      </c>
    </row>
    <row r="43" hidden="1" ht="2.5" customHeight="1">
      <c r="M43">
        <f>IF('設定'!$B$6&gt;MIN(calcA!$A$3,'設定'!$B$6),"表示","隠す")</f>
        <v/>
      </c>
    </row>
    <row r="44" hidden="1" ht="20.9" customHeight="1">
      <c r="B44" s="119">
        <f>IFERROR(IF(INDEX('設定'!$I$11:$I$34,MIN(calcA!$A$3,'設定'!$B$6)+1)="","",SUBSTITUTE(SUBSTITUTE(SUBSTITUTE(SUBSTITUTE(SUBSTITUTE(SUBSTITUTE(SUBSTITUTE(SUBSTITUTE(SUBSTITUTE(SUBSTITUTE(SUBSTITUTE(SUBSTITUTE(INDEX('設定'!$I$11:$I$34,MIN(calcA!$A$3,'設定'!$B$6)+1),"〜",""),"0","０"),"1","１"),"2","２"),"3","３"),"4","４"),"5","５"),"6","６"),"7","７"),"8","８"),"9","９"),":","：")),"")</f>
        <v/>
      </c>
      <c r="C44" s="120">
        <f>IFERROR(IF(INDEX('調整・決定'!$C$6:$C$29,MIN(calcA!$A$3,'設定'!$B$6)+1)="","",INDEX('調整・決定'!$C$6:$C$29,MIN(calcA!$A$3,'設定'!$B$6)+1)),"")</f>
        <v/>
      </c>
      <c r="D44" s="120">
        <f>IFERROR(IF(INDEX('調整・決定'!$D$6:$D$29,MIN(calcA!$A$3,'設定'!$B$6)+1)="","",INDEX('調整・決定'!$D$6:$D$29,MIN(calcA!$A$3,'設定'!$B$6)+1)),"")</f>
        <v/>
      </c>
      <c r="E44" s="120">
        <f>IFERROR(IF(INDEX('調整・決定'!$E$6:$E$29,MIN(calcA!$A$3,'設定'!$B$6)+1)="","",INDEX('調整・決定'!$E$6:$E$29,MIN(calcA!$A$3,'設定'!$B$6)+1)),"")</f>
        <v/>
      </c>
      <c r="F44" s="120">
        <f>IFERROR(IF(INDEX('調整・決定'!$F$6:$F$29,MIN(calcA!$A$3,'設定'!$B$6)+1)="","",INDEX('調整・決定'!$F$6:$F$29,MIN(calcA!$A$3,'設定'!$B$6)+1)),"")</f>
        <v/>
      </c>
      <c r="G44" s="120">
        <f>IFERROR(IF(INDEX('調整・決定'!$G$6:$G$29,MIN(calcA!$A$3,'設定'!$B$6)+1)="","",INDEX('調整・決定'!$G$6:$G$29,MIN(calcA!$A$3,'設定'!$B$6)+1)),"")</f>
        <v/>
      </c>
      <c r="H44" s="120">
        <f>IFERROR(IF(INDEX('調整・決定'!$H$6:$H$29,MIN(calcA!$A$3,'設定'!$B$6)+1)="","",INDEX('調整・決定'!$H$6:$H$29,MIN(calcA!$A$3,'設定'!$B$6)+1)),"")</f>
        <v/>
      </c>
      <c r="M44">
        <f>IF(MIN(calcA!$A$3,'設定'!$B$6)+1&lt;='設定'!$B$6,"表示","隠す")</f>
        <v/>
      </c>
    </row>
    <row r="45" hidden="1" ht="20.9" customHeight="1">
      <c r="B45" s="119">
        <f>IFERROR(IF(INDEX('設定'!$I$11:$I$34,MIN(calcA!$A$3,'設定'!$B$6)+2)="","",SUBSTITUTE(SUBSTITUTE(SUBSTITUTE(SUBSTITUTE(SUBSTITUTE(SUBSTITUTE(SUBSTITUTE(SUBSTITUTE(SUBSTITUTE(SUBSTITUTE(SUBSTITUTE(SUBSTITUTE(INDEX('設定'!$I$11:$I$34,MIN(calcA!$A$3,'設定'!$B$6)+2),"〜",""),"0","０"),"1","１"),"2","２"),"3","３"),"4","４"),"5","５"),"6","６"),"7","７"),"8","８"),"9","９"),":","：")),"")</f>
        <v/>
      </c>
      <c r="C45" s="120">
        <f>IFERROR(IF(INDEX('調整・決定'!$C$6:$C$29,MIN(calcA!$A$3,'設定'!$B$6)+2)="","",INDEX('調整・決定'!$C$6:$C$29,MIN(calcA!$A$3,'設定'!$B$6)+2)),"")</f>
        <v/>
      </c>
      <c r="D45" s="120">
        <f>IFERROR(IF(INDEX('調整・決定'!$D$6:$D$29,MIN(calcA!$A$3,'設定'!$B$6)+2)="","",INDEX('調整・決定'!$D$6:$D$29,MIN(calcA!$A$3,'設定'!$B$6)+2)),"")</f>
        <v/>
      </c>
      <c r="E45" s="120">
        <f>IFERROR(IF(INDEX('調整・決定'!$E$6:$E$29,MIN(calcA!$A$3,'設定'!$B$6)+2)="","",INDEX('調整・決定'!$E$6:$E$29,MIN(calcA!$A$3,'設定'!$B$6)+2)),"")</f>
        <v/>
      </c>
      <c r="F45" s="120">
        <f>IFERROR(IF(INDEX('調整・決定'!$F$6:$F$29,MIN(calcA!$A$3,'設定'!$B$6)+2)="","",INDEX('調整・決定'!$F$6:$F$29,MIN(calcA!$A$3,'設定'!$B$6)+2)),"")</f>
        <v/>
      </c>
      <c r="G45" s="120">
        <f>IFERROR(IF(INDEX('調整・決定'!$G$6:$G$29,MIN(calcA!$A$3,'設定'!$B$6)+2)="","",INDEX('調整・決定'!$G$6:$G$29,MIN(calcA!$A$3,'設定'!$B$6)+2)),"")</f>
        <v/>
      </c>
      <c r="H45" s="120">
        <f>IFERROR(IF(INDEX('調整・決定'!$H$6:$H$29,MIN(calcA!$A$3,'設定'!$B$6)+2)="","",INDEX('調整・決定'!$H$6:$H$29,MIN(calcA!$A$3,'設定'!$B$6)+2)),"")</f>
        <v/>
      </c>
      <c r="M45">
        <f>IF(MIN(calcA!$A$3,'設定'!$B$6)+2&lt;='設定'!$B$6,"表示","隠す")</f>
        <v/>
      </c>
    </row>
    <row r="46" hidden="1" ht="20.9" customHeight="1">
      <c r="B46" s="119">
        <f>IFERROR(IF(INDEX('設定'!$I$11:$I$34,MIN(calcA!$A$3,'設定'!$B$6)+3)="","",SUBSTITUTE(SUBSTITUTE(SUBSTITUTE(SUBSTITUTE(SUBSTITUTE(SUBSTITUTE(SUBSTITUTE(SUBSTITUTE(SUBSTITUTE(SUBSTITUTE(SUBSTITUTE(SUBSTITUTE(INDEX('設定'!$I$11:$I$34,MIN(calcA!$A$3,'設定'!$B$6)+3),"〜",""),"0","０"),"1","１"),"2","２"),"3","３"),"4","４"),"5","５"),"6","６"),"7","７"),"8","８"),"9","９"),":","：")),"")</f>
        <v/>
      </c>
      <c r="C46" s="120">
        <f>IFERROR(IF(INDEX('調整・決定'!$C$6:$C$29,MIN(calcA!$A$3,'設定'!$B$6)+3)="","",INDEX('調整・決定'!$C$6:$C$29,MIN(calcA!$A$3,'設定'!$B$6)+3)),"")</f>
        <v/>
      </c>
      <c r="D46" s="120">
        <f>IFERROR(IF(INDEX('調整・決定'!$D$6:$D$29,MIN(calcA!$A$3,'設定'!$B$6)+3)="","",INDEX('調整・決定'!$D$6:$D$29,MIN(calcA!$A$3,'設定'!$B$6)+3)),"")</f>
        <v/>
      </c>
      <c r="E46" s="120">
        <f>IFERROR(IF(INDEX('調整・決定'!$E$6:$E$29,MIN(calcA!$A$3,'設定'!$B$6)+3)="","",INDEX('調整・決定'!$E$6:$E$29,MIN(calcA!$A$3,'設定'!$B$6)+3)),"")</f>
        <v/>
      </c>
      <c r="F46" s="120">
        <f>IFERROR(IF(INDEX('調整・決定'!$F$6:$F$29,MIN(calcA!$A$3,'設定'!$B$6)+3)="","",INDEX('調整・決定'!$F$6:$F$29,MIN(calcA!$A$3,'設定'!$B$6)+3)),"")</f>
        <v/>
      </c>
      <c r="G46" s="120">
        <f>IFERROR(IF(INDEX('調整・決定'!$G$6:$G$29,MIN(calcA!$A$3,'設定'!$B$6)+3)="","",INDEX('調整・決定'!$G$6:$G$29,MIN(calcA!$A$3,'設定'!$B$6)+3)),"")</f>
        <v/>
      </c>
      <c r="H46" s="120">
        <f>IFERROR(IF(INDEX('調整・決定'!$H$6:$H$29,MIN(calcA!$A$3,'設定'!$B$6)+3)="","",INDEX('調整・決定'!$H$6:$H$29,MIN(calcA!$A$3,'設定'!$B$6)+3)),"")</f>
        <v/>
      </c>
      <c r="M46">
        <f>IF(MIN(calcA!$A$3,'設定'!$B$6)+3&lt;='設定'!$B$6,"表示","隠す")</f>
        <v/>
      </c>
    </row>
    <row r="47" hidden="1" ht="20.9" customHeight="1">
      <c r="B47" s="119">
        <f>IFERROR(IF(INDEX('設定'!$I$11:$I$34,MIN(calcA!$A$3,'設定'!$B$6)+4)="","",SUBSTITUTE(SUBSTITUTE(SUBSTITUTE(SUBSTITUTE(SUBSTITUTE(SUBSTITUTE(SUBSTITUTE(SUBSTITUTE(SUBSTITUTE(SUBSTITUTE(SUBSTITUTE(SUBSTITUTE(INDEX('設定'!$I$11:$I$34,MIN(calcA!$A$3,'設定'!$B$6)+4),"〜",""),"0","０"),"1","１"),"2","２"),"3","３"),"4","４"),"5","５"),"6","６"),"7","７"),"8","８"),"9","９"),":","：")),"")</f>
        <v/>
      </c>
      <c r="C47" s="120">
        <f>IFERROR(IF(INDEX('調整・決定'!$C$6:$C$29,MIN(calcA!$A$3,'設定'!$B$6)+4)="","",INDEX('調整・決定'!$C$6:$C$29,MIN(calcA!$A$3,'設定'!$B$6)+4)),"")</f>
        <v/>
      </c>
      <c r="D47" s="120">
        <f>IFERROR(IF(INDEX('調整・決定'!$D$6:$D$29,MIN(calcA!$A$3,'設定'!$B$6)+4)="","",INDEX('調整・決定'!$D$6:$D$29,MIN(calcA!$A$3,'設定'!$B$6)+4)),"")</f>
        <v/>
      </c>
      <c r="E47" s="120">
        <f>IFERROR(IF(INDEX('調整・決定'!$E$6:$E$29,MIN(calcA!$A$3,'設定'!$B$6)+4)="","",INDEX('調整・決定'!$E$6:$E$29,MIN(calcA!$A$3,'設定'!$B$6)+4)),"")</f>
        <v/>
      </c>
      <c r="F47" s="120">
        <f>IFERROR(IF(INDEX('調整・決定'!$F$6:$F$29,MIN(calcA!$A$3,'設定'!$B$6)+4)="","",INDEX('調整・決定'!$F$6:$F$29,MIN(calcA!$A$3,'設定'!$B$6)+4)),"")</f>
        <v/>
      </c>
      <c r="G47" s="120">
        <f>IFERROR(IF(INDEX('調整・決定'!$G$6:$G$29,MIN(calcA!$A$3,'設定'!$B$6)+4)="","",INDEX('調整・決定'!$G$6:$G$29,MIN(calcA!$A$3,'設定'!$B$6)+4)),"")</f>
        <v/>
      </c>
      <c r="H47" s="120">
        <f>IFERROR(IF(INDEX('調整・決定'!$H$6:$H$29,MIN(calcA!$A$3,'設定'!$B$6)+4)="","",INDEX('調整・決定'!$H$6:$H$29,MIN(calcA!$A$3,'設定'!$B$6)+4)),"")</f>
        <v/>
      </c>
      <c r="M47">
        <f>IF(MIN(calcA!$A$3,'設定'!$B$6)+4&lt;='設定'!$B$6,"表示","隠す")</f>
        <v/>
      </c>
    </row>
    <row r="48" hidden="1" ht="20.9" customHeight="1">
      <c r="B48" s="119">
        <f>IFERROR(IF(INDEX('設定'!$I$11:$I$34,MIN(calcA!$A$3,'設定'!$B$6)+5)="","",SUBSTITUTE(SUBSTITUTE(SUBSTITUTE(SUBSTITUTE(SUBSTITUTE(SUBSTITUTE(SUBSTITUTE(SUBSTITUTE(SUBSTITUTE(SUBSTITUTE(SUBSTITUTE(SUBSTITUTE(INDEX('設定'!$I$11:$I$34,MIN(calcA!$A$3,'設定'!$B$6)+5),"〜",""),"0","０"),"1","１"),"2","２"),"3","３"),"4","４"),"5","５"),"6","６"),"7","７"),"8","８"),"9","９"),":","：")),"")</f>
        <v/>
      </c>
      <c r="C48" s="120">
        <f>IFERROR(IF(INDEX('調整・決定'!$C$6:$C$29,MIN(calcA!$A$3,'設定'!$B$6)+5)="","",INDEX('調整・決定'!$C$6:$C$29,MIN(calcA!$A$3,'設定'!$B$6)+5)),"")</f>
        <v/>
      </c>
      <c r="D48" s="120">
        <f>IFERROR(IF(INDEX('調整・決定'!$D$6:$D$29,MIN(calcA!$A$3,'設定'!$B$6)+5)="","",INDEX('調整・決定'!$D$6:$D$29,MIN(calcA!$A$3,'設定'!$B$6)+5)),"")</f>
        <v/>
      </c>
      <c r="E48" s="120">
        <f>IFERROR(IF(INDEX('調整・決定'!$E$6:$E$29,MIN(calcA!$A$3,'設定'!$B$6)+5)="","",INDEX('調整・決定'!$E$6:$E$29,MIN(calcA!$A$3,'設定'!$B$6)+5)),"")</f>
        <v/>
      </c>
      <c r="F48" s="120">
        <f>IFERROR(IF(INDEX('調整・決定'!$F$6:$F$29,MIN(calcA!$A$3,'設定'!$B$6)+5)="","",INDEX('調整・決定'!$F$6:$F$29,MIN(calcA!$A$3,'設定'!$B$6)+5)),"")</f>
        <v/>
      </c>
      <c r="G48" s="120">
        <f>IFERROR(IF(INDEX('調整・決定'!$G$6:$G$29,MIN(calcA!$A$3,'設定'!$B$6)+5)="","",INDEX('調整・決定'!$G$6:$G$29,MIN(calcA!$A$3,'設定'!$B$6)+5)),"")</f>
        <v/>
      </c>
      <c r="H48" s="120">
        <f>IFERROR(IF(INDEX('調整・決定'!$H$6:$H$29,MIN(calcA!$A$3,'設定'!$B$6)+5)="","",INDEX('調整・決定'!$H$6:$H$29,MIN(calcA!$A$3,'設定'!$B$6)+5)),"")</f>
        <v/>
      </c>
      <c r="M48">
        <f>IF(MIN(calcA!$A$3,'設定'!$B$6)+5&lt;='設定'!$B$6,"表示","隠す")</f>
        <v/>
      </c>
    </row>
    <row r="49" hidden="1" ht="20.9" customHeight="1">
      <c r="B49" s="119">
        <f>IFERROR(IF(INDEX('設定'!$I$11:$I$34,MIN(calcA!$A$3,'設定'!$B$6)+6)="","",SUBSTITUTE(SUBSTITUTE(SUBSTITUTE(SUBSTITUTE(SUBSTITUTE(SUBSTITUTE(SUBSTITUTE(SUBSTITUTE(SUBSTITUTE(SUBSTITUTE(SUBSTITUTE(SUBSTITUTE(INDEX('設定'!$I$11:$I$34,MIN(calcA!$A$3,'設定'!$B$6)+6),"〜",""),"0","０"),"1","１"),"2","２"),"3","３"),"4","４"),"5","５"),"6","６"),"7","７"),"8","８"),"9","９"),":","：")),"")</f>
        <v/>
      </c>
      <c r="C49" s="120">
        <f>IFERROR(IF(INDEX('調整・決定'!$C$6:$C$29,MIN(calcA!$A$3,'設定'!$B$6)+6)="","",INDEX('調整・決定'!$C$6:$C$29,MIN(calcA!$A$3,'設定'!$B$6)+6)),"")</f>
        <v/>
      </c>
      <c r="D49" s="120">
        <f>IFERROR(IF(INDEX('調整・決定'!$D$6:$D$29,MIN(calcA!$A$3,'設定'!$B$6)+6)="","",INDEX('調整・決定'!$D$6:$D$29,MIN(calcA!$A$3,'設定'!$B$6)+6)),"")</f>
        <v/>
      </c>
      <c r="E49" s="120">
        <f>IFERROR(IF(INDEX('調整・決定'!$E$6:$E$29,MIN(calcA!$A$3,'設定'!$B$6)+6)="","",INDEX('調整・決定'!$E$6:$E$29,MIN(calcA!$A$3,'設定'!$B$6)+6)),"")</f>
        <v/>
      </c>
      <c r="F49" s="120">
        <f>IFERROR(IF(INDEX('調整・決定'!$F$6:$F$29,MIN(calcA!$A$3,'設定'!$B$6)+6)="","",INDEX('調整・決定'!$F$6:$F$29,MIN(calcA!$A$3,'設定'!$B$6)+6)),"")</f>
        <v/>
      </c>
      <c r="G49" s="120">
        <f>IFERROR(IF(INDEX('調整・決定'!$G$6:$G$29,MIN(calcA!$A$3,'設定'!$B$6)+6)="","",INDEX('調整・決定'!$G$6:$G$29,MIN(calcA!$A$3,'設定'!$B$6)+6)),"")</f>
        <v/>
      </c>
      <c r="H49" s="120">
        <f>IFERROR(IF(INDEX('調整・決定'!$H$6:$H$29,MIN(calcA!$A$3,'設定'!$B$6)+6)="","",INDEX('調整・決定'!$H$6:$H$29,MIN(calcA!$A$3,'設定'!$B$6)+6)),"")</f>
        <v/>
      </c>
      <c r="M49">
        <f>IF(MIN(calcA!$A$3,'設定'!$B$6)+6&lt;='設定'!$B$6,"表示","隠す")</f>
        <v/>
      </c>
    </row>
    <row r="50" hidden="1" ht="20.9" customHeight="1">
      <c r="B50" s="119">
        <f>IFERROR(IF(INDEX('設定'!$I$11:$I$34,MIN(calcA!$A$3,'設定'!$B$6)+7)="","",SUBSTITUTE(SUBSTITUTE(SUBSTITUTE(SUBSTITUTE(SUBSTITUTE(SUBSTITUTE(SUBSTITUTE(SUBSTITUTE(SUBSTITUTE(SUBSTITUTE(SUBSTITUTE(SUBSTITUTE(INDEX('設定'!$I$11:$I$34,MIN(calcA!$A$3,'設定'!$B$6)+7),"〜",""),"0","０"),"1","１"),"2","２"),"3","３"),"4","４"),"5","５"),"6","６"),"7","７"),"8","８"),"9","９"),":","：")),"")</f>
        <v/>
      </c>
      <c r="C50" s="120">
        <f>IFERROR(IF(INDEX('調整・決定'!$C$6:$C$29,MIN(calcA!$A$3,'設定'!$B$6)+7)="","",INDEX('調整・決定'!$C$6:$C$29,MIN(calcA!$A$3,'設定'!$B$6)+7)),"")</f>
        <v/>
      </c>
      <c r="D50" s="120">
        <f>IFERROR(IF(INDEX('調整・決定'!$D$6:$D$29,MIN(calcA!$A$3,'設定'!$B$6)+7)="","",INDEX('調整・決定'!$D$6:$D$29,MIN(calcA!$A$3,'設定'!$B$6)+7)),"")</f>
        <v/>
      </c>
      <c r="E50" s="120">
        <f>IFERROR(IF(INDEX('調整・決定'!$E$6:$E$29,MIN(calcA!$A$3,'設定'!$B$6)+7)="","",INDEX('調整・決定'!$E$6:$E$29,MIN(calcA!$A$3,'設定'!$B$6)+7)),"")</f>
        <v/>
      </c>
      <c r="F50" s="120">
        <f>IFERROR(IF(INDEX('調整・決定'!$F$6:$F$29,MIN(calcA!$A$3,'設定'!$B$6)+7)="","",INDEX('調整・決定'!$F$6:$F$29,MIN(calcA!$A$3,'設定'!$B$6)+7)),"")</f>
        <v/>
      </c>
      <c r="G50" s="120">
        <f>IFERROR(IF(INDEX('調整・決定'!$G$6:$G$29,MIN(calcA!$A$3,'設定'!$B$6)+7)="","",INDEX('調整・決定'!$G$6:$G$29,MIN(calcA!$A$3,'設定'!$B$6)+7)),"")</f>
        <v/>
      </c>
      <c r="H50" s="120">
        <f>IFERROR(IF(INDEX('調整・決定'!$H$6:$H$29,MIN(calcA!$A$3,'設定'!$B$6)+7)="","",INDEX('調整・決定'!$H$6:$H$29,MIN(calcA!$A$3,'設定'!$B$6)+7)),"")</f>
        <v/>
      </c>
      <c r="M50">
        <f>IF(MIN(calcA!$A$3,'設定'!$B$6)+7&lt;='設定'!$B$6,"表示","隠す")</f>
        <v/>
      </c>
    </row>
    <row r="51" hidden="1" ht="20.9" customHeight="1">
      <c r="B51" s="119">
        <f>IFERROR(IF(INDEX('設定'!$I$11:$I$34,MIN(calcA!$A$3,'設定'!$B$6)+8)="","",SUBSTITUTE(SUBSTITUTE(SUBSTITUTE(SUBSTITUTE(SUBSTITUTE(SUBSTITUTE(SUBSTITUTE(SUBSTITUTE(SUBSTITUTE(SUBSTITUTE(SUBSTITUTE(SUBSTITUTE(INDEX('設定'!$I$11:$I$34,MIN(calcA!$A$3,'設定'!$B$6)+8),"〜",""),"0","０"),"1","１"),"2","２"),"3","３"),"4","４"),"5","５"),"6","６"),"7","７"),"8","８"),"9","９"),":","：")),"")</f>
        <v/>
      </c>
      <c r="C51" s="120">
        <f>IFERROR(IF(INDEX('調整・決定'!$C$6:$C$29,MIN(calcA!$A$3,'設定'!$B$6)+8)="","",INDEX('調整・決定'!$C$6:$C$29,MIN(calcA!$A$3,'設定'!$B$6)+8)),"")</f>
        <v/>
      </c>
      <c r="D51" s="120">
        <f>IFERROR(IF(INDEX('調整・決定'!$D$6:$D$29,MIN(calcA!$A$3,'設定'!$B$6)+8)="","",INDEX('調整・決定'!$D$6:$D$29,MIN(calcA!$A$3,'設定'!$B$6)+8)),"")</f>
        <v/>
      </c>
      <c r="E51" s="120">
        <f>IFERROR(IF(INDEX('調整・決定'!$E$6:$E$29,MIN(calcA!$A$3,'設定'!$B$6)+8)="","",INDEX('調整・決定'!$E$6:$E$29,MIN(calcA!$A$3,'設定'!$B$6)+8)),"")</f>
        <v/>
      </c>
      <c r="F51" s="120">
        <f>IFERROR(IF(INDEX('調整・決定'!$F$6:$F$29,MIN(calcA!$A$3,'設定'!$B$6)+8)="","",INDEX('調整・決定'!$F$6:$F$29,MIN(calcA!$A$3,'設定'!$B$6)+8)),"")</f>
        <v/>
      </c>
      <c r="G51" s="120">
        <f>IFERROR(IF(INDEX('調整・決定'!$G$6:$G$29,MIN(calcA!$A$3,'設定'!$B$6)+8)="","",INDEX('調整・決定'!$G$6:$G$29,MIN(calcA!$A$3,'設定'!$B$6)+8)),"")</f>
        <v/>
      </c>
      <c r="H51" s="120">
        <f>IFERROR(IF(INDEX('調整・決定'!$H$6:$H$29,MIN(calcA!$A$3,'設定'!$B$6)+8)="","",INDEX('調整・決定'!$H$6:$H$29,MIN(calcA!$A$3,'設定'!$B$6)+8)),"")</f>
        <v/>
      </c>
      <c r="M51">
        <f>IF(MIN(calcA!$A$3,'設定'!$B$6)+8&lt;='設定'!$B$6,"表示","隠す")</f>
        <v/>
      </c>
    </row>
    <row r="52" hidden="1" ht="20.9" customHeight="1">
      <c r="B52" s="119">
        <f>IFERROR(IF(INDEX('設定'!$I$11:$I$34,MIN(calcA!$A$3,'設定'!$B$6)+9)="","",SUBSTITUTE(SUBSTITUTE(SUBSTITUTE(SUBSTITUTE(SUBSTITUTE(SUBSTITUTE(SUBSTITUTE(SUBSTITUTE(SUBSTITUTE(SUBSTITUTE(SUBSTITUTE(SUBSTITUTE(INDEX('設定'!$I$11:$I$34,MIN(calcA!$A$3,'設定'!$B$6)+9),"〜",""),"0","０"),"1","１"),"2","２"),"3","３"),"4","４"),"5","５"),"6","６"),"7","７"),"8","８"),"9","９"),":","：")),"")</f>
        <v/>
      </c>
      <c r="C52" s="120">
        <f>IFERROR(IF(INDEX('調整・決定'!$C$6:$C$29,MIN(calcA!$A$3,'設定'!$B$6)+9)="","",INDEX('調整・決定'!$C$6:$C$29,MIN(calcA!$A$3,'設定'!$B$6)+9)),"")</f>
        <v/>
      </c>
      <c r="D52" s="120">
        <f>IFERROR(IF(INDEX('調整・決定'!$D$6:$D$29,MIN(calcA!$A$3,'設定'!$B$6)+9)="","",INDEX('調整・決定'!$D$6:$D$29,MIN(calcA!$A$3,'設定'!$B$6)+9)),"")</f>
        <v/>
      </c>
      <c r="E52" s="120">
        <f>IFERROR(IF(INDEX('調整・決定'!$E$6:$E$29,MIN(calcA!$A$3,'設定'!$B$6)+9)="","",INDEX('調整・決定'!$E$6:$E$29,MIN(calcA!$A$3,'設定'!$B$6)+9)),"")</f>
        <v/>
      </c>
      <c r="F52" s="120">
        <f>IFERROR(IF(INDEX('調整・決定'!$F$6:$F$29,MIN(calcA!$A$3,'設定'!$B$6)+9)="","",INDEX('調整・決定'!$F$6:$F$29,MIN(calcA!$A$3,'設定'!$B$6)+9)),"")</f>
        <v/>
      </c>
      <c r="G52" s="120">
        <f>IFERROR(IF(INDEX('調整・決定'!$G$6:$G$29,MIN(calcA!$A$3,'設定'!$B$6)+9)="","",INDEX('調整・決定'!$G$6:$G$29,MIN(calcA!$A$3,'設定'!$B$6)+9)),"")</f>
        <v/>
      </c>
      <c r="H52" s="120">
        <f>IFERROR(IF(INDEX('調整・決定'!$H$6:$H$29,MIN(calcA!$A$3,'設定'!$B$6)+9)="","",INDEX('調整・決定'!$H$6:$H$29,MIN(calcA!$A$3,'設定'!$B$6)+9)),"")</f>
        <v/>
      </c>
      <c r="M52">
        <f>IF(MIN(calcA!$A$3,'設定'!$B$6)+9&lt;='設定'!$B$6,"表示","隠す")</f>
        <v/>
      </c>
    </row>
    <row r="53" hidden="1" ht="20.9" customHeight="1">
      <c r="B53" s="119">
        <f>IFERROR(IF(INDEX('設定'!$I$11:$I$34,MIN(calcA!$A$3,'設定'!$B$6)+10)="","",SUBSTITUTE(SUBSTITUTE(SUBSTITUTE(SUBSTITUTE(SUBSTITUTE(SUBSTITUTE(SUBSTITUTE(SUBSTITUTE(SUBSTITUTE(SUBSTITUTE(SUBSTITUTE(SUBSTITUTE(INDEX('設定'!$I$11:$I$34,MIN(calcA!$A$3,'設定'!$B$6)+10),"〜",""),"0","０"),"1","１"),"2","２"),"3","３"),"4","４"),"5","５"),"6","６"),"7","７"),"8","８"),"9","９"),":","：")),"")</f>
        <v/>
      </c>
      <c r="C53" s="120">
        <f>IFERROR(IF(INDEX('調整・決定'!$C$6:$C$29,MIN(calcA!$A$3,'設定'!$B$6)+10)="","",INDEX('調整・決定'!$C$6:$C$29,MIN(calcA!$A$3,'設定'!$B$6)+10)),"")</f>
        <v/>
      </c>
      <c r="D53" s="120">
        <f>IFERROR(IF(INDEX('調整・決定'!$D$6:$D$29,MIN(calcA!$A$3,'設定'!$B$6)+10)="","",INDEX('調整・決定'!$D$6:$D$29,MIN(calcA!$A$3,'設定'!$B$6)+10)),"")</f>
        <v/>
      </c>
      <c r="E53" s="120">
        <f>IFERROR(IF(INDEX('調整・決定'!$E$6:$E$29,MIN(calcA!$A$3,'設定'!$B$6)+10)="","",INDEX('調整・決定'!$E$6:$E$29,MIN(calcA!$A$3,'設定'!$B$6)+10)),"")</f>
        <v/>
      </c>
      <c r="F53" s="120">
        <f>IFERROR(IF(INDEX('調整・決定'!$F$6:$F$29,MIN(calcA!$A$3,'設定'!$B$6)+10)="","",INDEX('調整・決定'!$F$6:$F$29,MIN(calcA!$A$3,'設定'!$B$6)+10)),"")</f>
        <v/>
      </c>
      <c r="G53" s="120">
        <f>IFERROR(IF(INDEX('調整・決定'!$G$6:$G$29,MIN(calcA!$A$3,'設定'!$B$6)+10)="","",INDEX('調整・決定'!$G$6:$G$29,MIN(calcA!$A$3,'設定'!$B$6)+10)),"")</f>
        <v/>
      </c>
      <c r="H53" s="120">
        <f>IFERROR(IF(INDEX('調整・決定'!$H$6:$H$29,MIN(calcA!$A$3,'設定'!$B$6)+10)="","",INDEX('調整・決定'!$H$6:$H$29,MIN(calcA!$A$3,'設定'!$B$6)+10)),"")</f>
        <v/>
      </c>
      <c r="M53">
        <f>IF(MIN(calcA!$A$3,'設定'!$B$6)+10&lt;='設定'!$B$6,"表示","隠す")</f>
        <v/>
      </c>
    </row>
    <row r="54" hidden="1" ht="20.9" customHeight="1">
      <c r="B54" s="119">
        <f>IFERROR(IF(INDEX('設定'!$I$11:$I$34,MIN(calcA!$A$3,'設定'!$B$6)+11)="","",SUBSTITUTE(SUBSTITUTE(SUBSTITUTE(SUBSTITUTE(SUBSTITUTE(SUBSTITUTE(SUBSTITUTE(SUBSTITUTE(SUBSTITUTE(SUBSTITUTE(SUBSTITUTE(SUBSTITUTE(INDEX('設定'!$I$11:$I$34,MIN(calcA!$A$3,'設定'!$B$6)+11),"〜",""),"0","０"),"1","１"),"2","２"),"3","３"),"4","４"),"5","５"),"6","６"),"7","７"),"8","８"),"9","９"),":","：")),"")</f>
        <v/>
      </c>
      <c r="C54" s="120">
        <f>IFERROR(IF(INDEX('調整・決定'!$C$6:$C$29,MIN(calcA!$A$3,'設定'!$B$6)+11)="","",INDEX('調整・決定'!$C$6:$C$29,MIN(calcA!$A$3,'設定'!$B$6)+11)),"")</f>
        <v/>
      </c>
      <c r="D54" s="120">
        <f>IFERROR(IF(INDEX('調整・決定'!$D$6:$D$29,MIN(calcA!$A$3,'設定'!$B$6)+11)="","",INDEX('調整・決定'!$D$6:$D$29,MIN(calcA!$A$3,'設定'!$B$6)+11)),"")</f>
        <v/>
      </c>
      <c r="E54" s="120">
        <f>IFERROR(IF(INDEX('調整・決定'!$E$6:$E$29,MIN(calcA!$A$3,'設定'!$B$6)+11)="","",INDEX('調整・決定'!$E$6:$E$29,MIN(calcA!$A$3,'設定'!$B$6)+11)),"")</f>
        <v/>
      </c>
      <c r="F54" s="120">
        <f>IFERROR(IF(INDEX('調整・決定'!$F$6:$F$29,MIN(calcA!$A$3,'設定'!$B$6)+11)="","",INDEX('調整・決定'!$F$6:$F$29,MIN(calcA!$A$3,'設定'!$B$6)+11)),"")</f>
        <v/>
      </c>
      <c r="G54" s="120">
        <f>IFERROR(IF(INDEX('調整・決定'!$G$6:$G$29,MIN(calcA!$A$3,'設定'!$B$6)+11)="","",INDEX('調整・決定'!$G$6:$G$29,MIN(calcA!$A$3,'設定'!$B$6)+11)),"")</f>
        <v/>
      </c>
      <c r="H54" s="120">
        <f>IFERROR(IF(INDEX('調整・決定'!$H$6:$H$29,MIN(calcA!$A$3,'設定'!$B$6)+11)="","",INDEX('調整・決定'!$H$6:$H$29,MIN(calcA!$A$3,'設定'!$B$6)+11)),"")</f>
        <v/>
      </c>
      <c r="M54">
        <f>IF(MIN(calcA!$A$3,'設定'!$B$6)+11&lt;='設定'!$B$6,"表示","隠す")</f>
        <v/>
      </c>
    </row>
    <row r="55" hidden="1" ht="20.9" customHeight="1">
      <c r="B55" s="119">
        <f>IFERROR(IF(INDEX('設定'!$I$11:$I$34,MIN(calcA!$A$3,'設定'!$B$6)+12)="","",SUBSTITUTE(SUBSTITUTE(SUBSTITUTE(SUBSTITUTE(SUBSTITUTE(SUBSTITUTE(SUBSTITUTE(SUBSTITUTE(SUBSTITUTE(SUBSTITUTE(SUBSTITUTE(SUBSTITUTE(INDEX('設定'!$I$11:$I$34,MIN(calcA!$A$3,'設定'!$B$6)+12),"〜",""),"0","０"),"1","１"),"2","２"),"3","３"),"4","４"),"5","５"),"6","６"),"7","７"),"8","８"),"9","９"),":","：")),"")</f>
        <v/>
      </c>
      <c r="C55" s="120">
        <f>IFERROR(IF(INDEX('調整・決定'!$C$6:$C$29,MIN(calcA!$A$3,'設定'!$B$6)+12)="","",INDEX('調整・決定'!$C$6:$C$29,MIN(calcA!$A$3,'設定'!$B$6)+12)),"")</f>
        <v/>
      </c>
      <c r="D55" s="120">
        <f>IFERROR(IF(INDEX('調整・決定'!$D$6:$D$29,MIN(calcA!$A$3,'設定'!$B$6)+12)="","",INDEX('調整・決定'!$D$6:$D$29,MIN(calcA!$A$3,'設定'!$B$6)+12)),"")</f>
        <v/>
      </c>
      <c r="E55" s="120">
        <f>IFERROR(IF(INDEX('調整・決定'!$E$6:$E$29,MIN(calcA!$A$3,'設定'!$B$6)+12)="","",INDEX('調整・決定'!$E$6:$E$29,MIN(calcA!$A$3,'設定'!$B$6)+12)),"")</f>
        <v/>
      </c>
      <c r="F55" s="120">
        <f>IFERROR(IF(INDEX('調整・決定'!$F$6:$F$29,MIN(calcA!$A$3,'設定'!$B$6)+12)="","",INDEX('調整・決定'!$F$6:$F$29,MIN(calcA!$A$3,'設定'!$B$6)+12)),"")</f>
        <v/>
      </c>
      <c r="G55" s="120">
        <f>IFERROR(IF(INDEX('調整・決定'!$G$6:$G$29,MIN(calcA!$A$3,'設定'!$B$6)+12)="","",INDEX('調整・決定'!$G$6:$G$29,MIN(calcA!$A$3,'設定'!$B$6)+12)),"")</f>
        <v/>
      </c>
      <c r="H55" s="120">
        <f>IFERROR(IF(INDEX('調整・決定'!$H$6:$H$29,MIN(calcA!$A$3,'設定'!$B$6)+12)="","",INDEX('調整・決定'!$H$6:$H$29,MIN(calcA!$A$3,'設定'!$B$6)+12)),"")</f>
        <v/>
      </c>
      <c r="M55">
        <f>IF(MIN(calcA!$A$3,'設定'!$B$6)+12&lt;='設定'!$B$6,"表示","隠す")</f>
        <v/>
      </c>
    </row>
    <row r="56" hidden="1" ht="20.9" customHeight="1">
      <c r="B56" s="119">
        <f>IFERROR(IF(INDEX('設定'!$I$11:$I$34,MIN(calcA!$A$3,'設定'!$B$6)+13)="","",SUBSTITUTE(SUBSTITUTE(SUBSTITUTE(SUBSTITUTE(SUBSTITUTE(SUBSTITUTE(SUBSTITUTE(SUBSTITUTE(SUBSTITUTE(SUBSTITUTE(SUBSTITUTE(SUBSTITUTE(INDEX('設定'!$I$11:$I$34,MIN(calcA!$A$3,'設定'!$B$6)+13),"〜",""),"0","０"),"1","１"),"2","２"),"3","３"),"4","４"),"5","５"),"6","６"),"7","７"),"8","８"),"9","９"),":","：")),"")</f>
        <v/>
      </c>
      <c r="C56" s="120">
        <f>IFERROR(IF(INDEX('調整・決定'!$C$6:$C$29,MIN(calcA!$A$3,'設定'!$B$6)+13)="","",INDEX('調整・決定'!$C$6:$C$29,MIN(calcA!$A$3,'設定'!$B$6)+13)),"")</f>
        <v/>
      </c>
      <c r="D56" s="120">
        <f>IFERROR(IF(INDEX('調整・決定'!$D$6:$D$29,MIN(calcA!$A$3,'設定'!$B$6)+13)="","",INDEX('調整・決定'!$D$6:$D$29,MIN(calcA!$A$3,'設定'!$B$6)+13)),"")</f>
        <v/>
      </c>
      <c r="E56" s="120">
        <f>IFERROR(IF(INDEX('調整・決定'!$E$6:$E$29,MIN(calcA!$A$3,'設定'!$B$6)+13)="","",INDEX('調整・決定'!$E$6:$E$29,MIN(calcA!$A$3,'設定'!$B$6)+13)),"")</f>
        <v/>
      </c>
      <c r="F56" s="120">
        <f>IFERROR(IF(INDEX('調整・決定'!$F$6:$F$29,MIN(calcA!$A$3,'設定'!$B$6)+13)="","",INDEX('調整・決定'!$F$6:$F$29,MIN(calcA!$A$3,'設定'!$B$6)+13)),"")</f>
        <v/>
      </c>
      <c r="G56" s="120">
        <f>IFERROR(IF(INDEX('調整・決定'!$G$6:$G$29,MIN(calcA!$A$3,'設定'!$B$6)+13)="","",INDEX('調整・決定'!$G$6:$G$29,MIN(calcA!$A$3,'設定'!$B$6)+13)),"")</f>
        <v/>
      </c>
      <c r="H56" s="120">
        <f>IFERROR(IF(INDEX('調整・決定'!$H$6:$H$29,MIN(calcA!$A$3,'設定'!$B$6)+13)="","",INDEX('調整・決定'!$H$6:$H$29,MIN(calcA!$A$3,'設定'!$B$6)+13)),"")</f>
        <v/>
      </c>
      <c r="M56">
        <f>IF(MIN(calcA!$A$3,'設定'!$B$6)+13&lt;='設定'!$B$6,"表示","隠す")</f>
        <v/>
      </c>
    </row>
    <row r="57" hidden="1" ht="20.9" customHeight="1">
      <c r="B57" s="119">
        <f>IFERROR(IF(INDEX('設定'!$I$11:$I$34,MIN(calcA!$A$3,'設定'!$B$6)+14)="","",SUBSTITUTE(SUBSTITUTE(SUBSTITUTE(SUBSTITUTE(SUBSTITUTE(SUBSTITUTE(SUBSTITUTE(SUBSTITUTE(SUBSTITUTE(SUBSTITUTE(SUBSTITUTE(SUBSTITUTE(INDEX('設定'!$I$11:$I$34,MIN(calcA!$A$3,'設定'!$B$6)+14),"〜",""),"0","０"),"1","１"),"2","２"),"3","３"),"4","４"),"5","５"),"6","６"),"7","７"),"8","８"),"9","９"),":","：")),"")</f>
        <v/>
      </c>
      <c r="C57" s="120">
        <f>IFERROR(IF(INDEX('調整・決定'!$C$6:$C$29,MIN(calcA!$A$3,'設定'!$B$6)+14)="","",INDEX('調整・決定'!$C$6:$C$29,MIN(calcA!$A$3,'設定'!$B$6)+14)),"")</f>
        <v/>
      </c>
      <c r="D57" s="120">
        <f>IFERROR(IF(INDEX('調整・決定'!$D$6:$D$29,MIN(calcA!$A$3,'設定'!$B$6)+14)="","",INDEX('調整・決定'!$D$6:$D$29,MIN(calcA!$A$3,'設定'!$B$6)+14)),"")</f>
        <v/>
      </c>
      <c r="E57" s="120">
        <f>IFERROR(IF(INDEX('調整・決定'!$E$6:$E$29,MIN(calcA!$A$3,'設定'!$B$6)+14)="","",INDEX('調整・決定'!$E$6:$E$29,MIN(calcA!$A$3,'設定'!$B$6)+14)),"")</f>
        <v/>
      </c>
      <c r="F57" s="120">
        <f>IFERROR(IF(INDEX('調整・決定'!$F$6:$F$29,MIN(calcA!$A$3,'設定'!$B$6)+14)="","",INDEX('調整・決定'!$F$6:$F$29,MIN(calcA!$A$3,'設定'!$B$6)+14)),"")</f>
        <v/>
      </c>
      <c r="G57" s="120">
        <f>IFERROR(IF(INDEX('調整・決定'!$G$6:$G$29,MIN(calcA!$A$3,'設定'!$B$6)+14)="","",INDEX('調整・決定'!$G$6:$G$29,MIN(calcA!$A$3,'設定'!$B$6)+14)),"")</f>
        <v/>
      </c>
      <c r="H57" s="120">
        <f>IFERROR(IF(INDEX('調整・決定'!$H$6:$H$29,MIN(calcA!$A$3,'設定'!$B$6)+14)="","",INDEX('調整・決定'!$H$6:$H$29,MIN(calcA!$A$3,'設定'!$B$6)+14)),"")</f>
        <v/>
      </c>
      <c r="M57">
        <f>IF(MIN(calcA!$A$3,'設定'!$B$6)+14&lt;='設定'!$B$6,"表示","隠す")</f>
        <v/>
      </c>
    </row>
    <row r="58" hidden="1" ht="20.9" customHeight="1">
      <c r="B58" s="119">
        <f>IFERROR(IF(INDEX('設定'!$I$11:$I$34,MIN(calcA!$A$3,'設定'!$B$6)+15)="","",SUBSTITUTE(SUBSTITUTE(SUBSTITUTE(SUBSTITUTE(SUBSTITUTE(SUBSTITUTE(SUBSTITUTE(SUBSTITUTE(SUBSTITUTE(SUBSTITUTE(SUBSTITUTE(SUBSTITUTE(INDEX('設定'!$I$11:$I$34,MIN(calcA!$A$3,'設定'!$B$6)+15),"〜",""),"0","０"),"1","１"),"2","２"),"3","３"),"4","４"),"5","５"),"6","６"),"7","７"),"8","８"),"9","９"),":","：")),"")</f>
        <v/>
      </c>
      <c r="C58" s="120">
        <f>IFERROR(IF(INDEX('調整・決定'!$C$6:$C$29,MIN(calcA!$A$3,'設定'!$B$6)+15)="","",INDEX('調整・決定'!$C$6:$C$29,MIN(calcA!$A$3,'設定'!$B$6)+15)),"")</f>
        <v/>
      </c>
      <c r="D58" s="120">
        <f>IFERROR(IF(INDEX('調整・決定'!$D$6:$D$29,MIN(calcA!$A$3,'設定'!$B$6)+15)="","",INDEX('調整・決定'!$D$6:$D$29,MIN(calcA!$A$3,'設定'!$B$6)+15)),"")</f>
        <v/>
      </c>
      <c r="E58" s="120">
        <f>IFERROR(IF(INDEX('調整・決定'!$E$6:$E$29,MIN(calcA!$A$3,'設定'!$B$6)+15)="","",INDEX('調整・決定'!$E$6:$E$29,MIN(calcA!$A$3,'設定'!$B$6)+15)),"")</f>
        <v/>
      </c>
      <c r="F58" s="120">
        <f>IFERROR(IF(INDEX('調整・決定'!$F$6:$F$29,MIN(calcA!$A$3,'設定'!$B$6)+15)="","",INDEX('調整・決定'!$F$6:$F$29,MIN(calcA!$A$3,'設定'!$B$6)+15)),"")</f>
        <v/>
      </c>
      <c r="G58" s="120">
        <f>IFERROR(IF(INDEX('調整・決定'!$G$6:$G$29,MIN(calcA!$A$3,'設定'!$B$6)+15)="","",INDEX('調整・決定'!$G$6:$G$29,MIN(calcA!$A$3,'設定'!$B$6)+15)),"")</f>
        <v/>
      </c>
      <c r="H58" s="120">
        <f>IFERROR(IF(INDEX('調整・決定'!$H$6:$H$29,MIN(calcA!$A$3,'設定'!$B$6)+15)="","",INDEX('調整・決定'!$H$6:$H$29,MIN(calcA!$A$3,'設定'!$B$6)+15)),"")</f>
        <v/>
      </c>
      <c r="M58">
        <f>IF(MIN(calcA!$A$3,'設定'!$B$6)+15&lt;='設定'!$B$6,"表示","隠す")</f>
        <v/>
      </c>
    </row>
    <row r="59" hidden="1" ht="20.9" customHeight="1">
      <c r="B59" s="119">
        <f>IFERROR(IF(INDEX('設定'!$I$11:$I$34,MIN(calcA!$A$3,'設定'!$B$6)+16)="","",SUBSTITUTE(SUBSTITUTE(SUBSTITUTE(SUBSTITUTE(SUBSTITUTE(SUBSTITUTE(SUBSTITUTE(SUBSTITUTE(SUBSTITUTE(SUBSTITUTE(SUBSTITUTE(SUBSTITUTE(INDEX('設定'!$I$11:$I$34,MIN(calcA!$A$3,'設定'!$B$6)+16),"〜",""),"0","０"),"1","１"),"2","２"),"3","３"),"4","４"),"5","５"),"6","６"),"7","７"),"8","８"),"9","９"),":","：")),"")</f>
        <v/>
      </c>
      <c r="C59" s="120">
        <f>IFERROR(IF(INDEX('調整・決定'!$C$6:$C$29,MIN(calcA!$A$3,'設定'!$B$6)+16)="","",INDEX('調整・決定'!$C$6:$C$29,MIN(calcA!$A$3,'設定'!$B$6)+16)),"")</f>
        <v/>
      </c>
      <c r="D59" s="120">
        <f>IFERROR(IF(INDEX('調整・決定'!$D$6:$D$29,MIN(calcA!$A$3,'設定'!$B$6)+16)="","",INDEX('調整・決定'!$D$6:$D$29,MIN(calcA!$A$3,'設定'!$B$6)+16)),"")</f>
        <v/>
      </c>
      <c r="E59" s="120">
        <f>IFERROR(IF(INDEX('調整・決定'!$E$6:$E$29,MIN(calcA!$A$3,'設定'!$B$6)+16)="","",INDEX('調整・決定'!$E$6:$E$29,MIN(calcA!$A$3,'設定'!$B$6)+16)),"")</f>
        <v/>
      </c>
      <c r="F59" s="120">
        <f>IFERROR(IF(INDEX('調整・決定'!$F$6:$F$29,MIN(calcA!$A$3,'設定'!$B$6)+16)="","",INDEX('調整・決定'!$F$6:$F$29,MIN(calcA!$A$3,'設定'!$B$6)+16)),"")</f>
        <v/>
      </c>
      <c r="G59" s="120">
        <f>IFERROR(IF(INDEX('調整・決定'!$G$6:$G$29,MIN(calcA!$A$3,'設定'!$B$6)+16)="","",INDEX('調整・決定'!$G$6:$G$29,MIN(calcA!$A$3,'設定'!$B$6)+16)),"")</f>
        <v/>
      </c>
      <c r="H59" s="120">
        <f>IFERROR(IF(INDEX('調整・決定'!$H$6:$H$29,MIN(calcA!$A$3,'設定'!$B$6)+16)="","",INDEX('調整・決定'!$H$6:$H$29,MIN(calcA!$A$3,'設定'!$B$6)+16)),"")</f>
        <v/>
      </c>
      <c r="M59">
        <f>IF(MIN(calcA!$A$3,'設定'!$B$6)+16&lt;='設定'!$B$6,"表示","隠す")</f>
        <v/>
      </c>
    </row>
    <row r="60" hidden="1" ht="20.9" customHeight="1">
      <c r="B60" s="119">
        <f>IFERROR(IF(INDEX('設定'!$I$11:$I$34,MIN(calcA!$A$3,'設定'!$B$6)+17)="","",SUBSTITUTE(SUBSTITUTE(SUBSTITUTE(SUBSTITUTE(SUBSTITUTE(SUBSTITUTE(SUBSTITUTE(SUBSTITUTE(SUBSTITUTE(SUBSTITUTE(SUBSTITUTE(SUBSTITUTE(INDEX('設定'!$I$11:$I$34,MIN(calcA!$A$3,'設定'!$B$6)+17),"〜",""),"0","０"),"1","１"),"2","２"),"3","３"),"4","４"),"5","５"),"6","６"),"7","７"),"8","８"),"9","９"),":","：")),"")</f>
        <v/>
      </c>
      <c r="C60" s="120">
        <f>IFERROR(IF(INDEX('調整・決定'!$C$6:$C$29,MIN(calcA!$A$3,'設定'!$B$6)+17)="","",INDEX('調整・決定'!$C$6:$C$29,MIN(calcA!$A$3,'設定'!$B$6)+17)),"")</f>
        <v/>
      </c>
      <c r="D60" s="120">
        <f>IFERROR(IF(INDEX('調整・決定'!$D$6:$D$29,MIN(calcA!$A$3,'設定'!$B$6)+17)="","",INDEX('調整・決定'!$D$6:$D$29,MIN(calcA!$A$3,'設定'!$B$6)+17)),"")</f>
        <v/>
      </c>
      <c r="E60" s="120">
        <f>IFERROR(IF(INDEX('調整・決定'!$E$6:$E$29,MIN(calcA!$A$3,'設定'!$B$6)+17)="","",INDEX('調整・決定'!$E$6:$E$29,MIN(calcA!$A$3,'設定'!$B$6)+17)),"")</f>
        <v/>
      </c>
      <c r="F60" s="120">
        <f>IFERROR(IF(INDEX('調整・決定'!$F$6:$F$29,MIN(calcA!$A$3,'設定'!$B$6)+17)="","",INDEX('調整・決定'!$F$6:$F$29,MIN(calcA!$A$3,'設定'!$B$6)+17)),"")</f>
        <v/>
      </c>
      <c r="G60" s="120">
        <f>IFERROR(IF(INDEX('調整・決定'!$G$6:$G$29,MIN(calcA!$A$3,'設定'!$B$6)+17)="","",INDEX('調整・決定'!$G$6:$G$29,MIN(calcA!$A$3,'設定'!$B$6)+17)),"")</f>
        <v/>
      </c>
      <c r="H60" s="120">
        <f>IFERROR(IF(INDEX('調整・決定'!$H$6:$H$29,MIN(calcA!$A$3,'設定'!$B$6)+17)="","",INDEX('調整・決定'!$H$6:$H$29,MIN(calcA!$A$3,'設定'!$B$6)+17)),"")</f>
        <v/>
      </c>
      <c r="M60">
        <f>IF(MIN(calcA!$A$3,'設定'!$B$6)+17&lt;='設定'!$B$6,"表示","隠す")</f>
        <v/>
      </c>
    </row>
    <row r="61" hidden="1" ht="20.9" customHeight="1">
      <c r="B61" s="119">
        <f>IFERROR(IF(INDEX('設定'!$I$11:$I$34,MIN(calcA!$A$3,'設定'!$B$6)+18)="","",SUBSTITUTE(SUBSTITUTE(SUBSTITUTE(SUBSTITUTE(SUBSTITUTE(SUBSTITUTE(SUBSTITUTE(SUBSTITUTE(SUBSTITUTE(SUBSTITUTE(SUBSTITUTE(SUBSTITUTE(INDEX('設定'!$I$11:$I$34,MIN(calcA!$A$3,'設定'!$B$6)+18),"〜",""),"0","０"),"1","１"),"2","２"),"3","３"),"4","４"),"5","５"),"6","６"),"7","７"),"8","８"),"9","９"),":","：")),"")</f>
        <v/>
      </c>
      <c r="C61" s="120">
        <f>IFERROR(IF(INDEX('調整・決定'!$C$6:$C$29,MIN(calcA!$A$3,'設定'!$B$6)+18)="","",INDEX('調整・決定'!$C$6:$C$29,MIN(calcA!$A$3,'設定'!$B$6)+18)),"")</f>
        <v/>
      </c>
      <c r="D61" s="120">
        <f>IFERROR(IF(INDEX('調整・決定'!$D$6:$D$29,MIN(calcA!$A$3,'設定'!$B$6)+18)="","",INDEX('調整・決定'!$D$6:$D$29,MIN(calcA!$A$3,'設定'!$B$6)+18)),"")</f>
        <v/>
      </c>
      <c r="E61" s="120">
        <f>IFERROR(IF(INDEX('調整・決定'!$E$6:$E$29,MIN(calcA!$A$3,'設定'!$B$6)+18)="","",INDEX('調整・決定'!$E$6:$E$29,MIN(calcA!$A$3,'設定'!$B$6)+18)),"")</f>
        <v/>
      </c>
      <c r="F61" s="120">
        <f>IFERROR(IF(INDEX('調整・決定'!$F$6:$F$29,MIN(calcA!$A$3,'設定'!$B$6)+18)="","",INDEX('調整・決定'!$F$6:$F$29,MIN(calcA!$A$3,'設定'!$B$6)+18)),"")</f>
        <v/>
      </c>
      <c r="G61" s="120">
        <f>IFERROR(IF(INDEX('調整・決定'!$G$6:$G$29,MIN(calcA!$A$3,'設定'!$B$6)+18)="","",INDEX('調整・決定'!$G$6:$G$29,MIN(calcA!$A$3,'設定'!$B$6)+18)),"")</f>
        <v/>
      </c>
      <c r="H61" s="120">
        <f>IFERROR(IF(INDEX('調整・決定'!$H$6:$H$29,MIN(calcA!$A$3,'設定'!$B$6)+18)="","",INDEX('調整・決定'!$H$6:$H$29,MIN(calcA!$A$3,'設定'!$B$6)+18)),"")</f>
        <v/>
      </c>
      <c r="M61">
        <f>IF(MIN(calcA!$A$3,'設定'!$B$6)+18&lt;='設定'!$B$6,"表示","隠す")</f>
        <v/>
      </c>
    </row>
    <row r="62" hidden="1" ht="20.9" customHeight="1">
      <c r="B62" s="119">
        <f>IFERROR(IF(INDEX('設定'!$I$11:$I$34,MIN(calcA!$A$3,'設定'!$B$6)+19)="","",SUBSTITUTE(SUBSTITUTE(SUBSTITUTE(SUBSTITUTE(SUBSTITUTE(SUBSTITUTE(SUBSTITUTE(SUBSTITUTE(SUBSTITUTE(SUBSTITUTE(SUBSTITUTE(SUBSTITUTE(INDEX('設定'!$I$11:$I$34,MIN(calcA!$A$3,'設定'!$B$6)+19),"〜",""),"0","０"),"1","１"),"2","２"),"3","３"),"4","４"),"5","５"),"6","６"),"7","７"),"8","８"),"9","９"),":","：")),"")</f>
        <v/>
      </c>
      <c r="C62" s="120">
        <f>IFERROR(IF(INDEX('調整・決定'!$C$6:$C$29,MIN(calcA!$A$3,'設定'!$B$6)+19)="","",INDEX('調整・決定'!$C$6:$C$29,MIN(calcA!$A$3,'設定'!$B$6)+19)),"")</f>
        <v/>
      </c>
      <c r="D62" s="120">
        <f>IFERROR(IF(INDEX('調整・決定'!$D$6:$D$29,MIN(calcA!$A$3,'設定'!$B$6)+19)="","",INDEX('調整・決定'!$D$6:$D$29,MIN(calcA!$A$3,'設定'!$B$6)+19)),"")</f>
        <v/>
      </c>
      <c r="E62" s="120">
        <f>IFERROR(IF(INDEX('調整・決定'!$E$6:$E$29,MIN(calcA!$A$3,'設定'!$B$6)+19)="","",INDEX('調整・決定'!$E$6:$E$29,MIN(calcA!$A$3,'設定'!$B$6)+19)),"")</f>
        <v/>
      </c>
      <c r="F62" s="120">
        <f>IFERROR(IF(INDEX('調整・決定'!$F$6:$F$29,MIN(calcA!$A$3,'設定'!$B$6)+19)="","",INDEX('調整・決定'!$F$6:$F$29,MIN(calcA!$A$3,'設定'!$B$6)+19)),"")</f>
        <v/>
      </c>
      <c r="G62" s="120">
        <f>IFERROR(IF(INDEX('調整・決定'!$G$6:$G$29,MIN(calcA!$A$3,'設定'!$B$6)+19)="","",INDEX('調整・決定'!$G$6:$G$29,MIN(calcA!$A$3,'設定'!$B$6)+19)),"")</f>
        <v/>
      </c>
      <c r="H62" s="120">
        <f>IFERROR(IF(INDEX('調整・決定'!$H$6:$H$29,MIN(calcA!$A$3,'設定'!$B$6)+19)="","",INDEX('調整・決定'!$H$6:$H$29,MIN(calcA!$A$3,'設定'!$B$6)+19)),"")</f>
        <v/>
      </c>
      <c r="M62">
        <f>IF(MIN(calcA!$A$3,'設定'!$B$6)+19&lt;='設定'!$B$6,"表示","隠す")</f>
        <v/>
      </c>
    </row>
    <row r="63" hidden="1" ht="20.9" customHeight="1">
      <c r="B63" s="119">
        <f>IFERROR(IF(INDEX('設定'!$I$11:$I$34,MIN(calcA!$A$3,'設定'!$B$6)+20)="","",SUBSTITUTE(SUBSTITUTE(SUBSTITUTE(SUBSTITUTE(SUBSTITUTE(SUBSTITUTE(SUBSTITUTE(SUBSTITUTE(SUBSTITUTE(SUBSTITUTE(SUBSTITUTE(SUBSTITUTE(INDEX('設定'!$I$11:$I$34,MIN(calcA!$A$3,'設定'!$B$6)+20),"〜",""),"0","０"),"1","１"),"2","２"),"3","３"),"4","４"),"5","５"),"6","６"),"7","７"),"8","８"),"9","９"),":","：")),"")</f>
        <v/>
      </c>
      <c r="C63" s="120">
        <f>IFERROR(IF(INDEX('調整・決定'!$C$6:$C$29,MIN(calcA!$A$3,'設定'!$B$6)+20)="","",INDEX('調整・決定'!$C$6:$C$29,MIN(calcA!$A$3,'設定'!$B$6)+20)),"")</f>
        <v/>
      </c>
      <c r="D63" s="120">
        <f>IFERROR(IF(INDEX('調整・決定'!$D$6:$D$29,MIN(calcA!$A$3,'設定'!$B$6)+20)="","",INDEX('調整・決定'!$D$6:$D$29,MIN(calcA!$A$3,'設定'!$B$6)+20)),"")</f>
        <v/>
      </c>
      <c r="E63" s="120">
        <f>IFERROR(IF(INDEX('調整・決定'!$E$6:$E$29,MIN(calcA!$A$3,'設定'!$B$6)+20)="","",INDEX('調整・決定'!$E$6:$E$29,MIN(calcA!$A$3,'設定'!$B$6)+20)),"")</f>
        <v/>
      </c>
      <c r="F63" s="120">
        <f>IFERROR(IF(INDEX('調整・決定'!$F$6:$F$29,MIN(calcA!$A$3,'設定'!$B$6)+20)="","",INDEX('調整・決定'!$F$6:$F$29,MIN(calcA!$A$3,'設定'!$B$6)+20)),"")</f>
        <v/>
      </c>
      <c r="G63" s="120">
        <f>IFERROR(IF(INDEX('調整・決定'!$G$6:$G$29,MIN(calcA!$A$3,'設定'!$B$6)+20)="","",INDEX('調整・決定'!$G$6:$G$29,MIN(calcA!$A$3,'設定'!$B$6)+20)),"")</f>
        <v/>
      </c>
      <c r="H63" s="120">
        <f>IFERROR(IF(INDEX('調整・決定'!$H$6:$H$29,MIN(calcA!$A$3,'設定'!$B$6)+20)="","",INDEX('調整・決定'!$H$6:$H$29,MIN(calcA!$A$3,'設定'!$B$6)+20)),"")</f>
        <v/>
      </c>
      <c r="M63">
        <f>IF(MIN(calcA!$A$3,'設定'!$B$6)+20&lt;='設定'!$B$6,"表示","隠す")</f>
        <v/>
      </c>
    </row>
    <row r="64" hidden="1" ht="20.9" customHeight="1">
      <c r="B64" s="119">
        <f>IFERROR(IF(INDEX('設定'!$I$11:$I$34,MIN(calcA!$A$3,'設定'!$B$6)+21)="","",SUBSTITUTE(SUBSTITUTE(SUBSTITUTE(SUBSTITUTE(SUBSTITUTE(SUBSTITUTE(SUBSTITUTE(SUBSTITUTE(SUBSTITUTE(SUBSTITUTE(SUBSTITUTE(SUBSTITUTE(INDEX('設定'!$I$11:$I$34,MIN(calcA!$A$3,'設定'!$B$6)+21),"〜",""),"0","０"),"1","１"),"2","２"),"3","３"),"4","４"),"5","５"),"6","６"),"7","７"),"8","８"),"9","９"),":","：")),"")</f>
        <v/>
      </c>
      <c r="C64" s="120">
        <f>IFERROR(IF(INDEX('調整・決定'!$C$6:$C$29,MIN(calcA!$A$3,'設定'!$B$6)+21)="","",INDEX('調整・決定'!$C$6:$C$29,MIN(calcA!$A$3,'設定'!$B$6)+21)),"")</f>
        <v/>
      </c>
      <c r="D64" s="120">
        <f>IFERROR(IF(INDEX('調整・決定'!$D$6:$D$29,MIN(calcA!$A$3,'設定'!$B$6)+21)="","",INDEX('調整・決定'!$D$6:$D$29,MIN(calcA!$A$3,'設定'!$B$6)+21)),"")</f>
        <v/>
      </c>
      <c r="E64" s="120">
        <f>IFERROR(IF(INDEX('調整・決定'!$E$6:$E$29,MIN(calcA!$A$3,'設定'!$B$6)+21)="","",INDEX('調整・決定'!$E$6:$E$29,MIN(calcA!$A$3,'設定'!$B$6)+21)),"")</f>
        <v/>
      </c>
      <c r="F64" s="120">
        <f>IFERROR(IF(INDEX('調整・決定'!$F$6:$F$29,MIN(calcA!$A$3,'設定'!$B$6)+21)="","",INDEX('調整・決定'!$F$6:$F$29,MIN(calcA!$A$3,'設定'!$B$6)+21)),"")</f>
        <v/>
      </c>
      <c r="G64" s="120">
        <f>IFERROR(IF(INDEX('調整・決定'!$G$6:$G$29,MIN(calcA!$A$3,'設定'!$B$6)+21)="","",INDEX('調整・決定'!$G$6:$G$29,MIN(calcA!$A$3,'設定'!$B$6)+21)),"")</f>
        <v/>
      </c>
      <c r="H64" s="120">
        <f>IFERROR(IF(INDEX('調整・決定'!$H$6:$H$29,MIN(calcA!$A$3,'設定'!$B$6)+21)="","",INDEX('調整・決定'!$H$6:$H$29,MIN(calcA!$A$3,'設定'!$B$6)+21)),"")</f>
        <v/>
      </c>
      <c r="M64">
        <f>IF(MIN(calcA!$A$3,'設定'!$B$6)+21&lt;='設定'!$B$6,"表示","隠す")</f>
        <v/>
      </c>
    </row>
    <row r="65" hidden="1" ht="20.9" customHeight="1">
      <c r="B65" s="119">
        <f>IFERROR(IF(INDEX('設定'!$I$11:$I$34,MIN(calcA!$A$3,'設定'!$B$6)+22)="","",SUBSTITUTE(SUBSTITUTE(SUBSTITUTE(SUBSTITUTE(SUBSTITUTE(SUBSTITUTE(SUBSTITUTE(SUBSTITUTE(SUBSTITUTE(SUBSTITUTE(SUBSTITUTE(SUBSTITUTE(INDEX('設定'!$I$11:$I$34,MIN(calcA!$A$3,'設定'!$B$6)+22),"〜",""),"0","０"),"1","１"),"2","２"),"3","３"),"4","４"),"5","５"),"6","６"),"7","７"),"8","８"),"9","９"),":","：")),"")</f>
        <v/>
      </c>
      <c r="C65" s="120">
        <f>IFERROR(IF(INDEX('調整・決定'!$C$6:$C$29,MIN(calcA!$A$3,'設定'!$B$6)+22)="","",INDEX('調整・決定'!$C$6:$C$29,MIN(calcA!$A$3,'設定'!$B$6)+22)),"")</f>
        <v/>
      </c>
      <c r="D65" s="120">
        <f>IFERROR(IF(INDEX('調整・決定'!$D$6:$D$29,MIN(calcA!$A$3,'設定'!$B$6)+22)="","",INDEX('調整・決定'!$D$6:$D$29,MIN(calcA!$A$3,'設定'!$B$6)+22)),"")</f>
        <v/>
      </c>
      <c r="E65" s="120">
        <f>IFERROR(IF(INDEX('調整・決定'!$E$6:$E$29,MIN(calcA!$A$3,'設定'!$B$6)+22)="","",INDEX('調整・決定'!$E$6:$E$29,MIN(calcA!$A$3,'設定'!$B$6)+22)),"")</f>
        <v/>
      </c>
      <c r="F65" s="120">
        <f>IFERROR(IF(INDEX('調整・決定'!$F$6:$F$29,MIN(calcA!$A$3,'設定'!$B$6)+22)="","",INDEX('調整・決定'!$F$6:$F$29,MIN(calcA!$A$3,'設定'!$B$6)+22)),"")</f>
        <v/>
      </c>
      <c r="G65" s="120">
        <f>IFERROR(IF(INDEX('調整・決定'!$G$6:$G$29,MIN(calcA!$A$3,'設定'!$B$6)+22)="","",INDEX('調整・決定'!$G$6:$G$29,MIN(calcA!$A$3,'設定'!$B$6)+22)),"")</f>
        <v/>
      </c>
      <c r="H65" s="120">
        <f>IFERROR(IF(INDEX('調整・決定'!$H$6:$H$29,MIN(calcA!$A$3,'設定'!$B$6)+22)="","",INDEX('調整・決定'!$H$6:$H$29,MIN(calcA!$A$3,'設定'!$B$6)+22)),"")</f>
        <v/>
      </c>
      <c r="M65">
        <f>IF(MIN(calcA!$A$3,'設定'!$B$6)+22&lt;='設定'!$B$6,"表示","隠す")</f>
        <v/>
      </c>
    </row>
    <row r="66" hidden="1" ht="20.9" customHeight="1">
      <c r="B66" s="119">
        <f>IFERROR(IF(INDEX('設定'!$I$11:$I$34,MIN(calcA!$A$3,'設定'!$B$6)+23)="","",SUBSTITUTE(SUBSTITUTE(SUBSTITUTE(SUBSTITUTE(SUBSTITUTE(SUBSTITUTE(SUBSTITUTE(SUBSTITUTE(SUBSTITUTE(SUBSTITUTE(SUBSTITUTE(SUBSTITUTE(INDEX('設定'!$I$11:$I$34,MIN(calcA!$A$3,'設定'!$B$6)+23),"〜",""),"0","０"),"1","１"),"2","２"),"3","３"),"4","４"),"5","５"),"6","６"),"7","７"),"8","８"),"9","９"),":","：")),"")</f>
        <v/>
      </c>
      <c r="C66" s="120">
        <f>IFERROR(IF(INDEX('調整・決定'!$C$6:$C$29,MIN(calcA!$A$3,'設定'!$B$6)+23)="","",INDEX('調整・決定'!$C$6:$C$29,MIN(calcA!$A$3,'設定'!$B$6)+23)),"")</f>
        <v/>
      </c>
      <c r="D66" s="120">
        <f>IFERROR(IF(INDEX('調整・決定'!$D$6:$D$29,MIN(calcA!$A$3,'設定'!$B$6)+23)="","",INDEX('調整・決定'!$D$6:$D$29,MIN(calcA!$A$3,'設定'!$B$6)+23)),"")</f>
        <v/>
      </c>
      <c r="E66" s="120">
        <f>IFERROR(IF(INDEX('調整・決定'!$E$6:$E$29,MIN(calcA!$A$3,'設定'!$B$6)+23)="","",INDEX('調整・決定'!$E$6:$E$29,MIN(calcA!$A$3,'設定'!$B$6)+23)),"")</f>
        <v/>
      </c>
      <c r="F66" s="120">
        <f>IFERROR(IF(INDEX('調整・決定'!$F$6:$F$29,MIN(calcA!$A$3,'設定'!$B$6)+23)="","",INDEX('調整・決定'!$F$6:$F$29,MIN(calcA!$A$3,'設定'!$B$6)+23)),"")</f>
        <v/>
      </c>
      <c r="G66" s="120">
        <f>IFERROR(IF(INDEX('調整・決定'!$G$6:$G$29,MIN(calcA!$A$3,'設定'!$B$6)+23)="","",INDEX('調整・決定'!$G$6:$G$29,MIN(calcA!$A$3,'設定'!$B$6)+23)),"")</f>
        <v/>
      </c>
      <c r="H66" s="120">
        <f>IFERROR(IF(INDEX('調整・決定'!$H$6:$H$29,MIN(calcA!$A$3,'設定'!$B$6)+23)="","",INDEX('調整・決定'!$H$6:$H$29,MIN(calcA!$A$3,'設定'!$B$6)+23)),"")</f>
        <v/>
      </c>
      <c r="M66">
        <f>IF(MIN(calcA!$A$3,'設定'!$B$6)+23&lt;='設定'!$B$6,"表示","隠す")</f>
        <v/>
      </c>
    </row>
    <row r="67" hidden="1" ht="20.9" customHeight="1">
      <c r="B67" s="119">
        <f>IFERROR(IF(INDEX('設定'!$I$11:$I$34,MIN(calcA!$A$3,'設定'!$B$6)+24)="","",SUBSTITUTE(SUBSTITUTE(SUBSTITUTE(SUBSTITUTE(SUBSTITUTE(SUBSTITUTE(SUBSTITUTE(SUBSTITUTE(SUBSTITUTE(SUBSTITUTE(SUBSTITUTE(SUBSTITUTE(INDEX('設定'!$I$11:$I$34,MIN(calcA!$A$3,'設定'!$B$6)+24),"〜",""),"0","０"),"1","１"),"2","２"),"3","３"),"4","４"),"5","５"),"6","６"),"7","７"),"8","８"),"9","９"),":","：")),"")</f>
        <v/>
      </c>
      <c r="C67" s="120">
        <f>IFERROR(IF(INDEX('調整・決定'!$C$6:$C$29,MIN(calcA!$A$3,'設定'!$B$6)+24)="","",INDEX('調整・決定'!$C$6:$C$29,MIN(calcA!$A$3,'設定'!$B$6)+24)),"")</f>
        <v/>
      </c>
      <c r="D67" s="120">
        <f>IFERROR(IF(INDEX('調整・決定'!$D$6:$D$29,MIN(calcA!$A$3,'設定'!$B$6)+24)="","",INDEX('調整・決定'!$D$6:$D$29,MIN(calcA!$A$3,'設定'!$B$6)+24)),"")</f>
        <v/>
      </c>
      <c r="E67" s="120">
        <f>IFERROR(IF(INDEX('調整・決定'!$E$6:$E$29,MIN(calcA!$A$3,'設定'!$B$6)+24)="","",INDEX('調整・決定'!$E$6:$E$29,MIN(calcA!$A$3,'設定'!$B$6)+24)),"")</f>
        <v/>
      </c>
      <c r="F67" s="120">
        <f>IFERROR(IF(INDEX('調整・決定'!$F$6:$F$29,MIN(calcA!$A$3,'設定'!$B$6)+24)="","",INDEX('調整・決定'!$F$6:$F$29,MIN(calcA!$A$3,'設定'!$B$6)+24)),"")</f>
        <v/>
      </c>
      <c r="G67" s="120">
        <f>IFERROR(IF(INDEX('調整・決定'!$G$6:$G$29,MIN(calcA!$A$3,'設定'!$B$6)+24)="","",INDEX('調整・決定'!$G$6:$G$29,MIN(calcA!$A$3,'設定'!$B$6)+24)),"")</f>
        <v/>
      </c>
      <c r="H67" s="120">
        <f>IFERROR(IF(INDEX('調整・決定'!$H$6:$H$29,MIN(calcA!$A$3,'設定'!$B$6)+24)="","",INDEX('調整・決定'!$H$6:$H$29,MIN(calcA!$A$3,'設定'!$B$6)+24)),"")</f>
        <v/>
      </c>
      <c r="M67">
        <f>IF(MIN(calcA!$A$3,'設定'!$B$6)+24&lt;='設定'!$B$6,"表示","隠す")</f>
        <v/>
      </c>
    </row>
  </sheetData>
  <autoFilter ref="B13:M67">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Column colId="11" hiddenButton="1" showButton="1">
      <filters>
        <filter val="表示"/>
      </filters>
    </filterColumn>
  </autoFilter>
  <mergeCells count="9">
    <mergeCell ref="J4:J5"/>
    <mergeCell ref="F5:G5"/>
    <mergeCell ref="B8:G8"/>
    <mergeCell ref="J8:J11"/>
    <mergeCell ref="F6:G6"/>
    <mergeCell ref="J6:J7"/>
    <mergeCell ref="B12:G12"/>
    <mergeCell ref="B3:H3"/>
    <mergeCell ref="F7:G7"/>
  </mergeCells>
  <conditionalFormatting sqref="B43">
    <cfRule type="expression" priority="1" dxfId="29">
      <formula>TRUE</formula>
    </cfRule>
  </conditionalFormatting>
  <conditionalFormatting sqref="C43">
    <cfRule type="expression" priority="2" dxfId="29">
      <formula>C$18&lt;&gt;""</formula>
    </cfRule>
  </conditionalFormatting>
  <conditionalFormatting sqref="D43">
    <cfRule type="expression" priority="3" dxfId="29">
      <formula>D$18&lt;&gt;""</formula>
    </cfRule>
  </conditionalFormatting>
  <conditionalFormatting sqref="E43">
    <cfRule type="expression" priority="4" dxfId="29">
      <formula>E$18&lt;&gt;""</formula>
    </cfRule>
  </conditionalFormatting>
  <conditionalFormatting sqref="F43">
    <cfRule type="expression" priority="5" dxfId="29">
      <formula>F$18&lt;&gt;""</formula>
    </cfRule>
  </conditionalFormatting>
  <conditionalFormatting sqref="G43">
    <cfRule type="expression" priority="6" dxfId="29">
      <formula>G$18&lt;&gt;""</formula>
    </cfRule>
  </conditionalFormatting>
  <conditionalFormatting sqref="H43">
    <cfRule type="expression" priority="7" dxfId="29">
      <formula>H$18&lt;&gt;""</formula>
    </cfRule>
  </conditionalFormatting>
  <conditionalFormatting sqref="B18">
    <cfRule type="expression" priority="8" dxfId="30">
      <formula>TRUE</formula>
    </cfRule>
  </conditionalFormatting>
  <conditionalFormatting sqref="B19:B67">
    <cfRule type="expression" priority="9" dxfId="30">
      <formula>$B19&lt;&gt;""</formula>
    </cfRule>
  </conditionalFormatting>
  <conditionalFormatting sqref="C18:C67">
    <cfRule type="expression" priority="10" dxfId="30">
      <formula>AND(C$18&lt;&gt;"",OR(ROW()=18,$B18&lt;&gt;""))</formula>
    </cfRule>
  </conditionalFormatting>
  <conditionalFormatting sqref="D18:D67">
    <cfRule type="expression" priority="11" dxfId="30">
      <formula>AND(D$18&lt;&gt;"",OR(ROW()=18,$B18&lt;&gt;""))</formula>
    </cfRule>
  </conditionalFormatting>
  <conditionalFormatting sqref="E18:E67">
    <cfRule type="expression" priority="12" dxfId="30">
      <formula>AND(E$18&lt;&gt;"",OR(ROW()=18,$B18&lt;&gt;""))</formula>
    </cfRule>
  </conditionalFormatting>
  <conditionalFormatting sqref="F18:F67">
    <cfRule type="expression" priority="13" dxfId="30">
      <formula>AND(F$18&lt;&gt;"",OR(ROW()=18,$B18&lt;&gt;""))</formula>
    </cfRule>
  </conditionalFormatting>
  <conditionalFormatting sqref="G18:G67">
    <cfRule type="expression" priority="14" dxfId="30">
      <formula>AND(G$18&lt;&gt;"",OR(ROW()=18,$B18&lt;&gt;""))</formula>
    </cfRule>
  </conditionalFormatting>
  <conditionalFormatting sqref="H18:H67">
    <cfRule type="expression" priority="15" dxfId="30">
      <formula>AND(H$18&lt;&gt;"",OR(ROW()=18,$B18&lt;&gt;""))</formula>
    </cfRule>
  </conditionalFormatting>
  <conditionalFormatting sqref="B3:H3">
    <cfRule type="expression" priority="16" dxfId="12">
      <formula>$B$3&lt;&gt;""</formula>
    </cfRule>
  </conditionalFormatting>
  <hyperlinks>
    <hyperlink ref="J4" location="'お手紙（夏）'!J4" display="▶ 印刷プレビュー"/>
    <hyperlink ref="J6" location="'お手紙（夏）'!J6" display="▶ PDFで保存"/>
  </hyperlinks>
  <pageMargins left="0.5" right="0.5" top="0.5" bottom="0.5" header="0" footer="0"/>
  <pageSetup orientation="portrait" paperSize="9" fitToHeight="1" fitToWidth="1"/>
</worksheet>
</file>

<file path=xl/worksheets/sheet10.xml><?xml version="1.0" encoding="utf-8"?>
<worksheet xmlns="http://schemas.openxmlformats.org/spreadsheetml/2006/main">
  <sheetPr>
    <tabColor rgb="002E8B57"/>
    <outlinePr summaryBelow="1" summaryRight="1"/>
    <pageSetUpPr fitToPage="1"/>
  </sheetPr>
  <dimension ref="A1:R46"/>
  <sheetViews>
    <sheetView showGridLines="0" showRowColHeaders="0" workbookViewId="0">
      <selection activeCell="A1" sqref="A1"/>
    </sheetView>
  </sheetViews>
  <sheetFormatPr baseColWidth="8" defaultRowHeight="15"/>
  <cols>
    <col width="0.91" customWidth="1" min="1" max="1"/>
    <col width="5.2" customWidth="1" min="2" max="2"/>
    <col width="5.36" customWidth="1" min="3" max="3"/>
    <col width="15.43" customWidth="1" min="4" max="4"/>
    <col width="15.43" customWidth="1" min="5" max="5"/>
    <col width="9.41" customWidth="1" min="6" max="6"/>
    <col width="5.31" customWidth="1" min="7" max="7"/>
    <col width="15.43" customWidth="1" min="8" max="8"/>
    <col width="9.52" customWidth="1" min="9" max="9"/>
    <col width="5.2" customWidth="1" min="10" max="10"/>
    <col width="15.43" customWidth="1" min="11" max="11"/>
    <col hidden="1" width="15" customWidth="1" min="12" max="12"/>
    <col width="15" customWidth="1" min="13" max="13"/>
    <col width="15" customWidth="1" min="14" max="14"/>
    <col width="15" customWidth="1" min="15" max="15"/>
    <col width="15" customWidth="1" min="16" max="16"/>
    <col width="15" customWidth="1" min="17" max="17"/>
    <col width="15" customWidth="1" min="18" max="18"/>
  </cols>
  <sheetData>
    <row r="1" ht="44" customHeight="1">
      <c r="A1" s="2" t="n"/>
      <c r="B1" s="71" t="inlineStr">
        <is>
          <t>お手紙（秋）</t>
        </is>
      </c>
      <c r="C1" s="2" t="n"/>
      <c r="D1" s="2" t="n"/>
      <c r="E1" s="22">
        <f>HYPERLINK("#'ホーム'!A1","ホーム")</f>
        <v/>
      </c>
      <c r="F1" s="22">
        <f>HYPERLINK("#'設定'!A1","① 設定")</f>
        <v/>
      </c>
      <c r="G1" s="22">
        <f>HYPERLINK("#'名簿'!A1","② 名簿")</f>
        <v/>
      </c>
      <c r="H1" s="22">
        <f>HYPERLINK("#'×入力'!A1","③ ×入力")</f>
        <v/>
      </c>
      <c r="I1" s="2" t="n"/>
      <c r="J1" s="2" t="n"/>
      <c r="K1" s="2" t="n"/>
      <c r="L1" s="2" t="n"/>
      <c r="M1" s="22">
        <f>HYPERLINK("#'自動案A'!A1","④ 自動案A")</f>
        <v/>
      </c>
      <c r="N1" s="22">
        <f>HYPERLINK("#'自動案B'!A1","④ 自動案B")</f>
        <v/>
      </c>
      <c r="O1" s="22">
        <f>HYPERLINK("#'調整・決定'!A1","⑤ 調整・決定")</f>
        <v/>
      </c>
      <c r="P1" s="22">
        <f>HYPERLINK("#'兄弟確認用'!A1","⑥ 兄弟確認")</f>
        <v/>
      </c>
      <c r="Q1" s="22">
        <f>HYPERLINK("#'お手紙（夏）'!A1","⑦ お手紙 夏")</f>
        <v/>
      </c>
      <c r="R1" s="23">
        <f>HYPERLINK("#'お手紙（秋）'!A1","⑧ お手紙 秋")</f>
        <v/>
      </c>
    </row>
    <row r="2" ht="24" customHeight="1">
      <c r="A2" s="5" t="n"/>
      <c r="B2" s="72" t="inlineStr">
        <is>
          <t>保護者へのお知らせです。宛名・日付・本文などは「設定」のいちばん下で決めます。このまま印刷できます（A4たて）。</t>
        </is>
      </c>
      <c r="C2" s="5" t="n"/>
      <c r="D2" s="5" t="n"/>
      <c r="E2" s="5" t="n"/>
      <c r="F2" s="5" t="n"/>
      <c r="G2" s="5" t="n"/>
      <c r="H2" s="5" t="n"/>
      <c r="I2" s="5" t="n"/>
      <c r="J2" s="5" t="n"/>
      <c r="K2" s="5" t="n"/>
      <c r="L2" s="5" t="n"/>
      <c r="M2" s="5" t="n"/>
      <c r="N2" s="5" t="n"/>
      <c r="O2" s="5" t="n"/>
      <c r="P2" s="5" t="n"/>
      <c r="Q2" s="5" t="n"/>
      <c r="R2" s="5" t="n"/>
    </row>
    <row r="3" ht="48" customHeight="1">
      <c r="B3" s="113">
        <f>IF(SUBTOTAL(103,L17:L46)&lt;&gt;COUNTIF(L17:L46,"表示"),"⚠ 設定で枠の数が変わりました。このシートで Ctrl＋Alt＋L を押してください"&amp;CHAR(10)&amp;"（押さないと、増えた時刻の行が印刷されません）","")</f>
        <v/>
      </c>
    </row>
    <row r="4" ht="23.8" customHeight="1">
      <c r="M4" s="90" t="inlineStr">
        <is>
          <t>▶ 印刷プレビュー</t>
        </is>
      </c>
    </row>
    <row r="5" ht="18" customHeight="1">
      <c r="C5" s="114">
        <f>IF('設定'!$B$31="","　",IF(RIGHT('設定'!$B$31,1)="年",LEFT('設定'!$B$31,LEN('設定'!$B$31)-1),'設定'!$B$31))&amp;"年"&amp;IF('設定'!$B$32="","　",IF(RIGHT('設定'!$B$32,1)="組",LEFT('設定'!$B$32,LEN('設定'!$B$32)-1),'設定'!$B$32))&amp;"組"&amp;"　保護者様"</f>
        <v/>
      </c>
      <c r="G5" s="115">
        <f>IFERROR(IF('設定'!$B$35="","","令和"&amp;(YEAR('設定'!$B$35)-2018)&amp;"年"&amp;MONTH('設定'!$B$35)&amp;"月"&amp;DAY('設定'!$B$35)&amp;"日（"&amp;CHOOSE(WEEKDAY('設定'!$B$35),"日","月","火","水","木","金","土")&amp;"）"),'設定'!$B$35&amp;"")</f>
        <v/>
      </c>
      <c r="M5" s="116" t="n"/>
    </row>
    <row r="6" ht="18" customHeight="1">
      <c r="G6" s="115">
        <f>IF('設定'!$B$34="","",'設定'!$B$34)</f>
        <v/>
      </c>
      <c r="M6" s="111" t="inlineStr">
        <is>
          <t>▶ PDFで保存</t>
        </is>
      </c>
    </row>
    <row r="7" ht="18" customHeight="1">
      <c r="G7" s="115">
        <f>IF('設定'!$B$31="","　",IF(RIGHT('設定'!$B$31,1)="年",LEFT('設定'!$B$31,LEN('設定'!$B$31)-1),'設定'!$B$31))&amp;"年"&amp;IF('設定'!$B$32="","　",IF(RIGHT('設定'!$B$32,1)="組",LEFT('設定'!$B$32,LEN('設定'!$B$32)-1),'設定'!$B$32))&amp;"組"&amp;"　担任　"&amp;'設定'!$B$33</f>
        <v/>
      </c>
      <c r="M7" s="116" t="n"/>
    </row>
    <row r="8" ht="36" customHeight="1">
      <c r="C8" s="121">
        <f>IF('設定'!$B$36="個人面談","個人面談",IF('設定'!$B$36="進路面談","進路面談",IF(OR(IF(RIGHT('設定'!$B$31,1)="年",LEFT('設定'!$B$31,LEN('設定'!$B$31)-1),'設定'!$B$31)&amp;""="6",IF(RIGHT('設定'!$B$31,1)="年",LEFT('設定'!$B$31,LEN('設定'!$B$31)-1),'設定'!$B$31)&amp;""="６"),"進路面談","個人面談")))&amp;"のお知らせ"</f>
        <v/>
      </c>
      <c r="M8" s="48" t="inlineStr">
        <is>
          <t>1日の枠が13以上なら夏の形、12以下なら秋の形で印刷・保存します</t>
        </is>
      </c>
    </row>
    <row r="9" ht="18" customHeight="1"/>
    <row r="10" ht="18" customHeight="1">
      <c r="C10" s="114">
        <f>MID(SUBSTITUTE('設定'!$B$37,"【面談】",IF('設定'!$B$36="個人面談","個人面談",IF('設定'!$B$36="進路面談","進路面談",IF(OR(IF(RIGHT('設定'!$B$31,1)="年",LEFT('設定'!$B$31,LEN('設定'!$B$31)-1),'設定'!$B$31)&amp;""="6",IF(RIGHT('設定'!$B$31,1)="年",LEFT('設定'!$B$31,LEN('設定'!$B$31)-1),'設定'!$B$31)&amp;""="６"),"進路面談","個人面談")))),1,35)</f>
        <v/>
      </c>
    </row>
    <row r="11" ht="18" customHeight="1">
      <c r="C11" s="114">
        <f>MID(SUBSTITUTE('設定'!$B$37,"【面談】",IF('設定'!$B$36="個人面談","個人面談",IF('設定'!$B$36="進路面談","進路面談",IF(OR(IF(RIGHT('設定'!$B$31,1)="年",LEFT('設定'!$B$31,LEN('設定'!$B$31)-1),'設定'!$B$31)&amp;""="6",IF(RIGHT('設定'!$B$31,1)="年",LEFT('設定'!$B$31,LEN('設定'!$B$31)-1),'設定'!$B$31)&amp;""="６"),"進路面談","個人面談")))),36,35)</f>
        <v/>
      </c>
    </row>
    <row r="12" ht="18" customHeight="1">
      <c r="C12" s="114">
        <f>MID(SUBSTITUTE('設定'!$B$37,"【面談】",IF('設定'!$B$36="個人面談","個人面談",IF('設定'!$B$36="進路面談","進路面談",IF(OR(IF(RIGHT('設定'!$B$31,1)="年",LEFT('設定'!$B$31,LEN('設定'!$B$31)-1),'設定'!$B$31)&amp;""="6",IF(RIGHT('設定'!$B$31,1)="年",LEFT('設定'!$B$31,LEN('設定'!$B$31)-1),'設定'!$B$31)&amp;""="６"),"進路面談","個人面談")))),71,35)</f>
        <v/>
      </c>
    </row>
    <row r="13" ht="18" customHeight="1">
      <c r="C13" s="114">
        <f>MID(SUBSTITUTE('設定'!$B$37,"【面談】",IF('設定'!$B$36="個人面談","個人面談",IF('設定'!$B$36="進路面談","進路面談",IF(OR(IF(RIGHT('設定'!$B$31,1)="年",LEFT('設定'!$B$31,LEN('設定'!$B$31)-1),'設定'!$B$31)&amp;""="6",IF(RIGHT('設定'!$B$31,1)="年",LEFT('設定'!$B$31,LEN('設定'!$B$31)-1),'設定'!$B$31)&amp;""="６"),"進路面談","個人面談")))),106,35)</f>
        <v/>
      </c>
    </row>
    <row r="14" ht="18" customHeight="1">
      <c r="C14" s="118" t="inlineStr">
        <is>
          <t>記</t>
        </is>
      </c>
    </row>
    <row r="15" ht="11.2" customHeight="1"/>
    <row r="16" ht="17.3" customHeight="1">
      <c r="D16" s="122">
        <f>SUBSTITUTE(SUBSTITUTE(SUBSTITUTE(SUBSTITUTE(SUBSTITUTE(SUBSTITUTE(SUBSTITUTE(SUBSTITUTE(SUBSTITUTE(SUBSTITUTE(SUBSTITUTE('設定'!$E$11,"0","０"),"1","１"),"2","２"),"3","３"),"4","４"),"5","５"),"6","６"),"7","７"),"8","８"),"9","９"),":","：")</f>
        <v/>
      </c>
      <c r="E16" s="122">
        <f>SUBSTITUTE(SUBSTITUTE(SUBSTITUTE(SUBSTITUTE(SUBSTITUTE(SUBSTITUTE(SUBSTITUTE(SUBSTITUTE(SUBSTITUTE(SUBSTITUTE(SUBSTITUTE('設定'!$E$12,"0","０"),"1","１"),"2","２"),"3","３"),"4","４"),"5","５"),"6","６"),"7","７"),"8","８"),"9","９"),":","：")</f>
        <v/>
      </c>
      <c r="F16" s="122">
        <f>SUBSTITUTE(SUBSTITUTE(SUBSTITUTE(SUBSTITUTE(SUBSTITUTE(SUBSTITUTE(SUBSTITUTE(SUBSTITUTE(SUBSTITUTE(SUBSTITUTE(SUBSTITUTE('設定'!$E$13,"0","０"),"1","１"),"2","２"),"3","３"),"4","４"),"5","５"),"6","６"),"7","７"),"8","８"),"9","９"),":","：")</f>
        <v/>
      </c>
      <c r="H16" s="122">
        <f>SUBSTITUTE(SUBSTITUTE(SUBSTITUTE(SUBSTITUTE(SUBSTITUTE(SUBSTITUTE(SUBSTITUTE(SUBSTITUTE(SUBSTITUTE(SUBSTITUTE(SUBSTITUTE('設定'!$E$14,"0","０"),"1","１"),"2","２"),"3","３"),"4","４"),"5","５"),"6","６"),"7","７"),"8","８"),"9","９"),":","：")</f>
        <v/>
      </c>
      <c r="I16" s="122">
        <f>SUBSTITUTE(SUBSTITUTE(SUBSTITUTE(SUBSTITUTE(SUBSTITUTE(SUBSTITUTE(SUBSTITUTE(SUBSTITUTE(SUBSTITUTE(SUBSTITUTE(SUBSTITUTE('設定'!$E$15,"0","０"),"1","１"),"2","２"),"3","３"),"4","４"),"5","５"),"6","６"),"7","７"),"8","８"),"9","９"),":","：")</f>
        <v/>
      </c>
      <c r="K16" s="122">
        <f>SUBSTITUTE(SUBSTITUTE(SUBSTITUTE(SUBSTITUTE(SUBSTITUTE(SUBSTITUTE(SUBSTITUTE(SUBSTITUTE(SUBSTITUTE(SUBSTITUTE(SUBSTITUTE('設定'!$E$16,"0","０"),"1","１"),"2","２"),"3","３"),"4","４"),"5","５"),"6","６"),"7","７"),"8","８"),"9","９"),":","：")</f>
        <v/>
      </c>
      <c r="L16" t="inlineStr">
        <is>
          <t>表示</t>
        </is>
      </c>
    </row>
    <row r="17" ht="33.5" customHeight="1">
      <c r="B17" s="119">
        <f>IF('設定'!$I$11="","",SUBSTITUTE(SUBSTITUTE(SUBSTITUTE(SUBSTITUTE(SUBSTITUTE(SUBSTITUTE(SUBSTITUTE(SUBSTITUTE(SUBSTITUTE(SUBSTITUTE(SUBSTITUTE(SUBSTITUTE('設定'!$I$11,"〜",""),"0","０"),"1","１"),"2","２"),"3","３"),"4","４"),"5","５"),"6","６"),"7","７"),"8","８"),"9","９"),":","：")&amp;"～")</f>
        <v/>
      </c>
      <c r="D17" s="120">
        <f>IF('調整・決定'!C6="","",'調整・決定'!C6)</f>
        <v/>
      </c>
      <c r="E17" s="120">
        <f>IF('調整・決定'!D6="","",'調整・決定'!D6)</f>
        <v/>
      </c>
      <c r="F17" s="120">
        <f>IF('調整・決定'!E6="","",'調整・決定'!E6)</f>
        <v/>
      </c>
      <c r="H17" s="120">
        <f>IF('調整・決定'!F6="","",'調整・決定'!F6)</f>
        <v/>
      </c>
      <c r="I17" s="120">
        <f>IF('調整・決定'!G6="","",'調整・決定'!G6)</f>
        <v/>
      </c>
      <c r="K17" s="120">
        <f>IF('調整・決定'!H6="","",'調整・決定'!H6)</f>
        <v/>
      </c>
      <c r="L17">
        <f>IF(1&lt;='設定'!$B$6,"表示","隠す")</f>
        <v/>
      </c>
    </row>
    <row r="18" ht="33.5" customHeight="1">
      <c r="B18" s="119">
        <f>IF('設定'!$I$12="","",SUBSTITUTE(SUBSTITUTE(SUBSTITUTE(SUBSTITUTE(SUBSTITUTE(SUBSTITUTE(SUBSTITUTE(SUBSTITUTE(SUBSTITUTE(SUBSTITUTE(SUBSTITUTE(SUBSTITUTE('設定'!$I$12,"〜",""),"0","０"),"1","１"),"2","２"),"3","３"),"4","４"),"5","５"),"6","６"),"7","７"),"8","８"),"9","９"),":","：")&amp;"～")</f>
        <v/>
      </c>
      <c r="D18" s="120">
        <f>IF('調整・決定'!C7="","",'調整・決定'!C7)</f>
        <v/>
      </c>
      <c r="E18" s="120">
        <f>IF('調整・決定'!D7="","",'調整・決定'!D7)</f>
        <v/>
      </c>
      <c r="F18" s="120">
        <f>IF('調整・決定'!E7="","",'調整・決定'!E7)</f>
        <v/>
      </c>
      <c r="H18" s="120">
        <f>IF('調整・決定'!F7="","",'調整・決定'!F7)</f>
        <v/>
      </c>
      <c r="I18" s="120">
        <f>IF('調整・決定'!G7="","",'調整・決定'!G7)</f>
        <v/>
      </c>
      <c r="K18" s="120">
        <f>IF('調整・決定'!H7="","",'調整・決定'!H7)</f>
        <v/>
      </c>
      <c r="L18">
        <f>IF(2&lt;='設定'!$B$6,"表示","隠す")</f>
        <v/>
      </c>
    </row>
    <row r="19" ht="33.5" customHeight="1">
      <c r="B19" s="119">
        <f>IF('設定'!$I$13="","",SUBSTITUTE(SUBSTITUTE(SUBSTITUTE(SUBSTITUTE(SUBSTITUTE(SUBSTITUTE(SUBSTITUTE(SUBSTITUTE(SUBSTITUTE(SUBSTITUTE(SUBSTITUTE(SUBSTITUTE('設定'!$I$13,"〜",""),"0","０"),"1","１"),"2","２"),"3","３"),"4","４"),"5","５"),"6","６"),"7","７"),"8","８"),"9","９"),":","：")&amp;"～")</f>
        <v/>
      </c>
      <c r="D19" s="120">
        <f>IF('調整・決定'!C8="","",'調整・決定'!C8)</f>
        <v/>
      </c>
      <c r="E19" s="120">
        <f>IF('調整・決定'!D8="","",'調整・決定'!D8)</f>
        <v/>
      </c>
      <c r="F19" s="120">
        <f>IF('調整・決定'!E8="","",'調整・決定'!E8)</f>
        <v/>
      </c>
      <c r="H19" s="120">
        <f>IF('調整・決定'!F8="","",'調整・決定'!F8)</f>
        <v/>
      </c>
      <c r="I19" s="120">
        <f>IF('調整・決定'!G8="","",'調整・決定'!G8)</f>
        <v/>
      </c>
      <c r="K19" s="120">
        <f>IF('調整・決定'!H8="","",'調整・決定'!H8)</f>
        <v/>
      </c>
      <c r="L19">
        <f>IF(3&lt;='設定'!$B$6,"表示","隠す")</f>
        <v/>
      </c>
    </row>
    <row r="20" ht="33.5" customHeight="1">
      <c r="B20" s="119">
        <f>IF('設定'!$I$14="","",SUBSTITUTE(SUBSTITUTE(SUBSTITUTE(SUBSTITUTE(SUBSTITUTE(SUBSTITUTE(SUBSTITUTE(SUBSTITUTE(SUBSTITUTE(SUBSTITUTE(SUBSTITUTE(SUBSTITUTE('設定'!$I$14,"〜",""),"0","０"),"1","１"),"2","２"),"3","３"),"4","４"),"5","５"),"6","６"),"7","７"),"8","８"),"9","９"),":","：")&amp;"～")</f>
        <v/>
      </c>
      <c r="D20" s="120">
        <f>IF('調整・決定'!C9="","",'調整・決定'!C9)</f>
        <v/>
      </c>
      <c r="E20" s="120">
        <f>IF('調整・決定'!D9="","",'調整・決定'!D9)</f>
        <v/>
      </c>
      <c r="F20" s="120">
        <f>IF('調整・決定'!E9="","",'調整・決定'!E9)</f>
        <v/>
      </c>
      <c r="H20" s="120">
        <f>IF('調整・決定'!F9="","",'調整・決定'!F9)</f>
        <v/>
      </c>
      <c r="I20" s="120">
        <f>IF('調整・決定'!G9="","",'調整・決定'!G9)</f>
        <v/>
      </c>
      <c r="K20" s="120">
        <f>IF('調整・決定'!H9="","",'調整・決定'!H9)</f>
        <v/>
      </c>
      <c r="L20">
        <f>IF(4&lt;='設定'!$B$6,"表示","隠す")</f>
        <v/>
      </c>
    </row>
    <row r="21" ht="33.5" customHeight="1">
      <c r="B21" s="119">
        <f>IF('設定'!$I$15="","",SUBSTITUTE(SUBSTITUTE(SUBSTITUTE(SUBSTITUTE(SUBSTITUTE(SUBSTITUTE(SUBSTITUTE(SUBSTITUTE(SUBSTITUTE(SUBSTITUTE(SUBSTITUTE(SUBSTITUTE('設定'!$I$15,"〜",""),"0","０"),"1","１"),"2","２"),"3","３"),"4","４"),"5","５"),"6","６"),"7","７"),"8","８"),"9","９"),":","：")&amp;"～")</f>
        <v/>
      </c>
      <c r="D21" s="120">
        <f>IF('調整・決定'!C10="","",'調整・決定'!C10)</f>
        <v/>
      </c>
      <c r="E21" s="120">
        <f>IF('調整・決定'!D10="","",'調整・決定'!D10)</f>
        <v/>
      </c>
      <c r="F21" s="120">
        <f>IF('調整・決定'!E10="","",'調整・決定'!E10)</f>
        <v/>
      </c>
      <c r="H21" s="120">
        <f>IF('調整・決定'!F10="","",'調整・決定'!F10)</f>
        <v/>
      </c>
      <c r="I21" s="120">
        <f>IF('調整・決定'!G10="","",'調整・決定'!G10)</f>
        <v/>
      </c>
      <c r="K21" s="120">
        <f>IF('調整・決定'!H10="","",'調整・決定'!H10)</f>
        <v/>
      </c>
      <c r="L21">
        <f>IF(5&lt;='設定'!$B$6,"表示","隠す")</f>
        <v/>
      </c>
    </row>
    <row r="22" ht="33.5" customHeight="1">
      <c r="B22" s="119">
        <f>IF('設定'!$I$16="","",SUBSTITUTE(SUBSTITUTE(SUBSTITUTE(SUBSTITUTE(SUBSTITUTE(SUBSTITUTE(SUBSTITUTE(SUBSTITUTE(SUBSTITUTE(SUBSTITUTE(SUBSTITUTE(SUBSTITUTE('設定'!$I$16,"〜",""),"0","０"),"1","１"),"2","２"),"3","３"),"4","４"),"5","５"),"6","６"),"7","７"),"8","８"),"9","９"),":","：")&amp;"～")</f>
        <v/>
      </c>
      <c r="D22" s="120">
        <f>IF('調整・決定'!C11="","",'調整・決定'!C11)</f>
        <v/>
      </c>
      <c r="E22" s="120">
        <f>IF('調整・決定'!D11="","",'調整・決定'!D11)</f>
        <v/>
      </c>
      <c r="F22" s="120">
        <f>IF('調整・決定'!E11="","",'調整・決定'!E11)</f>
        <v/>
      </c>
      <c r="H22" s="120">
        <f>IF('調整・決定'!F11="","",'調整・決定'!F11)</f>
        <v/>
      </c>
      <c r="I22" s="120">
        <f>IF('調整・決定'!G11="","",'調整・決定'!G11)</f>
        <v/>
      </c>
      <c r="K22" s="120">
        <f>IF('調整・決定'!H11="","",'調整・決定'!H11)</f>
        <v/>
      </c>
      <c r="L22">
        <f>IF(6&lt;='設定'!$B$6,"表示","隠す")</f>
        <v/>
      </c>
    </row>
    <row r="23" ht="33.5" customHeight="1">
      <c r="B23" s="119">
        <f>IF('設定'!$I$17="","",SUBSTITUTE(SUBSTITUTE(SUBSTITUTE(SUBSTITUTE(SUBSTITUTE(SUBSTITUTE(SUBSTITUTE(SUBSTITUTE(SUBSTITUTE(SUBSTITUTE(SUBSTITUTE(SUBSTITUTE('設定'!$I$17,"〜",""),"0","０"),"1","１"),"2","２"),"3","３"),"4","４"),"5","５"),"6","６"),"7","７"),"8","８"),"9","９"),":","：")&amp;"～")</f>
        <v/>
      </c>
      <c r="D23" s="120">
        <f>IF('調整・決定'!C12="","",'調整・決定'!C12)</f>
        <v/>
      </c>
      <c r="E23" s="120">
        <f>IF('調整・決定'!D12="","",'調整・決定'!D12)</f>
        <v/>
      </c>
      <c r="F23" s="120">
        <f>IF('調整・決定'!E12="","",'調整・決定'!E12)</f>
        <v/>
      </c>
      <c r="H23" s="120">
        <f>IF('調整・決定'!F12="","",'調整・決定'!F12)</f>
        <v/>
      </c>
      <c r="I23" s="120">
        <f>IF('調整・決定'!G12="","",'調整・決定'!G12)</f>
        <v/>
      </c>
      <c r="K23" s="120">
        <f>IF('調整・決定'!H12="","",'調整・決定'!H12)</f>
        <v/>
      </c>
      <c r="L23">
        <f>IF(7&lt;='設定'!$B$6,"表示","隠す")</f>
        <v/>
      </c>
    </row>
    <row r="24" ht="33.5" customHeight="1">
      <c r="B24" s="119">
        <f>IF('設定'!$I$18="","",SUBSTITUTE(SUBSTITUTE(SUBSTITUTE(SUBSTITUTE(SUBSTITUTE(SUBSTITUTE(SUBSTITUTE(SUBSTITUTE(SUBSTITUTE(SUBSTITUTE(SUBSTITUTE(SUBSTITUTE('設定'!$I$18,"〜",""),"0","０"),"1","１"),"2","２"),"3","３"),"4","４"),"5","５"),"6","６"),"7","７"),"8","８"),"9","９"),":","：")&amp;"～")</f>
        <v/>
      </c>
      <c r="D24" s="120">
        <f>IF('調整・決定'!C13="","",'調整・決定'!C13)</f>
        <v/>
      </c>
      <c r="E24" s="120">
        <f>IF('調整・決定'!D13="","",'調整・決定'!D13)</f>
        <v/>
      </c>
      <c r="F24" s="120">
        <f>IF('調整・決定'!E13="","",'調整・決定'!E13)</f>
        <v/>
      </c>
      <c r="H24" s="120">
        <f>IF('調整・決定'!F13="","",'調整・決定'!F13)</f>
        <v/>
      </c>
      <c r="I24" s="120">
        <f>IF('調整・決定'!G13="","",'調整・決定'!G13)</f>
        <v/>
      </c>
      <c r="K24" s="120">
        <f>IF('調整・決定'!H13="","",'調整・決定'!H13)</f>
        <v/>
      </c>
      <c r="L24">
        <f>IF(8&lt;='設定'!$B$6,"表示","隠す")</f>
        <v/>
      </c>
    </row>
    <row r="25" ht="33.5" customHeight="1">
      <c r="B25" s="119">
        <f>IF('設定'!$I$19="","",SUBSTITUTE(SUBSTITUTE(SUBSTITUTE(SUBSTITUTE(SUBSTITUTE(SUBSTITUTE(SUBSTITUTE(SUBSTITUTE(SUBSTITUTE(SUBSTITUTE(SUBSTITUTE(SUBSTITUTE('設定'!$I$19,"〜",""),"0","０"),"1","１"),"2","２"),"3","３"),"4","４"),"5","５"),"6","６"),"7","７"),"8","８"),"9","９"),":","：")&amp;"～")</f>
        <v/>
      </c>
      <c r="D25" s="120">
        <f>IF('調整・決定'!C14="","",'調整・決定'!C14)</f>
        <v/>
      </c>
      <c r="E25" s="120">
        <f>IF('調整・決定'!D14="","",'調整・決定'!D14)</f>
        <v/>
      </c>
      <c r="F25" s="120">
        <f>IF('調整・決定'!E14="","",'調整・決定'!E14)</f>
        <v/>
      </c>
      <c r="H25" s="120">
        <f>IF('調整・決定'!F14="","",'調整・決定'!F14)</f>
        <v/>
      </c>
      <c r="I25" s="120">
        <f>IF('調整・決定'!G14="","",'調整・決定'!G14)</f>
        <v/>
      </c>
      <c r="K25" s="120">
        <f>IF('調整・決定'!H14="","",'調整・決定'!H14)</f>
        <v/>
      </c>
      <c r="L25">
        <f>IF(9&lt;='設定'!$B$6,"表示","隠す")</f>
        <v/>
      </c>
    </row>
    <row r="26" hidden="1" ht="33.5" customHeight="1">
      <c r="B26" s="119">
        <f>IF('設定'!$I$20="","",SUBSTITUTE(SUBSTITUTE(SUBSTITUTE(SUBSTITUTE(SUBSTITUTE(SUBSTITUTE(SUBSTITUTE(SUBSTITUTE(SUBSTITUTE(SUBSTITUTE(SUBSTITUTE(SUBSTITUTE('設定'!$I$20,"〜",""),"0","０"),"1","１"),"2","２"),"3","３"),"4","４"),"5","５"),"6","６"),"7","７"),"8","８"),"9","９"),":","：")&amp;"～")</f>
        <v/>
      </c>
      <c r="D26" s="120">
        <f>IF('調整・決定'!C15="","",'調整・決定'!C15)</f>
        <v/>
      </c>
      <c r="E26" s="120">
        <f>IF('調整・決定'!D15="","",'調整・決定'!D15)</f>
        <v/>
      </c>
      <c r="F26" s="120">
        <f>IF('調整・決定'!E15="","",'調整・決定'!E15)</f>
        <v/>
      </c>
      <c r="H26" s="120">
        <f>IF('調整・決定'!F15="","",'調整・決定'!F15)</f>
        <v/>
      </c>
      <c r="I26" s="120">
        <f>IF('調整・決定'!G15="","",'調整・決定'!G15)</f>
        <v/>
      </c>
      <c r="K26" s="120">
        <f>IF('調整・決定'!H15="","",'調整・決定'!H15)</f>
        <v/>
      </c>
      <c r="L26">
        <f>IF(10&lt;='設定'!$B$6,"表示","隠す")</f>
        <v/>
      </c>
    </row>
    <row r="27" hidden="1" ht="33.5" customHeight="1">
      <c r="B27" s="119">
        <f>IF('設定'!$I$21="","",SUBSTITUTE(SUBSTITUTE(SUBSTITUTE(SUBSTITUTE(SUBSTITUTE(SUBSTITUTE(SUBSTITUTE(SUBSTITUTE(SUBSTITUTE(SUBSTITUTE(SUBSTITUTE(SUBSTITUTE('設定'!$I$21,"〜",""),"0","０"),"1","１"),"2","２"),"3","３"),"4","４"),"5","５"),"6","６"),"7","７"),"8","８"),"9","９"),":","：")&amp;"～")</f>
        <v/>
      </c>
      <c r="D27" s="120">
        <f>IF('調整・決定'!C16="","",'調整・決定'!C16)</f>
        <v/>
      </c>
      <c r="E27" s="120">
        <f>IF('調整・決定'!D16="","",'調整・決定'!D16)</f>
        <v/>
      </c>
      <c r="F27" s="120">
        <f>IF('調整・決定'!E16="","",'調整・決定'!E16)</f>
        <v/>
      </c>
      <c r="H27" s="120">
        <f>IF('調整・決定'!F16="","",'調整・決定'!F16)</f>
        <v/>
      </c>
      <c r="I27" s="120">
        <f>IF('調整・決定'!G16="","",'調整・決定'!G16)</f>
        <v/>
      </c>
      <c r="K27" s="120">
        <f>IF('調整・決定'!H16="","",'調整・決定'!H16)</f>
        <v/>
      </c>
      <c r="L27">
        <f>IF(11&lt;='設定'!$B$6,"表示","隠す")</f>
        <v/>
      </c>
    </row>
    <row r="28" hidden="1" ht="33.5" customHeight="1">
      <c r="B28" s="119">
        <f>IF('設定'!$I$22="","",SUBSTITUTE(SUBSTITUTE(SUBSTITUTE(SUBSTITUTE(SUBSTITUTE(SUBSTITUTE(SUBSTITUTE(SUBSTITUTE(SUBSTITUTE(SUBSTITUTE(SUBSTITUTE(SUBSTITUTE('設定'!$I$22,"〜",""),"0","０"),"1","１"),"2","２"),"3","３"),"4","４"),"5","５"),"6","６"),"7","７"),"8","８"),"9","９"),":","：")&amp;"～")</f>
        <v/>
      </c>
      <c r="D28" s="120">
        <f>IF('調整・決定'!C17="","",'調整・決定'!C17)</f>
        <v/>
      </c>
      <c r="E28" s="120">
        <f>IF('調整・決定'!D17="","",'調整・決定'!D17)</f>
        <v/>
      </c>
      <c r="F28" s="120">
        <f>IF('調整・決定'!E17="","",'調整・決定'!E17)</f>
        <v/>
      </c>
      <c r="H28" s="120">
        <f>IF('調整・決定'!F17="","",'調整・決定'!F17)</f>
        <v/>
      </c>
      <c r="I28" s="120">
        <f>IF('調整・決定'!G17="","",'調整・決定'!G17)</f>
        <v/>
      </c>
      <c r="K28" s="120">
        <f>IF('調整・決定'!H17="","",'調整・決定'!H17)</f>
        <v/>
      </c>
      <c r="L28">
        <f>IF(12&lt;='設定'!$B$6,"表示","隠す")</f>
        <v/>
      </c>
    </row>
    <row r="29" hidden="1" ht="33.5" customHeight="1">
      <c r="B29" s="119">
        <f>IF('設定'!$I$23="","",SUBSTITUTE(SUBSTITUTE(SUBSTITUTE(SUBSTITUTE(SUBSTITUTE(SUBSTITUTE(SUBSTITUTE(SUBSTITUTE(SUBSTITUTE(SUBSTITUTE(SUBSTITUTE(SUBSTITUTE('設定'!$I$23,"〜",""),"0","０"),"1","１"),"2","２"),"3","３"),"4","４"),"5","５"),"6","６"),"7","７"),"8","８"),"9","９"),":","：")&amp;"～")</f>
        <v/>
      </c>
      <c r="D29" s="120">
        <f>IF('調整・決定'!C18="","",'調整・決定'!C18)</f>
        <v/>
      </c>
      <c r="E29" s="120">
        <f>IF('調整・決定'!D18="","",'調整・決定'!D18)</f>
        <v/>
      </c>
      <c r="F29" s="120">
        <f>IF('調整・決定'!E18="","",'調整・決定'!E18)</f>
        <v/>
      </c>
      <c r="H29" s="120">
        <f>IF('調整・決定'!F18="","",'調整・決定'!F18)</f>
        <v/>
      </c>
      <c r="I29" s="120">
        <f>IF('調整・決定'!G18="","",'調整・決定'!G18)</f>
        <v/>
      </c>
      <c r="K29" s="120">
        <f>IF('調整・決定'!H18="","",'調整・決定'!H18)</f>
        <v/>
      </c>
      <c r="L29">
        <f>IF(13&lt;='設定'!$B$6,"表示","隠す")</f>
        <v/>
      </c>
    </row>
    <row r="30" hidden="1" ht="33.5" customHeight="1">
      <c r="B30" s="119">
        <f>IF('設定'!$I$24="","",SUBSTITUTE(SUBSTITUTE(SUBSTITUTE(SUBSTITUTE(SUBSTITUTE(SUBSTITUTE(SUBSTITUTE(SUBSTITUTE(SUBSTITUTE(SUBSTITUTE(SUBSTITUTE(SUBSTITUTE('設定'!$I$24,"〜",""),"0","０"),"1","１"),"2","２"),"3","３"),"4","４"),"5","５"),"6","６"),"7","７"),"8","８"),"9","９"),":","：")&amp;"～")</f>
        <v/>
      </c>
      <c r="D30" s="120">
        <f>IF('調整・決定'!C19="","",'調整・決定'!C19)</f>
        <v/>
      </c>
      <c r="E30" s="120">
        <f>IF('調整・決定'!D19="","",'調整・決定'!D19)</f>
        <v/>
      </c>
      <c r="F30" s="120">
        <f>IF('調整・決定'!E19="","",'調整・決定'!E19)</f>
        <v/>
      </c>
      <c r="H30" s="120">
        <f>IF('調整・決定'!F19="","",'調整・決定'!F19)</f>
        <v/>
      </c>
      <c r="I30" s="120">
        <f>IF('調整・決定'!G19="","",'調整・決定'!G19)</f>
        <v/>
      </c>
      <c r="K30" s="120">
        <f>IF('調整・決定'!H19="","",'調整・決定'!H19)</f>
        <v/>
      </c>
      <c r="L30">
        <f>IF(14&lt;='設定'!$B$6,"表示","隠す")</f>
        <v/>
      </c>
    </row>
    <row r="31" hidden="1" ht="33.5" customHeight="1">
      <c r="B31" s="119">
        <f>IF('設定'!$I$25="","",SUBSTITUTE(SUBSTITUTE(SUBSTITUTE(SUBSTITUTE(SUBSTITUTE(SUBSTITUTE(SUBSTITUTE(SUBSTITUTE(SUBSTITUTE(SUBSTITUTE(SUBSTITUTE(SUBSTITUTE('設定'!$I$25,"〜",""),"0","０"),"1","１"),"2","２"),"3","３"),"4","４"),"5","５"),"6","６"),"7","７"),"8","８"),"9","９"),":","：")&amp;"～")</f>
        <v/>
      </c>
      <c r="D31" s="120">
        <f>IF('調整・決定'!C20="","",'調整・決定'!C20)</f>
        <v/>
      </c>
      <c r="E31" s="120">
        <f>IF('調整・決定'!D20="","",'調整・決定'!D20)</f>
        <v/>
      </c>
      <c r="F31" s="120">
        <f>IF('調整・決定'!E20="","",'調整・決定'!E20)</f>
        <v/>
      </c>
      <c r="H31" s="120">
        <f>IF('調整・決定'!F20="","",'調整・決定'!F20)</f>
        <v/>
      </c>
      <c r="I31" s="120">
        <f>IF('調整・決定'!G20="","",'調整・決定'!G20)</f>
        <v/>
      </c>
      <c r="K31" s="120">
        <f>IF('調整・決定'!H20="","",'調整・決定'!H20)</f>
        <v/>
      </c>
      <c r="L31">
        <f>IF(15&lt;='設定'!$B$6,"表示","隠す")</f>
        <v/>
      </c>
    </row>
    <row r="32" hidden="1" ht="33.5" customHeight="1">
      <c r="B32" s="119">
        <f>IF('設定'!$I$26="","",SUBSTITUTE(SUBSTITUTE(SUBSTITUTE(SUBSTITUTE(SUBSTITUTE(SUBSTITUTE(SUBSTITUTE(SUBSTITUTE(SUBSTITUTE(SUBSTITUTE(SUBSTITUTE(SUBSTITUTE('設定'!$I$26,"〜",""),"0","０"),"1","１"),"2","２"),"3","３"),"4","４"),"5","５"),"6","６"),"7","７"),"8","８"),"9","９"),":","：")&amp;"～")</f>
        <v/>
      </c>
      <c r="D32" s="120">
        <f>IF('調整・決定'!C21="","",'調整・決定'!C21)</f>
        <v/>
      </c>
      <c r="E32" s="120">
        <f>IF('調整・決定'!D21="","",'調整・決定'!D21)</f>
        <v/>
      </c>
      <c r="F32" s="120">
        <f>IF('調整・決定'!E21="","",'調整・決定'!E21)</f>
        <v/>
      </c>
      <c r="H32" s="120">
        <f>IF('調整・決定'!F21="","",'調整・決定'!F21)</f>
        <v/>
      </c>
      <c r="I32" s="120">
        <f>IF('調整・決定'!G21="","",'調整・決定'!G21)</f>
        <v/>
      </c>
      <c r="K32" s="120">
        <f>IF('調整・決定'!H21="","",'調整・決定'!H21)</f>
        <v/>
      </c>
      <c r="L32">
        <f>IF(16&lt;='設定'!$B$6,"表示","隠す")</f>
        <v/>
      </c>
    </row>
    <row r="33" hidden="1" ht="33.5" customHeight="1">
      <c r="B33" s="119">
        <f>IF('設定'!$I$27="","",SUBSTITUTE(SUBSTITUTE(SUBSTITUTE(SUBSTITUTE(SUBSTITUTE(SUBSTITUTE(SUBSTITUTE(SUBSTITUTE(SUBSTITUTE(SUBSTITUTE(SUBSTITUTE(SUBSTITUTE('設定'!$I$27,"〜",""),"0","０"),"1","１"),"2","２"),"3","３"),"4","４"),"5","５"),"6","６"),"7","７"),"8","８"),"9","９"),":","：")&amp;"～")</f>
        <v/>
      </c>
      <c r="D33" s="120">
        <f>IF('調整・決定'!C22="","",'調整・決定'!C22)</f>
        <v/>
      </c>
      <c r="E33" s="120">
        <f>IF('調整・決定'!D22="","",'調整・決定'!D22)</f>
        <v/>
      </c>
      <c r="F33" s="120">
        <f>IF('調整・決定'!E22="","",'調整・決定'!E22)</f>
        <v/>
      </c>
      <c r="H33" s="120">
        <f>IF('調整・決定'!F22="","",'調整・決定'!F22)</f>
        <v/>
      </c>
      <c r="I33" s="120">
        <f>IF('調整・決定'!G22="","",'調整・決定'!G22)</f>
        <v/>
      </c>
      <c r="K33" s="120">
        <f>IF('調整・決定'!H22="","",'調整・決定'!H22)</f>
        <v/>
      </c>
      <c r="L33">
        <f>IF(17&lt;='設定'!$B$6,"表示","隠す")</f>
        <v/>
      </c>
    </row>
    <row r="34" hidden="1" ht="33.5" customHeight="1">
      <c r="B34" s="119">
        <f>IF('設定'!$I$28="","",SUBSTITUTE(SUBSTITUTE(SUBSTITUTE(SUBSTITUTE(SUBSTITUTE(SUBSTITUTE(SUBSTITUTE(SUBSTITUTE(SUBSTITUTE(SUBSTITUTE(SUBSTITUTE(SUBSTITUTE('設定'!$I$28,"〜",""),"0","０"),"1","１"),"2","２"),"3","３"),"4","４"),"5","５"),"6","６"),"7","７"),"8","８"),"9","９"),":","：")&amp;"～")</f>
        <v/>
      </c>
      <c r="D34" s="120">
        <f>IF('調整・決定'!C23="","",'調整・決定'!C23)</f>
        <v/>
      </c>
      <c r="E34" s="120">
        <f>IF('調整・決定'!D23="","",'調整・決定'!D23)</f>
        <v/>
      </c>
      <c r="F34" s="120">
        <f>IF('調整・決定'!E23="","",'調整・決定'!E23)</f>
        <v/>
      </c>
      <c r="H34" s="120">
        <f>IF('調整・決定'!F23="","",'調整・決定'!F23)</f>
        <v/>
      </c>
      <c r="I34" s="120">
        <f>IF('調整・決定'!G23="","",'調整・決定'!G23)</f>
        <v/>
      </c>
      <c r="K34" s="120">
        <f>IF('調整・決定'!H23="","",'調整・決定'!H23)</f>
        <v/>
      </c>
      <c r="L34">
        <f>IF(18&lt;='設定'!$B$6,"表示","隠す")</f>
        <v/>
      </c>
    </row>
    <row r="35" hidden="1" ht="33.5" customHeight="1">
      <c r="B35" s="119">
        <f>IF('設定'!$I$29="","",SUBSTITUTE(SUBSTITUTE(SUBSTITUTE(SUBSTITUTE(SUBSTITUTE(SUBSTITUTE(SUBSTITUTE(SUBSTITUTE(SUBSTITUTE(SUBSTITUTE(SUBSTITUTE(SUBSTITUTE('設定'!$I$29,"〜",""),"0","０"),"1","１"),"2","２"),"3","３"),"4","４"),"5","５"),"6","６"),"7","７"),"8","８"),"9","９"),":","：")&amp;"～")</f>
        <v/>
      </c>
      <c r="D35" s="120">
        <f>IF('調整・決定'!C24="","",'調整・決定'!C24)</f>
        <v/>
      </c>
      <c r="E35" s="120">
        <f>IF('調整・決定'!D24="","",'調整・決定'!D24)</f>
        <v/>
      </c>
      <c r="F35" s="120">
        <f>IF('調整・決定'!E24="","",'調整・決定'!E24)</f>
        <v/>
      </c>
      <c r="H35" s="120">
        <f>IF('調整・決定'!F24="","",'調整・決定'!F24)</f>
        <v/>
      </c>
      <c r="I35" s="120">
        <f>IF('調整・決定'!G24="","",'調整・決定'!G24)</f>
        <v/>
      </c>
      <c r="K35" s="120">
        <f>IF('調整・決定'!H24="","",'調整・決定'!H24)</f>
        <v/>
      </c>
      <c r="L35">
        <f>IF(19&lt;='設定'!$B$6,"表示","隠す")</f>
        <v/>
      </c>
    </row>
    <row r="36" hidden="1" ht="33.5" customHeight="1">
      <c r="B36" s="119">
        <f>IF('設定'!$I$30="","",SUBSTITUTE(SUBSTITUTE(SUBSTITUTE(SUBSTITUTE(SUBSTITUTE(SUBSTITUTE(SUBSTITUTE(SUBSTITUTE(SUBSTITUTE(SUBSTITUTE(SUBSTITUTE(SUBSTITUTE('設定'!$I$30,"〜",""),"0","０"),"1","１"),"2","２"),"3","３"),"4","４"),"5","５"),"6","６"),"7","７"),"8","８"),"9","９"),":","：")&amp;"～")</f>
        <v/>
      </c>
      <c r="D36" s="120">
        <f>IF('調整・決定'!C25="","",'調整・決定'!C25)</f>
        <v/>
      </c>
      <c r="E36" s="120">
        <f>IF('調整・決定'!D25="","",'調整・決定'!D25)</f>
        <v/>
      </c>
      <c r="F36" s="120">
        <f>IF('調整・決定'!E25="","",'調整・決定'!E25)</f>
        <v/>
      </c>
      <c r="H36" s="120">
        <f>IF('調整・決定'!F25="","",'調整・決定'!F25)</f>
        <v/>
      </c>
      <c r="I36" s="120">
        <f>IF('調整・決定'!G25="","",'調整・決定'!G25)</f>
        <v/>
      </c>
      <c r="K36" s="120">
        <f>IF('調整・決定'!H25="","",'調整・決定'!H25)</f>
        <v/>
      </c>
      <c r="L36">
        <f>IF(20&lt;='設定'!$B$6,"表示","隠す")</f>
        <v/>
      </c>
    </row>
    <row r="37" hidden="1" ht="33.5" customHeight="1">
      <c r="B37" s="119">
        <f>IF('設定'!$I$31="","",SUBSTITUTE(SUBSTITUTE(SUBSTITUTE(SUBSTITUTE(SUBSTITUTE(SUBSTITUTE(SUBSTITUTE(SUBSTITUTE(SUBSTITUTE(SUBSTITUTE(SUBSTITUTE(SUBSTITUTE('設定'!$I$31,"〜",""),"0","０"),"1","１"),"2","２"),"3","３"),"4","４"),"5","５"),"6","６"),"7","７"),"8","８"),"9","９"),":","：")&amp;"～")</f>
        <v/>
      </c>
      <c r="D37" s="120">
        <f>IF('調整・決定'!C26="","",'調整・決定'!C26)</f>
        <v/>
      </c>
      <c r="E37" s="120">
        <f>IF('調整・決定'!D26="","",'調整・決定'!D26)</f>
        <v/>
      </c>
      <c r="F37" s="120">
        <f>IF('調整・決定'!E26="","",'調整・決定'!E26)</f>
        <v/>
      </c>
      <c r="H37" s="120">
        <f>IF('調整・決定'!F26="","",'調整・決定'!F26)</f>
        <v/>
      </c>
      <c r="I37" s="120">
        <f>IF('調整・決定'!G26="","",'調整・決定'!G26)</f>
        <v/>
      </c>
      <c r="K37" s="120">
        <f>IF('調整・決定'!H26="","",'調整・決定'!H26)</f>
        <v/>
      </c>
      <c r="L37">
        <f>IF(21&lt;='設定'!$B$6,"表示","隠す")</f>
        <v/>
      </c>
    </row>
    <row r="38" hidden="1" ht="33.5" customHeight="1">
      <c r="B38" s="119">
        <f>IF('設定'!$I$32="","",SUBSTITUTE(SUBSTITUTE(SUBSTITUTE(SUBSTITUTE(SUBSTITUTE(SUBSTITUTE(SUBSTITUTE(SUBSTITUTE(SUBSTITUTE(SUBSTITUTE(SUBSTITUTE(SUBSTITUTE('設定'!$I$32,"〜",""),"0","０"),"1","１"),"2","２"),"3","３"),"4","４"),"5","５"),"6","６"),"7","７"),"8","８"),"9","９"),":","：")&amp;"～")</f>
        <v/>
      </c>
      <c r="D38" s="120">
        <f>IF('調整・決定'!C27="","",'調整・決定'!C27)</f>
        <v/>
      </c>
      <c r="E38" s="120">
        <f>IF('調整・決定'!D27="","",'調整・決定'!D27)</f>
        <v/>
      </c>
      <c r="F38" s="120">
        <f>IF('調整・決定'!E27="","",'調整・決定'!E27)</f>
        <v/>
      </c>
      <c r="H38" s="120">
        <f>IF('調整・決定'!F27="","",'調整・決定'!F27)</f>
        <v/>
      </c>
      <c r="I38" s="120">
        <f>IF('調整・決定'!G27="","",'調整・決定'!G27)</f>
        <v/>
      </c>
      <c r="K38" s="120">
        <f>IF('調整・決定'!H27="","",'調整・決定'!H27)</f>
        <v/>
      </c>
      <c r="L38">
        <f>IF(22&lt;='設定'!$B$6,"表示","隠す")</f>
        <v/>
      </c>
    </row>
    <row r="39" hidden="1" ht="33.5" customHeight="1">
      <c r="B39" s="119">
        <f>IF('設定'!$I$33="","",SUBSTITUTE(SUBSTITUTE(SUBSTITUTE(SUBSTITUTE(SUBSTITUTE(SUBSTITUTE(SUBSTITUTE(SUBSTITUTE(SUBSTITUTE(SUBSTITUTE(SUBSTITUTE(SUBSTITUTE('設定'!$I$33,"〜",""),"0","０"),"1","１"),"2","２"),"3","３"),"4","４"),"5","５"),"6","６"),"7","７"),"8","８"),"9","９"),":","：")&amp;"～")</f>
        <v/>
      </c>
      <c r="D39" s="120">
        <f>IF('調整・決定'!C28="","",'調整・決定'!C28)</f>
        <v/>
      </c>
      <c r="E39" s="120">
        <f>IF('調整・決定'!D28="","",'調整・決定'!D28)</f>
        <v/>
      </c>
      <c r="F39" s="120">
        <f>IF('調整・決定'!E28="","",'調整・決定'!E28)</f>
        <v/>
      </c>
      <c r="H39" s="120">
        <f>IF('調整・決定'!F28="","",'調整・決定'!F28)</f>
        <v/>
      </c>
      <c r="I39" s="120">
        <f>IF('調整・決定'!G28="","",'調整・決定'!G28)</f>
        <v/>
      </c>
      <c r="K39" s="120">
        <f>IF('調整・決定'!H28="","",'調整・決定'!H28)</f>
        <v/>
      </c>
      <c r="L39">
        <f>IF(23&lt;='設定'!$B$6,"表示","隠す")</f>
        <v/>
      </c>
    </row>
    <row r="40" hidden="1" ht="33.5" customHeight="1">
      <c r="B40" s="119">
        <f>IF('設定'!$I$34="","",SUBSTITUTE(SUBSTITUTE(SUBSTITUTE(SUBSTITUTE(SUBSTITUTE(SUBSTITUTE(SUBSTITUTE(SUBSTITUTE(SUBSTITUTE(SUBSTITUTE(SUBSTITUTE(SUBSTITUTE('設定'!$I$34,"〜",""),"0","０"),"1","１"),"2","２"),"3","３"),"4","４"),"5","５"),"6","６"),"7","７"),"8","８"),"9","９"),":","：")&amp;"～")</f>
        <v/>
      </c>
      <c r="D40" s="120">
        <f>IF('調整・決定'!C29="","",'調整・決定'!C29)</f>
        <v/>
      </c>
      <c r="E40" s="120">
        <f>IF('調整・決定'!D29="","",'調整・決定'!D29)</f>
        <v/>
      </c>
      <c r="F40" s="120">
        <f>IF('調整・決定'!E29="","",'調整・決定'!E29)</f>
        <v/>
      </c>
      <c r="H40" s="120">
        <f>IF('調整・決定'!F29="","",'調整・決定'!F29)</f>
        <v/>
      </c>
      <c r="I40" s="120">
        <f>IF('調整・決定'!G29="","",'調整・決定'!G29)</f>
        <v/>
      </c>
      <c r="K40" s="120">
        <f>IF('調整・決定'!H29="","",'調整・決定'!H29)</f>
        <v/>
      </c>
      <c r="L40">
        <f>IF(24&lt;='設定'!$B$6,"表示","隠す")</f>
        <v/>
      </c>
    </row>
    <row r="41" ht="18" customHeight="1">
      <c r="L41" t="inlineStr">
        <is>
          <t>表示</t>
        </is>
      </c>
    </row>
    <row r="42" ht="18" customHeight="1">
      <c r="I42" s="123" t="inlineStr">
        <is>
          <t>（敬称略）</t>
        </is>
      </c>
      <c r="L42" t="inlineStr">
        <is>
          <t>表示</t>
        </is>
      </c>
    </row>
    <row r="43" ht="18" customHeight="1">
      <c r="L43" t="inlineStr">
        <is>
          <t>表示</t>
        </is>
      </c>
    </row>
    <row r="44" ht="18" customHeight="1">
      <c r="C44" s="114">
        <f>IF('設定'!$B$40="","",'設定'!$B$40)</f>
        <v/>
      </c>
      <c r="L44" t="inlineStr">
        <is>
          <t>表示</t>
        </is>
      </c>
    </row>
    <row r="45" ht="18" customHeight="1">
      <c r="C45" s="114">
        <f>IF('設定'!$B$41="","",'設定'!$B$41)</f>
        <v/>
      </c>
      <c r="L45" t="inlineStr">
        <is>
          <t>表示</t>
        </is>
      </c>
    </row>
    <row r="46" ht="18" customHeight="1">
      <c r="C46" s="114">
        <f>IF('設定'!$B$42="","",'設定'!$B$42)</f>
        <v/>
      </c>
      <c r="L46" t="inlineStr">
        <is>
          <t>表示</t>
        </is>
      </c>
    </row>
  </sheetData>
  <autoFilter ref="B16:L46">
    <filterColumn colId="0" hiddenButton="1" showButton="1"/>
    <filterColumn colId="1" hiddenButton="1" showButton="1"/>
    <filterColumn colId="2" hiddenButton="1" showButton="1"/>
    <filterColumn colId="3" hiddenButton="1" showButton="1"/>
    <filterColumn colId="4" hiddenButton="1" showButton="1"/>
    <filterColumn colId="5" hiddenButton="1" showButton="1"/>
    <filterColumn colId="6" hiddenButton="1" showButton="1"/>
    <filterColumn colId="7" hiddenButton="1" showButton="1"/>
    <filterColumn colId="8" hiddenButton="1" showButton="1"/>
    <filterColumn colId="9" hiddenButton="1" showButton="1"/>
    <filterColumn colId="10" hiddenButton="1" showButton="1">
      <filters>
        <filter val="表示"/>
      </filters>
    </filterColumn>
  </autoFilter>
  <mergeCells count="84">
    <mergeCell ref="F29:G29"/>
    <mergeCell ref="F16:G16"/>
    <mergeCell ref="F25:G25"/>
    <mergeCell ref="B22:C22"/>
    <mergeCell ref="B31:C31"/>
    <mergeCell ref="I26:J26"/>
    <mergeCell ref="B21:C21"/>
    <mergeCell ref="I16:J16"/>
    <mergeCell ref="I25:J25"/>
    <mergeCell ref="I18:J18"/>
    <mergeCell ref="C14:I14"/>
    <mergeCell ref="B38:C38"/>
    <mergeCell ref="F23:G23"/>
    <mergeCell ref="B40:C40"/>
    <mergeCell ref="B24:C24"/>
    <mergeCell ref="I20:J20"/>
    <mergeCell ref="B33:C33"/>
    <mergeCell ref="B32:C32"/>
    <mergeCell ref="B26:C26"/>
    <mergeCell ref="B35:C35"/>
    <mergeCell ref="I30:J30"/>
    <mergeCell ref="B16:C16"/>
    <mergeCell ref="G6:I6"/>
    <mergeCell ref="B25:C25"/>
    <mergeCell ref="C8:I8"/>
    <mergeCell ref="F19:G19"/>
    <mergeCell ref="F34:G34"/>
    <mergeCell ref="B18:C18"/>
    <mergeCell ref="B27:C27"/>
    <mergeCell ref="F30:G30"/>
    <mergeCell ref="I32:J32"/>
    <mergeCell ref="F20:G20"/>
    <mergeCell ref="F18:G18"/>
    <mergeCell ref="F33:G33"/>
    <mergeCell ref="F17:G17"/>
    <mergeCell ref="B29:C29"/>
    <mergeCell ref="I24:J24"/>
    <mergeCell ref="B37:C37"/>
    <mergeCell ref="I33:J33"/>
    <mergeCell ref="F31:G31"/>
    <mergeCell ref="F28:G28"/>
    <mergeCell ref="I17:J17"/>
    <mergeCell ref="F39:G39"/>
    <mergeCell ref="I35:J35"/>
    <mergeCell ref="M8:M11"/>
    <mergeCell ref="I19:J19"/>
    <mergeCell ref="F21:G21"/>
    <mergeCell ref="G5:I5"/>
    <mergeCell ref="F36:G36"/>
    <mergeCell ref="I37:J37"/>
    <mergeCell ref="B17:C17"/>
    <mergeCell ref="I21:J21"/>
    <mergeCell ref="B19:C19"/>
    <mergeCell ref="B34:C34"/>
    <mergeCell ref="B28:C28"/>
    <mergeCell ref="F22:G22"/>
    <mergeCell ref="I23:J23"/>
    <mergeCell ref="B30:C30"/>
    <mergeCell ref="B20:C20"/>
    <mergeCell ref="G7:I7"/>
    <mergeCell ref="I34:J34"/>
    <mergeCell ref="I27:J27"/>
    <mergeCell ref="I36:J36"/>
    <mergeCell ref="F40:G40"/>
    <mergeCell ref="B39:C39"/>
    <mergeCell ref="F24:G24"/>
    <mergeCell ref="B23:C23"/>
    <mergeCell ref="M6:M7"/>
    <mergeCell ref="I22:J22"/>
    <mergeCell ref="I28:J28"/>
    <mergeCell ref="F32:G32"/>
    <mergeCell ref="F26:G26"/>
    <mergeCell ref="F35:G35"/>
    <mergeCell ref="B3:K3"/>
    <mergeCell ref="F38:G38"/>
    <mergeCell ref="I39:J39"/>
    <mergeCell ref="F27:G27"/>
    <mergeCell ref="F37:G37"/>
    <mergeCell ref="I29:J29"/>
    <mergeCell ref="M4:M5"/>
    <mergeCell ref="I38:J38"/>
    <mergeCell ref="B36:C36"/>
    <mergeCell ref="I31:J31"/>
    <mergeCell ref="I40:J40"/>
  </mergeCells>
  <conditionalFormatting sqref="B16:C16">
    <cfRule type="expression" priority="1" dxfId="30">
      <formula>TRUE</formula>
    </cfRule>
  </conditionalFormatting>
  <conditionalFormatting sqref="D16:D40">
    <cfRule type="expression" priority="2" dxfId="30">
      <formula>$D$16&lt;&gt;""</formula>
    </cfRule>
  </conditionalFormatting>
  <conditionalFormatting sqref="E16:E40">
    <cfRule type="expression" priority="3" dxfId="30">
      <formula>$E$16&lt;&gt;""</formula>
    </cfRule>
  </conditionalFormatting>
  <conditionalFormatting sqref="F16:G40">
    <cfRule type="expression" priority="4" dxfId="30">
      <formula>$F$16&lt;&gt;""</formula>
    </cfRule>
  </conditionalFormatting>
  <conditionalFormatting sqref="H16:H40">
    <cfRule type="expression" priority="5" dxfId="30">
      <formula>$H$16&lt;&gt;""</formula>
    </cfRule>
  </conditionalFormatting>
  <conditionalFormatting sqref="I16:J40">
    <cfRule type="expression" priority="6" dxfId="30">
      <formula>$I$16&lt;&gt;""</formula>
    </cfRule>
  </conditionalFormatting>
  <conditionalFormatting sqref="K16:K40">
    <cfRule type="expression" priority="7" dxfId="30">
      <formula>$K$16&lt;&gt;""</formula>
    </cfRule>
  </conditionalFormatting>
  <conditionalFormatting sqref="B17:C40">
    <cfRule type="expression" priority="8" dxfId="30">
      <formula>$B17&lt;&gt;""</formula>
    </cfRule>
  </conditionalFormatting>
  <conditionalFormatting sqref="B3:K3">
    <cfRule type="expression" priority="9" dxfId="12">
      <formula>$B$3&lt;&gt;""</formula>
    </cfRule>
  </conditionalFormatting>
  <hyperlinks>
    <hyperlink ref="M4" location="'お手紙（秋）'!M4" display="▶ 印刷プレビュー"/>
    <hyperlink ref="M6" location="'お手紙（秋）'!M6" display="▶ PDFで保存"/>
  </hyperlinks>
  <printOptions horizontalCentered="1"/>
  <pageMargins left="0.75" right="0.75" top="1.377952755905512" bottom="1.181102362204724" header="0" footer="0"/>
  <pageSetup orientation="portrait" paperSize="9" fitToHeight="1" fitToWidth="1"/>
</worksheet>
</file>

<file path=xl/worksheets/sheet11.xml><?xml version="1.0" encoding="utf-8"?>
<worksheet xmlns="http://schemas.openxmlformats.org/spreadsheetml/2006/main">
  <sheetPr>
    <outlinePr summaryBelow="1" summaryRight="1"/>
    <pageSetUpPr/>
  </sheetPr>
  <dimension ref="A1:JG118"/>
  <sheetViews>
    <sheetView showGridLines="0" workbookViewId="0">
      <selection activeCell="A1" sqref="A1"/>
    </sheetView>
  </sheetViews>
  <sheetFormatPr baseColWidth="8" defaultRowHeight="15"/>
  <sheetData>
    <row r="1">
      <c r="A1" s="97" t="inlineStr">
        <is>
          <t>計算用（さわらないでください）</t>
        </is>
      </c>
      <c r="C1" s="124" t="inlineStr">
        <is>
          <t>枠番号</t>
        </is>
      </c>
      <c r="D1" t="n">
        <v>1</v>
      </c>
      <c r="E1" t="n">
        <v>2</v>
      </c>
      <c r="F1" t="n">
        <v>3</v>
      </c>
      <c r="G1" t="n">
        <v>4</v>
      </c>
      <c r="H1" t="n">
        <v>5</v>
      </c>
      <c r="I1" t="n">
        <v>6</v>
      </c>
      <c r="J1" t="n">
        <v>7</v>
      </c>
      <c r="K1" t="n">
        <v>8</v>
      </c>
      <c r="L1" t="n">
        <v>9</v>
      </c>
      <c r="M1" t="n">
        <v>10</v>
      </c>
      <c r="N1" t="n">
        <v>11</v>
      </c>
      <c r="O1" t="n">
        <v>12</v>
      </c>
      <c r="P1" t="n">
        <v>13</v>
      </c>
      <c r="Q1" t="n">
        <v>14</v>
      </c>
      <c r="R1" t="n">
        <v>15</v>
      </c>
      <c r="S1" t="n">
        <v>16</v>
      </c>
      <c r="T1" t="n">
        <v>17</v>
      </c>
      <c r="U1" t="n">
        <v>18</v>
      </c>
      <c r="V1" t="n">
        <v>19</v>
      </c>
      <c r="W1" t="n">
        <v>20</v>
      </c>
      <c r="X1" t="n">
        <v>21</v>
      </c>
      <c r="Y1" t="n">
        <v>22</v>
      </c>
      <c r="Z1" t="n">
        <v>23</v>
      </c>
      <c r="AA1" t="n">
        <v>24</v>
      </c>
      <c r="AB1" t="n">
        <v>25</v>
      </c>
      <c r="AC1" t="n">
        <v>26</v>
      </c>
      <c r="AD1" t="n">
        <v>27</v>
      </c>
      <c r="AE1" t="n">
        <v>28</v>
      </c>
      <c r="AF1" t="n">
        <v>29</v>
      </c>
      <c r="AG1" t="n">
        <v>30</v>
      </c>
      <c r="AH1" t="n">
        <v>31</v>
      </c>
      <c r="AI1" t="n">
        <v>32</v>
      </c>
      <c r="AJ1" t="n">
        <v>33</v>
      </c>
      <c r="AK1" t="n">
        <v>34</v>
      </c>
      <c r="AL1" t="n">
        <v>35</v>
      </c>
      <c r="AM1" t="n">
        <v>36</v>
      </c>
      <c r="AN1" t="n">
        <v>37</v>
      </c>
      <c r="AO1" t="n">
        <v>38</v>
      </c>
      <c r="AP1" t="n">
        <v>39</v>
      </c>
      <c r="AQ1" t="n">
        <v>40</v>
      </c>
      <c r="AR1" t="n">
        <v>41</v>
      </c>
      <c r="AS1" t="n">
        <v>42</v>
      </c>
      <c r="AT1" t="n">
        <v>43</v>
      </c>
      <c r="AU1" t="n">
        <v>44</v>
      </c>
      <c r="AV1" t="n">
        <v>45</v>
      </c>
      <c r="AW1" t="n">
        <v>46</v>
      </c>
      <c r="AX1" t="n">
        <v>47</v>
      </c>
      <c r="AY1" t="n">
        <v>48</v>
      </c>
      <c r="AZ1" t="n">
        <v>49</v>
      </c>
      <c r="BA1" t="n">
        <v>50</v>
      </c>
      <c r="BB1" t="n">
        <v>51</v>
      </c>
      <c r="BC1" t="n">
        <v>52</v>
      </c>
      <c r="BD1" t="n">
        <v>53</v>
      </c>
      <c r="BE1" t="n">
        <v>54</v>
      </c>
      <c r="BF1" t="n">
        <v>55</v>
      </c>
      <c r="BG1" t="n">
        <v>56</v>
      </c>
      <c r="BH1" t="n">
        <v>57</v>
      </c>
      <c r="BI1" t="n">
        <v>58</v>
      </c>
      <c r="BJ1" t="n">
        <v>59</v>
      </c>
      <c r="BK1" t="n">
        <v>60</v>
      </c>
      <c r="BL1" t="n">
        <v>61</v>
      </c>
      <c r="BM1" t="n">
        <v>62</v>
      </c>
      <c r="BN1" t="n">
        <v>63</v>
      </c>
      <c r="BO1" t="n">
        <v>64</v>
      </c>
      <c r="BP1" t="n">
        <v>65</v>
      </c>
      <c r="BQ1" t="n">
        <v>66</v>
      </c>
      <c r="BR1" t="n">
        <v>67</v>
      </c>
      <c r="BS1" t="n">
        <v>68</v>
      </c>
      <c r="BT1" t="n">
        <v>69</v>
      </c>
      <c r="BU1" t="n">
        <v>70</v>
      </c>
      <c r="BV1" t="n">
        <v>71</v>
      </c>
      <c r="BW1" t="n">
        <v>72</v>
      </c>
      <c r="BX1" t="n">
        <v>73</v>
      </c>
      <c r="BY1" t="n">
        <v>74</v>
      </c>
      <c r="BZ1" t="n">
        <v>75</v>
      </c>
      <c r="CA1" t="n">
        <v>76</v>
      </c>
      <c r="CB1" t="n">
        <v>77</v>
      </c>
      <c r="CC1" t="n">
        <v>78</v>
      </c>
      <c r="CD1" t="n">
        <v>79</v>
      </c>
      <c r="CE1" t="n">
        <v>80</v>
      </c>
      <c r="CF1" t="n">
        <v>81</v>
      </c>
      <c r="CG1" t="n">
        <v>82</v>
      </c>
      <c r="CH1" t="n">
        <v>83</v>
      </c>
      <c r="CI1" t="n">
        <v>84</v>
      </c>
      <c r="CJ1" t="n">
        <v>85</v>
      </c>
      <c r="CK1" t="n">
        <v>86</v>
      </c>
      <c r="CL1" t="n">
        <v>87</v>
      </c>
      <c r="CM1" t="n">
        <v>88</v>
      </c>
      <c r="CN1" t="n">
        <v>89</v>
      </c>
      <c r="CO1" t="n">
        <v>90</v>
      </c>
      <c r="CP1" t="n">
        <v>91</v>
      </c>
      <c r="CQ1" t="n">
        <v>92</v>
      </c>
      <c r="CR1" t="n">
        <v>93</v>
      </c>
      <c r="CS1" t="n">
        <v>94</v>
      </c>
      <c r="CT1" t="n">
        <v>95</v>
      </c>
      <c r="CU1" t="n">
        <v>96</v>
      </c>
      <c r="CV1" t="n">
        <v>97</v>
      </c>
      <c r="CW1" t="n">
        <v>98</v>
      </c>
      <c r="CX1" t="n">
        <v>99</v>
      </c>
      <c r="CY1" t="n">
        <v>100</v>
      </c>
      <c r="CZ1" t="n">
        <v>101</v>
      </c>
      <c r="DA1" t="n">
        <v>102</v>
      </c>
      <c r="DB1" t="n">
        <v>103</v>
      </c>
      <c r="DC1" t="n">
        <v>104</v>
      </c>
      <c r="DD1" t="n">
        <v>105</v>
      </c>
      <c r="DE1" t="n">
        <v>106</v>
      </c>
      <c r="DF1" t="n">
        <v>107</v>
      </c>
      <c r="DG1" t="n">
        <v>108</v>
      </c>
      <c r="DH1" t="n">
        <v>109</v>
      </c>
      <c r="DI1" t="n">
        <v>110</v>
      </c>
      <c r="DJ1" t="n">
        <v>111</v>
      </c>
      <c r="DK1" t="n">
        <v>112</v>
      </c>
      <c r="DL1" t="n">
        <v>113</v>
      </c>
      <c r="DM1" t="n">
        <v>114</v>
      </c>
      <c r="DN1" t="n">
        <v>115</v>
      </c>
      <c r="DO1" t="n">
        <v>116</v>
      </c>
      <c r="DP1" t="n">
        <v>117</v>
      </c>
      <c r="DQ1" t="n">
        <v>118</v>
      </c>
      <c r="DR1" t="n">
        <v>119</v>
      </c>
      <c r="DS1" t="n">
        <v>120</v>
      </c>
      <c r="DT1" t="n">
        <v>121</v>
      </c>
      <c r="DU1" t="n">
        <v>122</v>
      </c>
      <c r="DV1" t="n">
        <v>123</v>
      </c>
      <c r="DW1" t="n">
        <v>124</v>
      </c>
      <c r="DX1" t="n">
        <v>125</v>
      </c>
      <c r="DY1" t="n">
        <v>126</v>
      </c>
      <c r="DZ1" t="n">
        <v>127</v>
      </c>
      <c r="EA1" t="n">
        <v>128</v>
      </c>
      <c r="EB1" t="n">
        <v>129</v>
      </c>
      <c r="EC1" t="n">
        <v>130</v>
      </c>
      <c r="ED1" t="n">
        <v>131</v>
      </c>
      <c r="EE1" t="n">
        <v>132</v>
      </c>
      <c r="EF1" t="n">
        <v>133</v>
      </c>
      <c r="EG1" t="n">
        <v>134</v>
      </c>
      <c r="EH1" t="n">
        <v>135</v>
      </c>
      <c r="EI1" t="n">
        <v>136</v>
      </c>
      <c r="EJ1" t="n">
        <v>137</v>
      </c>
      <c r="EK1" t="n">
        <v>138</v>
      </c>
      <c r="EL1" t="n">
        <v>139</v>
      </c>
      <c r="EM1" t="n">
        <v>140</v>
      </c>
      <c r="EN1" t="n">
        <v>141</v>
      </c>
      <c r="EO1" t="n">
        <v>142</v>
      </c>
      <c r="EP1" t="n">
        <v>143</v>
      </c>
      <c r="EQ1" t="n">
        <v>144</v>
      </c>
    </row>
    <row r="2">
      <c r="A2" s="124" t="inlineStr">
        <is>
          <t>時間帯の枠数</t>
        </is>
      </c>
      <c r="C2" s="124" t="inlineStr">
        <is>
          <t>日</t>
        </is>
      </c>
      <c r="D2" t="n">
        <v>1</v>
      </c>
      <c r="E2" t="n">
        <v>1</v>
      </c>
      <c r="F2" t="n">
        <v>1</v>
      </c>
      <c r="G2" t="n">
        <v>1</v>
      </c>
      <c r="H2" t="n">
        <v>1</v>
      </c>
      <c r="I2" t="n">
        <v>1</v>
      </c>
      <c r="J2" t="n">
        <v>1</v>
      </c>
      <c r="K2" t="n">
        <v>1</v>
      </c>
      <c r="L2" t="n">
        <v>1</v>
      </c>
      <c r="M2" t="n">
        <v>1</v>
      </c>
      <c r="N2" t="n">
        <v>1</v>
      </c>
      <c r="O2" t="n">
        <v>1</v>
      </c>
      <c r="P2" t="n">
        <v>1</v>
      </c>
      <c r="Q2" t="n">
        <v>1</v>
      </c>
      <c r="R2" t="n">
        <v>1</v>
      </c>
      <c r="S2" t="n">
        <v>1</v>
      </c>
      <c r="T2" t="n">
        <v>1</v>
      </c>
      <c r="U2" t="n">
        <v>1</v>
      </c>
      <c r="V2" t="n">
        <v>1</v>
      </c>
      <c r="W2" t="n">
        <v>1</v>
      </c>
      <c r="X2" t="n">
        <v>1</v>
      </c>
      <c r="Y2" t="n">
        <v>1</v>
      </c>
      <c r="Z2" t="n">
        <v>1</v>
      </c>
      <c r="AA2" t="n">
        <v>1</v>
      </c>
      <c r="AB2" t="n">
        <v>2</v>
      </c>
      <c r="AC2" t="n">
        <v>2</v>
      </c>
      <c r="AD2" t="n">
        <v>2</v>
      </c>
      <c r="AE2" t="n">
        <v>2</v>
      </c>
      <c r="AF2" t="n">
        <v>2</v>
      </c>
      <c r="AG2" t="n">
        <v>2</v>
      </c>
      <c r="AH2" t="n">
        <v>2</v>
      </c>
      <c r="AI2" t="n">
        <v>2</v>
      </c>
      <c r="AJ2" t="n">
        <v>2</v>
      </c>
      <c r="AK2" t="n">
        <v>2</v>
      </c>
      <c r="AL2" t="n">
        <v>2</v>
      </c>
      <c r="AM2" t="n">
        <v>2</v>
      </c>
      <c r="AN2" t="n">
        <v>2</v>
      </c>
      <c r="AO2" t="n">
        <v>2</v>
      </c>
      <c r="AP2" t="n">
        <v>2</v>
      </c>
      <c r="AQ2" t="n">
        <v>2</v>
      </c>
      <c r="AR2" t="n">
        <v>2</v>
      </c>
      <c r="AS2" t="n">
        <v>2</v>
      </c>
      <c r="AT2" t="n">
        <v>2</v>
      </c>
      <c r="AU2" t="n">
        <v>2</v>
      </c>
      <c r="AV2" t="n">
        <v>2</v>
      </c>
      <c r="AW2" t="n">
        <v>2</v>
      </c>
      <c r="AX2" t="n">
        <v>2</v>
      </c>
      <c r="AY2" t="n">
        <v>2</v>
      </c>
      <c r="AZ2" t="n">
        <v>3</v>
      </c>
      <c r="BA2" t="n">
        <v>3</v>
      </c>
      <c r="BB2" t="n">
        <v>3</v>
      </c>
      <c r="BC2" t="n">
        <v>3</v>
      </c>
      <c r="BD2" t="n">
        <v>3</v>
      </c>
      <c r="BE2" t="n">
        <v>3</v>
      </c>
      <c r="BF2" t="n">
        <v>3</v>
      </c>
      <c r="BG2" t="n">
        <v>3</v>
      </c>
      <c r="BH2" t="n">
        <v>3</v>
      </c>
      <c r="BI2" t="n">
        <v>3</v>
      </c>
      <c r="BJ2" t="n">
        <v>3</v>
      </c>
      <c r="BK2" t="n">
        <v>3</v>
      </c>
      <c r="BL2" t="n">
        <v>3</v>
      </c>
      <c r="BM2" t="n">
        <v>3</v>
      </c>
      <c r="BN2" t="n">
        <v>3</v>
      </c>
      <c r="BO2" t="n">
        <v>3</v>
      </c>
      <c r="BP2" t="n">
        <v>3</v>
      </c>
      <c r="BQ2" t="n">
        <v>3</v>
      </c>
      <c r="BR2" t="n">
        <v>3</v>
      </c>
      <c r="BS2" t="n">
        <v>3</v>
      </c>
      <c r="BT2" t="n">
        <v>3</v>
      </c>
      <c r="BU2" t="n">
        <v>3</v>
      </c>
      <c r="BV2" t="n">
        <v>3</v>
      </c>
      <c r="BW2" t="n">
        <v>3</v>
      </c>
      <c r="BX2" t="n">
        <v>4</v>
      </c>
      <c r="BY2" t="n">
        <v>4</v>
      </c>
      <c r="BZ2" t="n">
        <v>4</v>
      </c>
      <c r="CA2" t="n">
        <v>4</v>
      </c>
      <c r="CB2" t="n">
        <v>4</v>
      </c>
      <c r="CC2" t="n">
        <v>4</v>
      </c>
      <c r="CD2" t="n">
        <v>4</v>
      </c>
      <c r="CE2" t="n">
        <v>4</v>
      </c>
      <c r="CF2" t="n">
        <v>4</v>
      </c>
      <c r="CG2" t="n">
        <v>4</v>
      </c>
      <c r="CH2" t="n">
        <v>4</v>
      </c>
      <c r="CI2" t="n">
        <v>4</v>
      </c>
      <c r="CJ2" t="n">
        <v>4</v>
      </c>
      <c r="CK2" t="n">
        <v>4</v>
      </c>
      <c r="CL2" t="n">
        <v>4</v>
      </c>
      <c r="CM2" t="n">
        <v>4</v>
      </c>
      <c r="CN2" t="n">
        <v>4</v>
      </c>
      <c r="CO2" t="n">
        <v>4</v>
      </c>
      <c r="CP2" t="n">
        <v>4</v>
      </c>
      <c r="CQ2" t="n">
        <v>4</v>
      </c>
      <c r="CR2" t="n">
        <v>4</v>
      </c>
      <c r="CS2" t="n">
        <v>4</v>
      </c>
      <c r="CT2" t="n">
        <v>4</v>
      </c>
      <c r="CU2" t="n">
        <v>4</v>
      </c>
      <c r="CV2" t="n">
        <v>5</v>
      </c>
      <c r="CW2" t="n">
        <v>5</v>
      </c>
      <c r="CX2" t="n">
        <v>5</v>
      </c>
      <c r="CY2" t="n">
        <v>5</v>
      </c>
      <c r="CZ2" t="n">
        <v>5</v>
      </c>
      <c r="DA2" t="n">
        <v>5</v>
      </c>
      <c r="DB2" t="n">
        <v>5</v>
      </c>
      <c r="DC2" t="n">
        <v>5</v>
      </c>
      <c r="DD2" t="n">
        <v>5</v>
      </c>
      <c r="DE2" t="n">
        <v>5</v>
      </c>
      <c r="DF2" t="n">
        <v>5</v>
      </c>
      <c r="DG2" t="n">
        <v>5</v>
      </c>
      <c r="DH2" t="n">
        <v>5</v>
      </c>
      <c r="DI2" t="n">
        <v>5</v>
      </c>
      <c r="DJ2" t="n">
        <v>5</v>
      </c>
      <c r="DK2" t="n">
        <v>5</v>
      </c>
      <c r="DL2" t="n">
        <v>5</v>
      </c>
      <c r="DM2" t="n">
        <v>5</v>
      </c>
      <c r="DN2" t="n">
        <v>5</v>
      </c>
      <c r="DO2" t="n">
        <v>5</v>
      </c>
      <c r="DP2" t="n">
        <v>5</v>
      </c>
      <c r="DQ2" t="n">
        <v>5</v>
      </c>
      <c r="DR2" t="n">
        <v>5</v>
      </c>
      <c r="DS2" t="n">
        <v>5</v>
      </c>
      <c r="DT2" t="n">
        <v>6</v>
      </c>
      <c r="DU2" t="n">
        <v>6</v>
      </c>
      <c r="DV2" t="n">
        <v>6</v>
      </c>
      <c r="DW2" t="n">
        <v>6</v>
      </c>
      <c r="DX2" t="n">
        <v>6</v>
      </c>
      <c r="DY2" t="n">
        <v>6</v>
      </c>
      <c r="DZ2" t="n">
        <v>6</v>
      </c>
      <c r="EA2" t="n">
        <v>6</v>
      </c>
      <c r="EB2" t="n">
        <v>6</v>
      </c>
      <c r="EC2" t="n">
        <v>6</v>
      </c>
      <c r="ED2" t="n">
        <v>6</v>
      </c>
      <c r="EE2" t="n">
        <v>6</v>
      </c>
      <c r="EF2" t="n">
        <v>6</v>
      </c>
      <c r="EG2" t="n">
        <v>6</v>
      </c>
      <c r="EH2" t="n">
        <v>6</v>
      </c>
      <c r="EI2" t="n">
        <v>6</v>
      </c>
      <c r="EJ2" t="n">
        <v>6</v>
      </c>
      <c r="EK2" t="n">
        <v>6</v>
      </c>
      <c r="EL2" t="n">
        <v>6</v>
      </c>
      <c r="EM2" t="n">
        <v>6</v>
      </c>
      <c r="EN2" t="n">
        <v>6</v>
      </c>
      <c r="EO2" t="n">
        <v>6</v>
      </c>
      <c r="EP2" t="n">
        <v>6</v>
      </c>
      <c r="EQ2" t="n">
        <v>6</v>
      </c>
    </row>
    <row r="3">
      <c r="A3" s="124">
        <f>IF(AND(ISNUMBER('設定'!$B$3),ISNUMBER('設定'!$D$3),ISNUMBER('設定'!$B$5)),IF(AND('設定'!$B$5&gt;0,'設定'!$D$3&gt;='設定'!$B$3),ROUND(('設定'!$D$3-'設定'!$B$3)*1440/'設定'!$B$5,0)+1,0),0)</f>
        <v/>
      </c>
      <c r="B3" s="124" t="inlineStr">
        <is>
          <t>←時間帯1</t>
        </is>
      </c>
      <c r="C3" s="124" t="inlineStr">
        <is>
          <t>時</t>
        </is>
      </c>
      <c r="D3" t="n">
        <v>1</v>
      </c>
      <c r="E3" t="n">
        <v>2</v>
      </c>
      <c r="F3" t="n">
        <v>3</v>
      </c>
      <c r="G3" t="n">
        <v>4</v>
      </c>
      <c r="H3" t="n">
        <v>5</v>
      </c>
      <c r="I3" t="n">
        <v>6</v>
      </c>
      <c r="J3" t="n">
        <v>7</v>
      </c>
      <c r="K3" t="n">
        <v>8</v>
      </c>
      <c r="L3" t="n">
        <v>9</v>
      </c>
      <c r="M3" t="n">
        <v>10</v>
      </c>
      <c r="N3" t="n">
        <v>11</v>
      </c>
      <c r="O3" t="n">
        <v>12</v>
      </c>
      <c r="P3" t="n">
        <v>13</v>
      </c>
      <c r="Q3" t="n">
        <v>14</v>
      </c>
      <c r="R3" t="n">
        <v>15</v>
      </c>
      <c r="S3" t="n">
        <v>16</v>
      </c>
      <c r="T3" t="n">
        <v>17</v>
      </c>
      <c r="U3" t="n">
        <v>18</v>
      </c>
      <c r="V3" t="n">
        <v>19</v>
      </c>
      <c r="W3" t="n">
        <v>20</v>
      </c>
      <c r="X3" t="n">
        <v>21</v>
      </c>
      <c r="Y3" t="n">
        <v>22</v>
      </c>
      <c r="Z3" t="n">
        <v>23</v>
      </c>
      <c r="AA3" t="n">
        <v>24</v>
      </c>
      <c r="AB3" t="n">
        <v>1</v>
      </c>
      <c r="AC3" t="n">
        <v>2</v>
      </c>
      <c r="AD3" t="n">
        <v>3</v>
      </c>
      <c r="AE3" t="n">
        <v>4</v>
      </c>
      <c r="AF3" t="n">
        <v>5</v>
      </c>
      <c r="AG3" t="n">
        <v>6</v>
      </c>
      <c r="AH3" t="n">
        <v>7</v>
      </c>
      <c r="AI3" t="n">
        <v>8</v>
      </c>
      <c r="AJ3" t="n">
        <v>9</v>
      </c>
      <c r="AK3" t="n">
        <v>10</v>
      </c>
      <c r="AL3" t="n">
        <v>11</v>
      </c>
      <c r="AM3" t="n">
        <v>12</v>
      </c>
      <c r="AN3" t="n">
        <v>13</v>
      </c>
      <c r="AO3" t="n">
        <v>14</v>
      </c>
      <c r="AP3" t="n">
        <v>15</v>
      </c>
      <c r="AQ3" t="n">
        <v>16</v>
      </c>
      <c r="AR3" t="n">
        <v>17</v>
      </c>
      <c r="AS3" t="n">
        <v>18</v>
      </c>
      <c r="AT3" t="n">
        <v>19</v>
      </c>
      <c r="AU3" t="n">
        <v>20</v>
      </c>
      <c r="AV3" t="n">
        <v>21</v>
      </c>
      <c r="AW3" t="n">
        <v>22</v>
      </c>
      <c r="AX3" t="n">
        <v>23</v>
      </c>
      <c r="AY3" t="n">
        <v>24</v>
      </c>
      <c r="AZ3" t="n">
        <v>1</v>
      </c>
      <c r="BA3" t="n">
        <v>2</v>
      </c>
      <c r="BB3" t="n">
        <v>3</v>
      </c>
      <c r="BC3" t="n">
        <v>4</v>
      </c>
      <c r="BD3" t="n">
        <v>5</v>
      </c>
      <c r="BE3" t="n">
        <v>6</v>
      </c>
      <c r="BF3" t="n">
        <v>7</v>
      </c>
      <c r="BG3" t="n">
        <v>8</v>
      </c>
      <c r="BH3" t="n">
        <v>9</v>
      </c>
      <c r="BI3" t="n">
        <v>10</v>
      </c>
      <c r="BJ3" t="n">
        <v>11</v>
      </c>
      <c r="BK3" t="n">
        <v>12</v>
      </c>
      <c r="BL3" t="n">
        <v>13</v>
      </c>
      <c r="BM3" t="n">
        <v>14</v>
      </c>
      <c r="BN3" t="n">
        <v>15</v>
      </c>
      <c r="BO3" t="n">
        <v>16</v>
      </c>
      <c r="BP3" t="n">
        <v>17</v>
      </c>
      <c r="BQ3" t="n">
        <v>18</v>
      </c>
      <c r="BR3" t="n">
        <v>19</v>
      </c>
      <c r="BS3" t="n">
        <v>20</v>
      </c>
      <c r="BT3" t="n">
        <v>21</v>
      </c>
      <c r="BU3" t="n">
        <v>22</v>
      </c>
      <c r="BV3" t="n">
        <v>23</v>
      </c>
      <c r="BW3" t="n">
        <v>24</v>
      </c>
      <c r="BX3" t="n">
        <v>1</v>
      </c>
      <c r="BY3" t="n">
        <v>2</v>
      </c>
      <c r="BZ3" t="n">
        <v>3</v>
      </c>
      <c r="CA3" t="n">
        <v>4</v>
      </c>
      <c r="CB3" t="n">
        <v>5</v>
      </c>
      <c r="CC3" t="n">
        <v>6</v>
      </c>
      <c r="CD3" t="n">
        <v>7</v>
      </c>
      <c r="CE3" t="n">
        <v>8</v>
      </c>
      <c r="CF3" t="n">
        <v>9</v>
      </c>
      <c r="CG3" t="n">
        <v>10</v>
      </c>
      <c r="CH3" t="n">
        <v>11</v>
      </c>
      <c r="CI3" t="n">
        <v>12</v>
      </c>
      <c r="CJ3" t="n">
        <v>13</v>
      </c>
      <c r="CK3" t="n">
        <v>14</v>
      </c>
      <c r="CL3" t="n">
        <v>15</v>
      </c>
      <c r="CM3" t="n">
        <v>16</v>
      </c>
      <c r="CN3" t="n">
        <v>17</v>
      </c>
      <c r="CO3" t="n">
        <v>18</v>
      </c>
      <c r="CP3" t="n">
        <v>19</v>
      </c>
      <c r="CQ3" t="n">
        <v>20</v>
      </c>
      <c r="CR3" t="n">
        <v>21</v>
      </c>
      <c r="CS3" t="n">
        <v>22</v>
      </c>
      <c r="CT3" t="n">
        <v>23</v>
      </c>
      <c r="CU3" t="n">
        <v>24</v>
      </c>
      <c r="CV3" t="n">
        <v>1</v>
      </c>
      <c r="CW3" t="n">
        <v>2</v>
      </c>
      <c r="CX3" t="n">
        <v>3</v>
      </c>
      <c r="CY3" t="n">
        <v>4</v>
      </c>
      <c r="CZ3" t="n">
        <v>5</v>
      </c>
      <c r="DA3" t="n">
        <v>6</v>
      </c>
      <c r="DB3" t="n">
        <v>7</v>
      </c>
      <c r="DC3" t="n">
        <v>8</v>
      </c>
      <c r="DD3" t="n">
        <v>9</v>
      </c>
      <c r="DE3" t="n">
        <v>10</v>
      </c>
      <c r="DF3" t="n">
        <v>11</v>
      </c>
      <c r="DG3" t="n">
        <v>12</v>
      </c>
      <c r="DH3" t="n">
        <v>13</v>
      </c>
      <c r="DI3" t="n">
        <v>14</v>
      </c>
      <c r="DJ3" t="n">
        <v>15</v>
      </c>
      <c r="DK3" t="n">
        <v>16</v>
      </c>
      <c r="DL3" t="n">
        <v>17</v>
      </c>
      <c r="DM3" t="n">
        <v>18</v>
      </c>
      <c r="DN3" t="n">
        <v>19</v>
      </c>
      <c r="DO3" t="n">
        <v>20</v>
      </c>
      <c r="DP3" t="n">
        <v>21</v>
      </c>
      <c r="DQ3" t="n">
        <v>22</v>
      </c>
      <c r="DR3" t="n">
        <v>23</v>
      </c>
      <c r="DS3" t="n">
        <v>24</v>
      </c>
      <c r="DT3" t="n">
        <v>1</v>
      </c>
      <c r="DU3" t="n">
        <v>2</v>
      </c>
      <c r="DV3" t="n">
        <v>3</v>
      </c>
      <c r="DW3" t="n">
        <v>4</v>
      </c>
      <c r="DX3" t="n">
        <v>5</v>
      </c>
      <c r="DY3" t="n">
        <v>6</v>
      </c>
      <c r="DZ3" t="n">
        <v>7</v>
      </c>
      <c r="EA3" t="n">
        <v>8</v>
      </c>
      <c r="EB3" t="n">
        <v>9</v>
      </c>
      <c r="EC3" t="n">
        <v>10</v>
      </c>
      <c r="ED3" t="n">
        <v>11</v>
      </c>
      <c r="EE3" t="n">
        <v>12</v>
      </c>
      <c r="EF3" t="n">
        <v>13</v>
      </c>
      <c r="EG3" t="n">
        <v>14</v>
      </c>
      <c r="EH3" t="n">
        <v>15</v>
      </c>
      <c r="EI3" t="n">
        <v>16</v>
      </c>
      <c r="EJ3" t="n">
        <v>17</v>
      </c>
      <c r="EK3" t="n">
        <v>18</v>
      </c>
      <c r="EL3" t="n">
        <v>19</v>
      </c>
      <c r="EM3" t="n">
        <v>20</v>
      </c>
      <c r="EN3" t="n">
        <v>21</v>
      </c>
      <c r="EO3" t="n">
        <v>22</v>
      </c>
      <c r="EP3" t="n">
        <v>23</v>
      </c>
      <c r="EQ3" t="n">
        <v>24</v>
      </c>
    </row>
    <row r="4">
      <c r="A4" s="124">
        <f>IF(AND(A3&gt;0,ISNUMBER('設定'!$B$4),ISNUMBER('設定'!$D$4)),IF(AND('設定'!$D$4&gt;='設定'!$B$4,'設定'!$B$4&gt;'設定'!$D$3),ROUND(('設定'!$D$4-'設定'!$B$4)*1440/'設定'!$B$5,0)+1,0),0)</f>
        <v/>
      </c>
      <c r="B4" s="124" t="inlineStr">
        <is>
          <t>←時間帯2</t>
        </is>
      </c>
      <c r="C4" s="124" t="inlineStr">
        <is>
          <t>使える</t>
        </is>
      </c>
      <c r="D4">
        <f>IF(AND(D115=1,INDEX('設定'!$M$9:$R$9,D2)="",INDEX('設定'!$K$11:$K$34,D3)="",INDEX('設定'!$M$11:$R$34,D3,D2)=""),1,0)</f>
        <v/>
      </c>
      <c r="E4">
        <f>IF(AND(E115=1,INDEX('設定'!$M$9:$R$9,E2)="",INDEX('設定'!$K$11:$K$34,E3)="",INDEX('設定'!$M$11:$R$34,E3,E2)=""),1,0)</f>
        <v/>
      </c>
      <c r="F4">
        <f>IF(AND(F115=1,INDEX('設定'!$M$9:$R$9,F2)="",INDEX('設定'!$K$11:$K$34,F3)="",INDEX('設定'!$M$11:$R$34,F3,F2)=""),1,0)</f>
        <v/>
      </c>
      <c r="G4">
        <f>IF(AND(G115=1,INDEX('設定'!$M$9:$R$9,G2)="",INDEX('設定'!$K$11:$K$34,G3)="",INDEX('設定'!$M$11:$R$34,G3,G2)=""),1,0)</f>
        <v/>
      </c>
      <c r="H4">
        <f>IF(AND(H115=1,INDEX('設定'!$M$9:$R$9,H2)="",INDEX('設定'!$K$11:$K$34,H3)="",INDEX('設定'!$M$11:$R$34,H3,H2)=""),1,0)</f>
        <v/>
      </c>
      <c r="I4">
        <f>IF(AND(I115=1,INDEX('設定'!$M$9:$R$9,I2)="",INDEX('設定'!$K$11:$K$34,I3)="",INDEX('設定'!$M$11:$R$34,I3,I2)=""),1,0)</f>
        <v/>
      </c>
      <c r="J4">
        <f>IF(AND(J115=1,INDEX('設定'!$M$9:$R$9,J2)="",INDEX('設定'!$K$11:$K$34,J3)="",INDEX('設定'!$M$11:$R$34,J3,J2)=""),1,0)</f>
        <v/>
      </c>
      <c r="K4">
        <f>IF(AND(K115=1,INDEX('設定'!$M$9:$R$9,K2)="",INDEX('設定'!$K$11:$K$34,K3)="",INDEX('設定'!$M$11:$R$34,K3,K2)=""),1,0)</f>
        <v/>
      </c>
      <c r="L4">
        <f>IF(AND(L115=1,INDEX('設定'!$M$9:$R$9,L2)="",INDEX('設定'!$K$11:$K$34,L3)="",INDEX('設定'!$M$11:$R$34,L3,L2)=""),1,0)</f>
        <v/>
      </c>
      <c r="M4">
        <f>IF(AND(M115=1,INDEX('設定'!$M$9:$R$9,M2)="",INDEX('設定'!$K$11:$K$34,M3)="",INDEX('設定'!$M$11:$R$34,M3,M2)=""),1,0)</f>
        <v/>
      </c>
      <c r="N4">
        <f>IF(AND(N115=1,INDEX('設定'!$M$9:$R$9,N2)="",INDEX('設定'!$K$11:$K$34,N3)="",INDEX('設定'!$M$11:$R$34,N3,N2)=""),1,0)</f>
        <v/>
      </c>
      <c r="O4">
        <f>IF(AND(O115=1,INDEX('設定'!$M$9:$R$9,O2)="",INDEX('設定'!$K$11:$K$34,O3)="",INDEX('設定'!$M$11:$R$34,O3,O2)=""),1,0)</f>
        <v/>
      </c>
      <c r="P4">
        <f>IF(AND(P115=1,INDEX('設定'!$M$9:$R$9,P2)="",INDEX('設定'!$K$11:$K$34,P3)="",INDEX('設定'!$M$11:$R$34,P3,P2)=""),1,0)</f>
        <v/>
      </c>
      <c r="Q4">
        <f>IF(AND(Q115=1,INDEX('設定'!$M$9:$R$9,Q2)="",INDEX('設定'!$K$11:$K$34,Q3)="",INDEX('設定'!$M$11:$R$34,Q3,Q2)=""),1,0)</f>
        <v/>
      </c>
      <c r="R4">
        <f>IF(AND(R115=1,INDEX('設定'!$M$9:$R$9,R2)="",INDEX('設定'!$K$11:$K$34,R3)="",INDEX('設定'!$M$11:$R$34,R3,R2)=""),1,0)</f>
        <v/>
      </c>
      <c r="S4">
        <f>IF(AND(S115=1,INDEX('設定'!$M$9:$R$9,S2)="",INDEX('設定'!$K$11:$K$34,S3)="",INDEX('設定'!$M$11:$R$34,S3,S2)=""),1,0)</f>
        <v/>
      </c>
      <c r="T4">
        <f>IF(AND(T115=1,INDEX('設定'!$M$9:$R$9,T2)="",INDEX('設定'!$K$11:$K$34,T3)="",INDEX('設定'!$M$11:$R$34,T3,T2)=""),1,0)</f>
        <v/>
      </c>
      <c r="U4">
        <f>IF(AND(U115=1,INDEX('設定'!$M$9:$R$9,U2)="",INDEX('設定'!$K$11:$K$34,U3)="",INDEX('設定'!$M$11:$R$34,U3,U2)=""),1,0)</f>
        <v/>
      </c>
      <c r="V4">
        <f>IF(AND(V115=1,INDEX('設定'!$M$9:$R$9,V2)="",INDEX('設定'!$K$11:$K$34,V3)="",INDEX('設定'!$M$11:$R$34,V3,V2)=""),1,0)</f>
        <v/>
      </c>
      <c r="W4">
        <f>IF(AND(W115=1,INDEX('設定'!$M$9:$R$9,W2)="",INDEX('設定'!$K$11:$K$34,W3)="",INDEX('設定'!$M$11:$R$34,W3,W2)=""),1,0)</f>
        <v/>
      </c>
      <c r="X4">
        <f>IF(AND(X115=1,INDEX('設定'!$M$9:$R$9,X2)="",INDEX('設定'!$K$11:$K$34,X3)="",INDEX('設定'!$M$11:$R$34,X3,X2)=""),1,0)</f>
        <v/>
      </c>
      <c r="Y4">
        <f>IF(AND(Y115=1,INDEX('設定'!$M$9:$R$9,Y2)="",INDEX('設定'!$K$11:$K$34,Y3)="",INDEX('設定'!$M$11:$R$34,Y3,Y2)=""),1,0)</f>
        <v/>
      </c>
      <c r="Z4">
        <f>IF(AND(Z115=1,INDEX('設定'!$M$9:$R$9,Z2)="",INDEX('設定'!$K$11:$K$34,Z3)="",INDEX('設定'!$M$11:$R$34,Z3,Z2)=""),1,0)</f>
        <v/>
      </c>
      <c r="AA4">
        <f>IF(AND(AA115=1,INDEX('設定'!$M$9:$R$9,AA2)="",INDEX('設定'!$K$11:$K$34,AA3)="",INDEX('設定'!$M$11:$R$34,AA3,AA2)=""),1,0)</f>
        <v/>
      </c>
      <c r="AB4">
        <f>IF(AND(AB115=1,INDEX('設定'!$M$9:$R$9,AB2)="",INDEX('設定'!$K$11:$K$34,AB3)="",INDEX('設定'!$M$11:$R$34,AB3,AB2)=""),1,0)</f>
        <v/>
      </c>
      <c r="AC4">
        <f>IF(AND(AC115=1,INDEX('設定'!$M$9:$R$9,AC2)="",INDEX('設定'!$K$11:$K$34,AC3)="",INDEX('設定'!$M$11:$R$34,AC3,AC2)=""),1,0)</f>
        <v/>
      </c>
      <c r="AD4">
        <f>IF(AND(AD115=1,INDEX('設定'!$M$9:$R$9,AD2)="",INDEX('設定'!$K$11:$K$34,AD3)="",INDEX('設定'!$M$11:$R$34,AD3,AD2)=""),1,0)</f>
        <v/>
      </c>
      <c r="AE4">
        <f>IF(AND(AE115=1,INDEX('設定'!$M$9:$R$9,AE2)="",INDEX('設定'!$K$11:$K$34,AE3)="",INDEX('設定'!$M$11:$R$34,AE3,AE2)=""),1,0)</f>
        <v/>
      </c>
      <c r="AF4">
        <f>IF(AND(AF115=1,INDEX('設定'!$M$9:$R$9,AF2)="",INDEX('設定'!$K$11:$K$34,AF3)="",INDEX('設定'!$M$11:$R$34,AF3,AF2)=""),1,0)</f>
        <v/>
      </c>
      <c r="AG4">
        <f>IF(AND(AG115=1,INDEX('設定'!$M$9:$R$9,AG2)="",INDEX('設定'!$K$11:$K$34,AG3)="",INDEX('設定'!$M$11:$R$34,AG3,AG2)=""),1,0)</f>
        <v/>
      </c>
      <c r="AH4">
        <f>IF(AND(AH115=1,INDEX('設定'!$M$9:$R$9,AH2)="",INDEX('設定'!$K$11:$K$34,AH3)="",INDEX('設定'!$M$11:$R$34,AH3,AH2)=""),1,0)</f>
        <v/>
      </c>
      <c r="AI4">
        <f>IF(AND(AI115=1,INDEX('設定'!$M$9:$R$9,AI2)="",INDEX('設定'!$K$11:$K$34,AI3)="",INDEX('設定'!$M$11:$R$34,AI3,AI2)=""),1,0)</f>
        <v/>
      </c>
      <c r="AJ4">
        <f>IF(AND(AJ115=1,INDEX('設定'!$M$9:$R$9,AJ2)="",INDEX('設定'!$K$11:$K$34,AJ3)="",INDEX('設定'!$M$11:$R$34,AJ3,AJ2)=""),1,0)</f>
        <v/>
      </c>
      <c r="AK4">
        <f>IF(AND(AK115=1,INDEX('設定'!$M$9:$R$9,AK2)="",INDEX('設定'!$K$11:$K$34,AK3)="",INDEX('設定'!$M$11:$R$34,AK3,AK2)=""),1,0)</f>
        <v/>
      </c>
      <c r="AL4">
        <f>IF(AND(AL115=1,INDEX('設定'!$M$9:$R$9,AL2)="",INDEX('設定'!$K$11:$K$34,AL3)="",INDEX('設定'!$M$11:$R$34,AL3,AL2)=""),1,0)</f>
        <v/>
      </c>
      <c r="AM4">
        <f>IF(AND(AM115=1,INDEX('設定'!$M$9:$R$9,AM2)="",INDEX('設定'!$K$11:$K$34,AM3)="",INDEX('設定'!$M$11:$R$34,AM3,AM2)=""),1,0)</f>
        <v/>
      </c>
      <c r="AN4">
        <f>IF(AND(AN115=1,INDEX('設定'!$M$9:$R$9,AN2)="",INDEX('設定'!$K$11:$K$34,AN3)="",INDEX('設定'!$M$11:$R$34,AN3,AN2)=""),1,0)</f>
        <v/>
      </c>
      <c r="AO4">
        <f>IF(AND(AO115=1,INDEX('設定'!$M$9:$R$9,AO2)="",INDEX('設定'!$K$11:$K$34,AO3)="",INDEX('設定'!$M$11:$R$34,AO3,AO2)=""),1,0)</f>
        <v/>
      </c>
      <c r="AP4">
        <f>IF(AND(AP115=1,INDEX('設定'!$M$9:$R$9,AP2)="",INDEX('設定'!$K$11:$K$34,AP3)="",INDEX('設定'!$M$11:$R$34,AP3,AP2)=""),1,0)</f>
        <v/>
      </c>
      <c r="AQ4">
        <f>IF(AND(AQ115=1,INDEX('設定'!$M$9:$R$9,AQ2)="",INDEX('設定'!$K$11:$K$34,AQ3)="",INDEX('設定'!$M$11:$R$34,AQ3,AQ2)=""),1,0)</f>
        <v/>
      </c>
      <c r="AR4">
        <f>IF(AND(AR115=1,INDEX('設定'!$M$9:$R$9,AR2)="",INDEX('設定'!$K$11:$K$34,AR3)="",INDEX('設定'!$M$11:$R$34,AR3,AR2)=""),1,0)</f>
        <v/>
      </c>
      <c r="AS4">
        <f>IF(AND(AS115=1,INDEX('設定'!$M$9:$R$9,AS2)="",INDEX('設定'!$K$11:$K$34,AS3)="",INDEX('設定'!$M$11:$R$34,AS3,AS2)=""),1,0)</f>
        <v/>
      </c>
      <c r="AT4">
        <f>IF(AND(AT115=1,INDEX('設定'!$M$9:$R$9,AT2)="",INDEX('設定'!$K$11:$K$34,AT3)="",INDEX('設定'!$M$11:$R$34,AT3,AT2)=""),1,0)</f>
        <v/>
      </c>
      <c r="AU4">
        <f>IF(AND(AU115=1,INDEX('設定'!$M$9:$R$9,AU2)="",INDEX('設定'!$K$11:$K$34,AU3)="",INDEX('設定'!$M$11:$R$34,AU3,AU2)=""),1,0)</f>
        <v/>
      </c>
      <c r="AV4">
        <f>IF(AND(AV115=1,INDEX('設定'!$M$9:$R$9,AV2)="",INDEX('設定'!$K$11:$K$34,AV3)="",INDEX('設定'!$M$11:$R$34,AV3,AV2)=""),1,0)</f>
        <v/>
      </c>
      <c r="AW4">
        <f>IF(AND(AW115=1,INDEX('設定'!$M$9:$R$9,AW2)="",INDEX('設定'!$K$11:$K$34,AW3)="",INDEX('設定'!$M$11:$R$34,AW3,AW2)=""),1,0)</f>
        <v/>
      </c>
      <c r="AX4">
        <f>IF(AND(AX115=1,INDEX('設定'!$M$9:$R$9,AX2)="",INDEX('設定'!$K$11:$K$34,AX3)="",INDEX('設定'!$M$11:$R$34,AX3,AX2)=""),1,0)</f>
        <v/>
      </c>
      <c r="AY4">
        <f>IF(AND(AY115=1,INDEX('設定'!$M$9:$R$9,AY2)="",INDEX('設定'!$K$11:$K$34,AY3)="",INDEX('設定'!$M$11:$R$34,AY3,AY2)=""),1,0)</f>
        <v/>
      </c>
      <c r="AZ4">
        <f>IF(AND(AZ115=1,INDEX('設定'!$M$9:$R$9,AZ2)="",INDEX('設定'!$K$11:$K$34,AZ3)="",INDEX('設定'!$M$11:$R$34,AZ3,AZ2)=""),1,0)</f>
        <v/>
      </c>
      <c r="BA4">
        <f>IF(AND(BA115=1,INDEX('設定'!$M$9:$R$9,BA2)="",INDEX('設定'!$K$11:$K$34,BA3)="",INDEX('設定'!$M$11:$R$34,BA3,BA2)=""),1,0)</f>
        <v/>
      </c>
      <c r="BB4">
        <f>IF(AND(BB115=1,INDEX('設定'!$M$9:$R$9,BB2)="",INDEX('設定'!$K$11:$K$34,BB3)="",INDEX('設定'!$M$11:$R$34,BB3,BB2)=""),1,0)</f>
        <v/>
      </c>
      <c r="BC4">
        <f>IF(AND(BC115=1,INDEX('設定'!$M$9:$R$9,BC2)="",INDEX('設定'!$K$11:$K$34,BC3)="",INDEX('設定'!$M$11:$R$34,BC3,BC2)=""),1,0)</f>
        <v/>
      </c>
      <c r="BD4">
        <f>IF(AND(BD115=1,INDEX('設定'!$M$9:$R$9,BD2)="",INDEX('設定'!$K$11:$K$34,BD3)="",INDEX('設定'!$M$11:$R$34,BD3,BD2)=""),1,0)</f>
        <v/>
      </c>
      <c r="BE4">
        <f>IF(AND(BE115=1,INDEX('設定'!$M$9:$R$9,BE2)="",INDEX('設定'!$K$11:$K$34,BE3)="",INDEX('設定'!$M$11:$R$34,BE3,BE2)=""),1,0)</f>
        <v/>
      </c>
      <c r="BF4">
        <f>IF(AND(BF115=1,INDEX('設定'!$M$9:$R$9,BF2)="",INDEX('設定'!$K$11:$K$34,BF3)="",INDEX('設定'!$M$11:$R$34,BF3,BF2)=""),1,0)</f>
        <v/>
      </c>
      <c r="BG4">
        <f>IF(AND(BG115=1,INDEX('設定'!$M$9:$R$9,BG2)="",INDEX('設定'!$K$11:$K$34,BG3)="",INDEX('設定'!$M$11:$R$34,BG3,BG2)=""),1,0)</f>
        <v/>
      </c>
      <c r="BH4">
        <f>IF(AND(BH115=1,INDEX('設定'!$M$9:$R$9,BH2)="",INDEX('設定'!$K$11:$K$34,BH3)="",INDEX('設定'!$M$11:$R$34,BH3,BH2)=""),1,0)</f>
        <v/>
      </c>
      <c r="BI4">
        <f>IF(AND(BI115=1,INDEX('設定'!$M$9:$R$9,BI2)="",INDEX('設定'!$K$11:$K$34,BI3)="",INDEX('設定'!$M$11:$R$34,BI3,BI2)=""),1,0)</f>
        <v/>
      </c>
      <c r="BJ4">
        <f>IF(AND(BJ115=1,INDEX('設定'!$M$9:$R$9,BJ2)="",INDEX('設定'!$K$11:$K$34,BJ3)="",INDEX('設定'!$M$11:$R$34,BJ3,BJ2)=""),1,0)</f>
        <v/>
      </c>
      <c r="BK4">
        <f>IF(AND(BK115=1,INDEX('設定'!$M$9:$R$9,BK2)="",INDEX('設定'!$K$11:$K$34,BK3)="",INDEX('設定'!$M$11:$R$34,BK3,BK2)=""),1,0)</f>
        <v/>
      </c>
      <c r="BL4">
        <f>IF(AND(BL115=1,INDEX('設定'!$M$9:$R$9,BL2)="",INDEX('設定'!$K$11:$K$34,BL3)="",INDEX('設定'!$M$11:$R$34,BL3,BL2)=""),1,0)</f>
        <v/>
      </c>
      <c r="BM4">
        <f>IF(AND(BM115=1,INDEX('設定'!$M$9:$R$9,BM2)="",INDEX('設定'!$K$11:$K$34,BM3)="",INDEX('設定'!$M$11:$R$34,BM3,BM2)=""),1,0)</f>
        <v/>
      </c>
      <c r="BN4">
        <f>IF(AND(BN115=1,INDEX('設定'!$M$9:$R$9,BN2)="",INDEX('設定'!$K$11:$K$34,BN3)="",INDEX('設定'!$M$11:$R$34,BN3,BN2)=""),1,0)</f>
        <v/>
      </c>
      <c r="BO4">
        <f>IF(AND(BO115=1,INDEX('設定'!$M$9:$R$9,BO2)="",INDEX('設定'!$K$11:$K$34,BO3)="",INDEX('設定'!$M$11:$R$34,BO3,BO2)=""),1,0)</f>
        <v/>
      </c>
      <c r="BP4">
        <f>IF(AND(BP115=1,INDEX('設定'!$M$9:$R$9,BP2)="",INDEX('設定'!$K$11:$K$34,BP3)="",INDEX('設定'!$M$11:$R$34,BP3,BP2)=""),1,0)</f>
        <v/>
      </c>
      <c r="BQ4">
        <f>IF(AND(BQ115=1,INDEX('設定'!$M$9:$R$9,BQ2)="",INDEX('設定'!$K$11:$K$34,BQ3)="",INDEX('設定'!$M$11:$R$34,BQ3,BQ2)=""),1,0)</f>
        <v/>
      </c>
      <c r="BR4">
        <f>IF(AND(BR115=1,INDEX('設定'!$M$9:$R$9,BR2)="",INDEX('設定'!$K$11:$K$34,BR3)="",INDEX('設定'!$M$11:$R$34,BR3,BR2)=""),1,0)</f>
        <v/>
      </c>
      <c r="BS4">
        <f>IF(AND(BS115=1,INDEX('設定'!$M$9:$R$9,BS2)="",INDEX('設定'!$K$11:$K$34,BS3)="",INDEX('設定'!$M$11:$R$34,BS3,BS2)=""),1,0)</f>
        <v/>
      </c>
      <c r="BT4">
        <f>IF(AND(BT115=1,INDEX('設定'!$M$9:$R$9,BT2)="",INDEX('設定'!$K$11:$K$34,BT3)="",INDEX('設定'!$M$11:$R$34,BT3,BT2)=""),1,0)</f>
        <v/>
      </c>
      <c r="BU4">
        <f>IF(AND(BU115=1,INDEX('設定'!$M$9:$R$9,BU2)="",INDEX('設定'!$K$11:$K$34,BU3)="",INDEX('設定'!$M$11:$R$34,BU3,BU2)=""),1,0)</f>
        <v/>
      </c>
      <c r="BV4">
        <f>IF(AND(BV115=1,INDEX('設定'!$M$9:$R$9,BV2)="",INDEX('設定'!$K$11:$K$34,BV3)="",INDEX('設定'!$M$11:$R$34,BV3,BV2)=""),1,0)</f>
        <v/>
      </c>
      <c r="BW4">
        <f>IF(AND(BW115=1,INDEX('設定'!$M$9:$R$9,BW2)="",INDEX('設定'!$K$11:$K$34,BW3)="",INDEX('設定'!$M$11:$R$34,BW3,BW2)=""),1,0)</f>
        <v/>
      </c>
      <c r="BX4">
        <f>IF(AND(BX115=1,INDEX('設定'!$M$9:$R$9,BX2)="",INDEX('設定'!$K$11:$K$34,BX3)="",INDEX('設定'!$M$11:$R$34,BX3,BX2)=""),1,0)</f>
        <v/>
      </c>
      <c r="BY4">
        <f>IF(AND(BY115=1,INDEX('設定'!$M$9:$R$9,BY2)="",INDEX('設定'!$K$11:$K$34,BY3)="",INDEX('設定'!$M$11:$R$34,BY3,BY2)=""),1,0)</f>
        <v/>
      </c>
      <c r="BZ4">
        <f>IF(AND(BZ115=1,INDEX('設定'!$M$9:$R$9,BZ2)="",INDEX('設定'!$K$11:$K$34,BZ3)="",INDEX('設定'!$M$11:$R$34,BZ3,BZ2)=""),1,0)</f>
        <v/>
      </c>
      <c r="CA4">
        <f>IF(AND(CA115=1,INDEX('設定'!$M$9:$R$9,CA2)="",INDEX('設定'!$K$11:$K$34,CA3)="",INDEX('設定'!$M$11:$R$34,CA3,CA2)=""),1,0)</f>
        <v/>
      </c>
      <c r="CB4">
        <f>IF(AND(CB115=1,INDEX('設定'!$M$9:$R$9,CB2)="",INDEX('設定'!$K$11:$K$34,CB3)="",INDEX('設定'!$M$11:$R$34,CB3,CB2)=""),1,0)</f>
        <v/>
      </c>
      <c r="CC4">
        <f>IF(AND(CC115=1,INDEX('設定'!$M$9:$R$9,CC2)="",INDEX('設定'!$K$11:$K$34,CC3)="",INDEX('設定'!$M$11:$R$34,CC3,CC2)=""),1,0)</f>
        <v/>
      </c>
      <c r="CD4">
        <f>IF(AND(CD115=1,INDEX('設定'!$M$9:$R$9,CD2)="",INDEX('設定'!$K$11:$K$34,CD3)="",INDEX('設定'!$M$11:$R$34,CD3,CD2)=""),1,0)</f>
        <v/>
      </c>
      <c r="CE4">
        <f>IF(AND(CE115=1,INDEX('設定'!$M$9:$R$9,CE2)="",INDEX('設定'!$K$11:$K$34,CE3)="",INDEX('設定'!$M$11:$R$34,CE3,CE2)=""),1,0)</f>
        <v/>
      </c>
      <c r="CF4">
        <f>IF(AND(CF115=1,INDEX('設定'!$M$9:$R$9,CF2)="",INDEX('設定'!$K$11:$K$34,CF3)="",INDEX('設定'!$M$11:$R$34,CF3,CF2)=""),1,0)</f>
        <v/>
      </c>
      <c r="CG4">
        <f>IF(AND(CG115=1,INDEX('設定'!$M$9:$R$9,CG2)="",INDEX('設定'!$K$11:$K$34,CG3)="",INDEX('設定'!$M$11:$R$34,CG3,CG2)=""),1,0)</f>
        <v/>
      </c>
      <c r="CH4">
        <f>IF(AND(CH115=1,INDEX('設定'!$M$9:$R$9,CH2)="",INDEX('設定'!$K$11:$K$34,CH3)="",INDEX('設定'!$M$11:$R$34,CH3,CH2)=""),1,0)</f>
        <v/>
      </c>
      <c r="CI4">
        <f>IF(AND(CI115=1,INDEX('設定'!$M$9:$R$9,CI2)="",INDEX('設定'!$K$11:$K$34,CI3)="",INDEX('設定'!$M$11:$R$34,CI3,CI2)=""),1,0)</f>
        <v/>
      </c>
      <c r="CJ4">
        <f>IF(AND(CJ115=1,INDEX('設定'!$M$9:$R$9,CJ2)="",INDEX('設定'!$K$11:$K$34,CJ3)="",INDEX('設定'!$M$11:$R$34,CJ3,CJ2)=""),1,0)</f>
        <v/>
      </c>
      <c r="CK4">
        <f>IF(AND(CK115=1,INDEX('設定'!$M$9:$R$9,CK2)="",INDEX('設定'!$K$11:$K$34,CK3)="",INDEX('設定'!$M$11:$R$34,CK3,CK2)=""),1,0)</f>
        <v/>
      </c>
      <c r="CL4">
        <f>IF(AND(CL115=1,INDEX('設定'!$M$9:$R$9,CL2)="",INDEX('設定'!$K$11:$K$34,CL3)="",INDEX('設定'!$M$11:$R$34,CL3,CL2)=""),1,0)</f>
        <v/>
      </c>
      <c r="CM4">
        <f>IF(AND(CM115=1,INDEX('設定'!$M$9:$R$9,CM2)="",INDEX('設定'!$K$11:$K$34,CM3)="",INDEX('設定'!$M$11:$R$34,CM3,CM2)=""),1,0)</f>
        <v/>
      </c>
      <c r="CN4">
        <f>IF(AND(CN115=1,INDEX('設定'!$M$9:$R$9,CN2)="",INDEX('設定'!$K$11:$K$34,CN3)="",INDEX('設定'!$M$11:$R$34,CN3,CN2)=""),1,0)</f>
        <v/>
      </c>
      <c r="CO4">
        <f>IF(AND(CO115=1,INDEX('設定'!$M$9:$R$9,CO2)="",INDEX('設定'!$K$11:$K$34,CO3)="",INDEX('設定'!$M$11:$R$34,CO3,CO2)=""),1,0)</f>
        <v/>
      </c>
      <c r="CP4">
        <f>IF(AND(CP115=1,INDEX('設定'!$M$9:$R$9,CP2)="",INDEX('設定'!$K$11:$K$34,CP3)="",INDEX('設定'!$M$11:$R$34,CP3,CP2)=""),1,0)</f>
        <v/>
      </c>
      <c r="CQ4">
        <f>IF(AND(CQ115=1,INDEX('設定'!$M$9:$R$9,CQ2)="",INDEX('設定'!$K$11:$K$34,CQ3)="",INDEX('設定'!$M$11:$R$34,CQ3,CQ2)=""),1,0)</f>
        <v/>
      </c>
      <c r="CR4">
        <f>IF(AND(CR115=1,INDEX('設定'!$M$9:$R$9,CR2)="",INDEX('設定'!$K$11:$K$34,CR3)="",INDEX('設定'!$M$11:$R$34,CR3,CR2)=""),1,0)</f>
        <v/>
      </c>
      <c r="CS4">
        <f>IF(AND(CS115=1,INDEX('設定'!$M$9:$R$9,CS2)="",INDEX('設定'!$K$11:$K$34,CS3)="",INDEX('設定'!$M$11:$R$34,CS3,CS2)=""),1,0)</f>
        <v/>
      </c>
      <c r="CT4">
        <f>IF(AND(CT115=1,INDEX('設定'!$M$9:$R$9,CT2)="",INDEX('設定'!$K$11:$K$34,CT3)="",INDEX('設定'!$M$11:$R$34,CT3,CT2)=""),1,0)</f>
        <v/>
      </c>
      <c r="CU4">
        <f>IF(AND(CU115=1,INDEX('設定'!$M$9:$R$9,CU2)="",INDEX('設定'!$K$11:$K$34,CU3)="",INDEX('設定'!$M$11:$R$34,CU3,CU2)=""),1,0)</f>
        <v/>
      </c>
      <c r="CV4">
        <f>IF(AND(CV115=1,INDEX('設定'!$M$9:$R$9,CV2)="",INDEX('設定'!$K$11:$K$34,CV3)="",INDEX('設定'!$M$11:$R$34,CV3,CV2)=""),1,0)</f>
        <v/>
      </c>
      <c r="CW4">
        <f>IF(AND(CW115=1,INDEX('設定'!$M$9:$R$9,CW2)="",INDEX('設定'!$K$11:$K$34,CW3)="",INDEX('設定'!$M$11:$R$34,CW3,CW2)=""),1,0)</f>
        <v/>
      </c>
      <c r="CX4">
        <f>IF(AND(CX115=1,INDEX('設定'!$M$9:$R$9,CX2)="",INDEX('設定'!$K$11:$K$34,CX3)="",INDEX('設定'!$M$11:$R$34,CX3,CX2)=""),1,0)</f>
        <v/>
      </c>
      <c r="CY4">
        <f>IF(AND(CY115=1,INDEX('設定'!$M$9:$R$9,CY2)="",INDEX('設定'!$K$11:$K$34,CY3)="",INDEX('設定'!$M$11:$R$34,CY3,CY2)=""),1,0)</f>
        <v/>
      </c>
      <c r="CZ4">
        <f>IF(AND(CZ115=1,INDEX('設定'!$M$9:$R$9,CZ2)="",INDEX('設定'!$K$11:$K$34,CZ3)="",INDEX('設定'!$M$11:$R$34,CZ3,CZ2)=""),1,0)</f>
        <v/>
      </c>
      <c r="DA4">
        <f>IF(AND(DA115=1,INDEX('設定'!$M$9:$R$9,DA2)="",INDEX('設定'!$K$11:$K$34,DA3)="",INDEX('設定'!$M$11:$R$34,DA3,DA2)=""),1,0)</f>
        <v/>
      </c>
      <c r="DB4">
        <f>IF(AND(DB115=1,INDEX('設定'!$M$9:$R$9,DB2)="",INDEX('設定'!$K$11:$K$34,DB3)="",INDEX('設定'!$M$11:$R$34,DB3,DB2)=""),1,0)</f>
        <v/>
      </c>
      <c r="DC4">
        <f>IF(AND(DC115=1,INDEX('設定'!$M$9:$R$9,DC2)="",INDEX('設定'!$K$11:$K$34,DC3)="",INDEX('設定'!$M$11:$R$34,DC3,DC2)=""),1,0)</f>
        <v/>
      </c>
      <c r="DD4">
        <f>IF(AND(DD115=1,INDEX('設定'!$M$9:$R$9,DD2)="",INDEX('設定'!$K$11:$K$34,DD3)="",INDEX('設定'!$M$11:$R$34,DD3,DD2)=""),1,0)</f>
        <v/>
      </c>
      <c r="DE4">
        <f>IF(AND(DE115=1,INDEX('設定'!$M$9:$R$9,DE2)="",INDEX('設定'!$K$11:$K$34,DE3)="",INDEX('設定'!$M$11:$R$34,DE3,DE2)=""),1,0)</f>
        <v/>
      </c>
      <c r="DF4">
        <f>IF(AND(DF115=1,INDEX('設定'!$M$9:$R$9,DF2)="",INDEX('設定'!$K$11:$K$34,DF3)="",INDEX('設定'!$M$11:$R$34,DF3,DF2)=""),1,0)</f>
        <v/>
      </c>
      <c r="DG4">
        <f>IF(AND(DG115=1,INDEX('設定'!$M$9:$R$9,DG2)="",INDEX('設定'!$K$11:$K$34,DG3)="",INDEX('設定'!$M$11:$R$34,DG3,DG2)=""),1,0)</f>
        <v/>
      </c>
      <c r="DH4">
        <f>IF(AND(DH115=1,INDEX('設定'!$M$9:$R$9,DH2)="",INDEX('設定'!$K$11:$K$34,DH3)="",INDEX('設定'!$M$11:$R$34,DH3,DH2)=""),1,0)</f>
        <v/>
      </c>
      <c r="DI4">
        <f>IF(AND(DI115=1,INDEX('設定'!$M$9:$R$9,DI2)="",INDEX('設定'!$K$11:$K$34,DI3)="",INDEX('設定'!$M$11:$R$34,DI3,DI2)=""),1,0)</f>
        <v/>
      </c>
      <c r="DJ4">
        <f>IF(AND(DJ115=1,INDEX('設定'!$M$9:$R$9,DJ2)="",INDEX('設定'!$K$11:$K$34,DJ3)="",INDEX('設定'!$M$11:$R$34,DJ3,DJ2)=""),1,0)</f>
        <v/>
      </c>
      <c r="DK4">
        <f>IF(AND(DK115=1,INDEX('設定'!$M$9:$R$9,DK2)="",INDEX('設定'!$K$11:$K$34,DK3)="",INDEX('設定'!$M$11:$R$34,DK3,DK2)=""),1,0)</f>
        <v/>
      </c>
      <c r="DL4">
        <f>IF(AND(DL115=1,INDEX('設定'!$M$9:$R$9,DL2)="",INDEX('設定'!$K$11:$K$34,DL3)="",INDEX('設定'!$M$11:$R$34,DL3,DL2)=""),1,0)</f>
        <v/>
      </c>
      <c r="DM4">
        <f>IF(AND(DM115=1,INDEX('設定'!$M$9:$R$9,DM2)="",INDEX('設定'!$K$11:$K$34,DM3)="",INDEX('設定'!$M$11:$R$34,DM3,DM2)=""),1,0)</f>
        <v/>
      </c>
      <c r="DN4">
        <f>IF(AND(DN115=1,INDEX('設定'!$M$9:$R$9,DN2)="",INDEX('設定'!$K$11:$K$34,DN3)="",INDEX('設定'!$M$11:$R$34,DN3,DN2)=""),1,0)</f>
        <v/>
      </c>
      <c r="DO4">
        <f>IF(AND(DO115=1,INDEX('設定'!$M$9:$R$9,DO2)="",INDEX('設定'!$K$11:$K$34,DO3)="",INDEX('設定'!$M$11:$R$34,DO3,DO2)=""),1,0)</f>
        <v/>
      </c>
      <c r="DP4">
        <f>IF(AND(DP115=1,INDEX('設定'!$M$9:$R$9,DP2)="",INDEX('設定'!$K$11:$K$34,DP3)="",INDEX('設定'!$M$11:$R$34,DP3,DP2)=""),1,0)</f>
        <v/>
      </c>
      <c r="DQ4">
        <f>IF(AND(DQ115=1,INDEX('設定'!$M$9:$R$9,DQ2)="",INDEX('設定'!$K$11:$K$34,DQ3)="",INDEX('設定'!$M$11:$R$34,DQ3,DQ2)=""),1,0)</f>
        <v/>
      </c>
      <c r="DR4">
        <f>IF(AND(DR115=1,INDEX('設定'!$M$9:$R$9,DR2)="",INDEX('設定'!$K$11:$K$34,DR3)="",INDEX('設定'!$M$11:$R$34,DR3,DR2)=""),1,0)</f>
        <v/>
      </c>
      <c r="DS4">
        <f>IF(AND(DS115=1,INDEX('設定'!$M$9:$R$9,DS2)="",INDEX('設定'!$K$11:$K$34,DS3)="",INDEX('設定'!$M$11:$R$34,DS3,DS2)=""),1,0)</f>
        <v/>
      </c>
      <c r="DT4">
        <f>IF(AND(DT115=1,INDEX('設定'!$M$9:$R$9,DT2)="",INDEX('設定'!$K$11:$K$34,DT3)="",INDEX('設定'!$M$11:$R$34,DT3,DT2)=""),1,0)</f>
        <v/>
      </c>
      <c r="DU4">
        <f>IF(AND(DU115=1,INDEX('設定'!$M$9:$R$9,DU2)="",INDEX('設定'!$K$11:$K$34,DU3)="",INDEX('設定'!$M$11:$R$34,DU3,DU2)=""),1,0)</f>
        <v/>
      </c>
      <c r="DV4">
        <f>IF(AND(DV115=1,INDEX('設定'!$M$9:$R$9,DV2)="",INDEX('設定'!$K$11:$K$34,DV3)="",INDEX('設定'!$M$11:$R$34,DV3,DV2)=""),1,0)</f>
        <v/>
      </c>
      <c r="DW4">
        <f>IF(AND(DW115=1,INDEX('設定'!$M$9:$R$9,DW2)="",INDEX('設定'!$K$11:$K$34,DW3)="",INDEX('設定'!$M$11:$R$34,DW3,DW2)=""),1,0)</f>
        <v/>
      </c>
      <c r="DX4">
        <f>IF(AND(DX115=1,INDEX('設定'!$M$9:$R$9,DX2)="",INDEX('設定'!$K$11:$K$34,DX3)="",INDEX('設定'!$M$11:$R$34,DX3,DX2)=""),1,0)</f>
        <v/>
      </c>
      <c r="DY4">
        <f>IF(AND(DY115=1,INDEX('設定'!$M$9:$R$9,DY2)="",INDEX('設定'!$K$11:$K$34,DY3)="",INDEX('設定'!$M$11:$R$34,DY3,DY2)=""),1,0)</f>
        <v/>
      </c>
      <c r="DZ4">
        <f>IF(AND(DZ115=1,INDEX('設定'!$M$9:$R$9,DZ2)="",INDEX('設定'!$K$11:$K$34,DZ3)="",INDEX('設定'!$M$11:$R$34,DZ3,DZ2)=""),1,0)</f>
        <v/>
      </c>
      <c r="EA4">
        <f>IF(AND(EA115=1,INDEX('設定'!$M$9:$R$9,EA2)="",INDEX('設定'!$K$11:$K$34,EA3)="",INDEX('設定'!$M$11:$R$34,EA3,EA2)=""),1,0)</f>
        <v/>
      </c>
      <c r="EB4">
        <f>IF(AND(EB115=1,INDEX('設定'!$M$9:$R$9,EB2)="",INDEX('設定'!$K$11:$K$34,EB3)="",INDEX('設定'!$M$11:$R$34,EB3,EB2)=""),1,0)</f>
        <v/>
      </c>
      <c r="EC4">
        <f>IF(AND(EC115=1,INDEX('設定'!$M$9:$R$9,EC2)="",INDEX('設定'!$K$11:$K$34,EC3)="",INDEX('設定'!$M$11:$R$34,EC3,EC2)=""),1,0)</f>
        <v/>
      </c>
      <c r="ED4">
        <f>IF(AND(ED115=1,INDEX('設定'!$M$9:$R$9,ED2)="",INDEX('設定'!$K$11:$K$34,ED3)="",INDEX('設定'!$M$11:$R$34,ED3,ED2)=""),1,0)</f>
        <v/>
      </c>
      <c r="EE4">
        <f>IF(AND(EE115=1,INDEX('設定'!$M$9:$R$9,EE2)="",INDEX('設定'!$K$11:$K$34,EE3)="",INDEX('設定'!$M$11:$R$34,EE3,EE2)=""),1,0)</f>
        <v/>
      </c>
      <c r="EF4">
        <f>IF(AND(EF115=1,INDEX('設定'!$M$9:$R$9,EF2)="",INDEX('設定'!$K$11:$K$34,EF3)="",INDEX('設定'!$M$11:$R$34,EF3,EF2)=""),1,0)</f>
        <v/>
      </c>
      <c r="EG4">
        <f>IF(AND(EG115=1,INDEX('設定'!$M$9:$R$9,EG2)="",INDEX('設定'!$K$11:$K$34,EG3)="",INDEX('設定'!$M$11:$R$34,EG3,EG2)=""),1,0)</f>
        <v/>
      </c>
      <c r="EH4">
        <f>IF(AND(EH115=1,INDEX('設定'!$M$9:$R$9,EH2)="",INDEX('設定'!$K$11:$K$34,EH3)="",INDEX('設定'!$M$11:$R$34,EH3,EH2)=""),1,0)</f>
        <v/>
      </c>
      <c r="EI4">
        <f>IF(AND(EI115=1,INDEX('設定'!$M$9:$R$9,EI2)="",INDEX('設定'!$K$11:$K$34,EI3)="",INDEX('設定'!$M$11:$R$34,EI3,EI2)=""),1,0)</f>
        <v/>
      </c>
      <c r="EJ4">
        <f>IF(AND(EJ115=1,INDEX('設定'!$M$9:$R$9,EJ2)="",INDEX('設定'!$K$11:$K$34,EJ3)="",INDEX('設定'!$M$11:$R$34,EJ3,EJ2)=""),1,0)</f>
        <v/>
      </c>
      <c r="EK4">
        <f>IF(AND(EK115=1,INDEX('設定'!$M$9:$R$9,EK2)="",INDEX('設定'!$K$11:$K$34,EK3)="",INDEX('設定'!$M$11:$R$34,EK3,EK2)=""),1,0)</f>
        <v/>
      </c>
      <c r="EL4">
        <f>IF(AND(EL115=1,INDEX('設定'!$M$9:$R$9,EL2)="",INDEX('設定'!$K$11:$K$34,EL3)="",INDEX('設定'!$M$11:$R$34,EL3,EL2)=""),1,0)</f>
        <v/>
      </c>
      <c r="EM4">
        <f>IF(AND(EM115=1,INDEX('設定'!$M$9:$R$9,EM2)="",INDEX('設定'!$K$11:$K$34,EM3)="",INDEX('設定'!$M$11:$R$34,EM3,EM2)=""),1,0)</f>
        <v/>
      </c>
      <c r="EN4">
        <f>IF(AND(EN115=1,INDEX('設定'!$M$9:$R$9,EN2)="",INDEX('設定'!$K$11:$K$34,EN3)="",INDEX('設定'!$M$11:$R$34,EN3,EN2)=""),1,0)</f>
        <v/>
      </c>
      <c r="EO4">
        <f>IF(AND(EO115=1,INDEX('設定'!$M$9:$R$9,EO2)="",INDEX('設定'!$K$11:$K$34,EO3)="",INDEX('設定'!$M$11:$R$34,EO3,EO2)=""),1,0)</f>
        <v/>
      </c>
      <c r="EP4">
        <f>IF(AND(EP115=1,INDEX('設定'!$M$9:$R$9,EP2)="",INDEX('設定'!$K$11:$K$34,EP3)="",INDEX('設定'!$M$11:$R$34,EP3,EP2)=""),1,0)</f>
        <v/>
      </c>
      <c r="EQ4">
        <f>IF(AND(EQ115=1,INDEX('設定'!$M$9:$R$9,EQ2)="",INDEX('設定'!$K$11:$K$34,EQ3)="",INDEX('設定'!$M$11:$R$34,EQ3,EQ2)=""),1,0)</f>
        <v/>
      </c>
    </row>
    <row r="5">
      <c r="A5" s="124" t="n"/>
      <c r="B5" s="124" t="n"/>
      <c r="C5" s="124" t="inlineStr">
        <is>
          <t>空けたい</t>
        </is>
      </c>
      <c r="D5">
        <f>IF(OR(INDEX('設定'!$D$11:$D$16,D2)&lt;&gt;"",INDEX('設定'!$H$11:$H$34,D3)&lt;&gt;""),1,0)</f>
        <v/>
      </c>
      <c r="E5">
        <f>IF(OR(INDEX('設定'!$D$11:$D$16,E2)&lt;&gt;"",INDEX('設定'!$H$11:$H$34,E3)&lt;&gt;""),1,0)</f>
        <v/>
      </c>
      <c r="F5">
        <f>IF(OR(INDEX('設定'!$D$11:$D$16,F2)&lt;&gt;"",INDEX('設定'!$H$11:$H$34,F3)&lt;&gt;""),1,0)</f>
        <v/>
      </c>
      <c r="G5">
        <f>IF(OR(INDEX('設定'!$D$11:$D$16,G2)&lt;&gt;"",INDEX('設定'!$H$11:$H$34,G3)&lt;&gt;""),1,0)</f>
        <v/>
      </c>
      <c r="H5">
        <f>IF(OR(INDEX('設定'!$D$11:$D$16,H2)&lt;&gt;"",INDEX('設定'!$H$11:$H$34,H3)&lt;&gt;""),1,0)</f>
        <v/>
      </c>
      <c r="I5">
        <f>IF(OR(INDEX('設定'!$D$11:$D$16,I2)&lt;&gt;"",INDEX('設定'!$H$11:$H$34,I3)&lt;&gt;""),1,0)</f>
        <v/>
      </c>
      <c r="J5">
        <f>IF(OR(INDEX('設定'!$D$11:$D$16,J2)&lt;&gt;"",INDEX('設定'!$H$11:$H$34,J3)&lt;&gt;""),1,0)</f>
        <v/>
      </c>
      <c r="K5">
        <f>IF(OR(INDEX('設定'!$D$11:$D$16,K2)&lt;&gt;"",INDEX('設定'!$H$11:$H$34,K3)&lt;&gt;""),1,0)</f>
        <v/>
      </c>
      <c r="L5">
        <f>IF(OR(INDEX('設定'!$D$11:$D$16,L2)&lt;&gt;"",INDEX('設定'!$H$11:$H$34,L3)&lt;&gt;""),1,0)</f>
        <v/>
      </c>
      <c r="M5">
        <f>IF(OR(INDEX('設定'!$D$11:$D$16,M2)&lt;&gt;"",INDEX('設定'!$H$11:$H$34,M3)&lt;&gt;""),1,0)</f>
        <v/>
      </c>
      <c r="N5">
        <f>IF(OR(INDEX('設定'!$D$11:$D$16,N2)&lt;&gt;"",INDEX('設定'!$H$11:$H$34,N3)&lt;&gt;""),1,0)</f>
        <v/>
      </c>
      <c r="O5">
        <f>IF(OR(INDEX('設定'!$D$11:$D$16,O2)&lt;&gt;"",INDEX('設定'!$H$11:$H$34,O3)&lt;&gt;""),1,0)</f>
        <v/>
      </c>
      <c r="P5">
        <f>IF(OR(INDEX('設定'!$D$11:$D$16,P2)&lt;&gt;"",INDEX('設定'!$H$11:$H$34,P3)&lt;&gt;""),1,0)</f>
        <v/>
      </c>
      <c r="Q5">
        <f>IF(OR(INDEX('設定'!$D$11:$D$16,Q2)&lt;&gt;"",INDEX('設定'!$H$11:$H$34,Q3)&lt;&gt;""),1,0)</f>
        <v/>
      </c>
      <c r="R5">
        <f>IF(OR(INDEX('設定'!$D$11:$D$16,R2)&lt;&gt;"",INDEX('設定'!$H$11:$H$34,R3)&lt;&gt;""),1,0)</f>
        <v/>
      </c>
      <c r="S5">
        <f>IF(OR(INDEX('設定'!$D$11:$D$16,S2)&lt;&gt;"",INDEX('設定'!$H$11:$H$34,S3)&lt;&gt;""),1,0)</f>
        <v/>
      </c>
      <c r="T5">
        <f>IF(OR(INDEX('設定'!$D$11:$D$16,T2)&lt;&gt;"",INDEX('設定'!$H$11:$H$34,T3)&lt;&gt;""),1,0)</f>
        <v/>
      </c>
      <c r="U5">
        <f>IF(OR(INDEX('設定'!$D$11:$D$16,U2)&lt;&gt;"",INDEX('設定'!$H$11:$H$34,U3)&lt;&gt;""),1,0)</f>
        <v/>
      </c>
      <c r="V5">
        <f>IF(OR(INDEX('設定'!$D$11:$D$16,V2)&lt;&gt;"",INDEX('設定'!$H$11:$H$34,V3)&lt;&gt;""),1,0)</f>
        <v/>
      </c>
      <c r="W5">
        <f>IF(OR(INDEX('設定'!$D$11:$D$16,W2)&lt;&gt;"",INDEX('設定'!$H$11:$H$34,W3)&lt;&gt;""),1,0)</f>
        <v/>
      </c>
      <c r="X5">
        <f>IF(OR(INDEX('設定'!$D$11:$D$16,X2)&lt;&gt;"",INDEX('設定'!$H$11:$H$34,X3)&lt;&gt;""),1,0)</f>
        <v/>
      </c>
      <c r="Y5">
        <f>IF(OR(INDEX('設定'!$D$11:$D$16,Y2)&lt;&gt;"",INDEX('設定'!$H$11:$H$34,Y3)&lt;&gt;""),1,0)</f>
        <v/>
      </c>
      <c r="Z5">
        <f>IF(OR(INDEX('設定'!$D$11:$D$16,Z2)&lt;&gt;"",INDEX('設定'!$H$11:$H$34,Z3)&lt;&gt;""),1,0)</f>
        <v/>
      </c>
      <c r="AA5">
        <f>IF(OR(INDEX('設定'!$D$11:$D$16,AA2)&lt;&gt;"",INDEX('設定'!$H$11:$H$34,AA3)&lt;&gt;""),1,0)</f>
        <v/>
      </c>
      <c r="AB5">
        <f>IF(OR(INDEX('設定'!$D$11:$D$16,AB2)&lt;&gt;"",INDEX('設定'!$H$11:$H$34,AB3)&lt;&gt;""),1,0)</f>
        <v/>
      </c>
      <c r="AC5">
        <f>IF(OR(INDEX('設定'!$D$11:$D$16,AC2)&lt;&gt;"",INDEX('設定'!$H$11:$H$34,AC3)&lt;&gt;""),1,0)</f>
        <v/>
      </c>
      <c r="AD5">
        <f>IF(OR(INDEX('設定'!$D$11:$D$16,AD2)&lt;&gt;"",INDEX('設定'!$H$11:$H$34,AD3)&lt;&gt;""),1,0)</f>
        <v/>
      </c>
      <c r="AE5">
        <f>IF(OR(INDEX('設定'!$D$11:$D$16,AE2)&lt;&gt;"",INDEX('設定'!$H$11:$H$34,AE3)&lt;&gt;""),1,0)</f>
        <v/>
      </c>
      <c r="AF5">
        <f>IF(OR(INDEX('設定'!$D$11:$D$16,AF2)&lt;&gt;"",INDEX('設定'!$H$11:$H$34,AF3)&lt;&gt;""),1,0)</f>
        <v/>
      </c>
      <c r="AG5">
        <f>IF(OR(INDEX('設定'!$D$11:$D$16,AG2)&lt;&gt;"",INDEX('設定'!$H$11:$H$34,AG3)&lt;&gt;""),1,0)</f>
        <v/>
      </c>
      <c r="AH5">
        <f>IF(OR(INDEX('設定'!$D$11:$D$16,AH2)&lt;&gt;"",INDEX('設定'!$H$11:$H$34,AH3)&lt;&gt;""),1,0)</f>
        <v/>
      </c>
      <c r="AI5">
        <f>IF(OR(INDEX('設定'!$D$11:$D$16,AI2)&lt;&gt;"",INDEX('設定'!$H$11:$H$34,AI3)&lt;&gt;""),1,0)</f>
        <v/>
      </c>
      <c r="AJ5">
        <f>IF(OR(INDEX('設定'!$D$11:$D$16,AJ2)&lt;&gt;"",INDEX('設定'!$H$11:$H$34,AJ3)&lt;&gt;""),1,0)</f>
        <v/>
      </c>
      <c r="AK5">
        <f>IF(OR(INDEX('設定'!$D$11:$D$16,AK2)&lt;&gt;"",INDEX('設定'!$H$11:$H$34,AK3)&lt;&gt;""),1,0)</f>
        <v/>
      </c>
      <c r="AL5">
        <f>IF(OR(INDEX('設定'!$D$11:$D$16,AL2)&lt;&gt;"",INDEX('設定'!$H$11:$H$34,AL3)&lt;&gt;""),1,0)</f>
        <v/>
      </c>
      <c r="AM5">
        <f>IF(OR(INDEX('設定'!$D$11:$D$16,AM2)&lt;&gt;"",INDEX('設定'!$H$11:$H$34,AM3)&lt;&gt;""),1,0)</f>
        <v/>
      </c>
      <c r="AN5">
        <f>IF(OR(INDEX('設定'!$D$11:$D$16,AN2)&lt;&gt;"",INDEX('設定'!$H$11:$H$34,AN3)&lt;&gt;""),1,0)</f>
        <v/>
      </c>
      <c r="AO5">
        <f>IF(OR(INDEX('設定'!$D$11:$D$16,AO2)&lt;&gt;"",INDEX('設定'!$H$11:$H$34,AO3)&lt;&gt;""),1,0)</f>
        <v/>
      </c>
      <c r="AP5">
        <f>IF(OR(INDEX('設定'!$D$11:$D$16,AP2)&lt;&gt;"",INDEX('設定'!$H$11:$H$34,AP3)&lt;&gt;""),1,0)</f>
        <v/>
      </c>
      <c r="AQ5">
        <f>IF(OR(INDEX('設定'!$D$11:$D$16,AQ2)&lt;&gt;"",INDEX('設定'!$H$11:$H$34,AQ3)&lt;&gt;""),1,0)</f>
        <v/>
      </c>
      <c r="AR5">
        <f>IF(OR(INDEX('設定'!$D$11:$D$16,AR2)&lt;&gt;"",INDEX('設定'!$H$11:$H$34,AR3)&lt;&gt;""),1,0)</f>
        <v/>
      </c>
      <c r="AS5">
        <f>IF(OR(INDEX('設定'!$D$11:$D$16,AS2)&lt;&gt;"",INDEX('設定'!$H$11:$H$34,AS3)&lt;&gt;""),1,0)</f>
        <v/>
      </c>
      <c r="AT5">
        <f>IF(OR(INDEX('設定'!$D$11:$D$16,AT2)&lt;&gt;"",INDEX('設定'!$H$11:$H$34,AT3)&lt;&gt;""),1,0)</f>
        <v/>
      </c>
      <c r="AU5">
        <f>IF(OR(INDEX('設定'!$D$11:$D$16,AU2)&lt;&gt;"",INDEX('設定'!$H$11:$H$34,AU3)&lt;&gt;""),1,0)</f>
        <v/>
      </c>
      <c r="AV5">
        <f>IF(OR(INDEX('設定'!$D$11:$D$16,AV2)&lt;&gt;"",INDEX('設定'!$H$11:$H$34,AV3)&lt;&gt;""),1,0)</f>
        <v/>
      </c>
      <c r="AW5">
        <f>IF(OR(INDEX('設定'!$D$11:$D$16,AW2)&lt;&gt;"",INDEX('設定'!$H$11:$H$34,AW3)&lt;&gt;""),1,0)</f>
        <v/>
      </c>
      <c r="AX5">
        <f>IF(OR(INDEX('設定'!$D$11:$D$16,AX2)&lt;&gt;"",INDEX('設定'!$H$11:$H$34,AX3)&lt;&gt;""),1,0)</f>
        <v/>
      </c>
      <c r="AY5">
        <f>IF(OR(INDEX('設定'!$D$11:$D$16,AY2)&lt;&gt;"",INDEX('設定'!$H$11:$H$34,AY3)&lt;&gt;""),1,0)</f>
        <v/>
      </c>
      <c r="AZ5">
        <f>IF(OR(INDEX('設定'!$D$11:$D$16,AZ2)&lt;&gt;"",INDEX('設定'!$H$11:$H$34,AZ3)&lt;&gt;""),1,0)</f>
        <v/>
      </c>
      <c r="BA5">
        <f>IF(OR(INDEX('設定'!$D$11:$D$16,BA2)&lt;&gt;"",INDEX('設定'!$H$11:$H$34,BA3)&lt;&gt;""),1,0)</f>
        <v/>
      </c>
      <c r="BB5">
        <f>IF(OR(INDEX('設定'!$D$11:$D$16,BB2)&lt;&gt;"",INDEX('設定'!$H$11:$H$34,BB3)&lt;&gt;""),1,0)</f>
        <v/>
      </c>
      <c r="BC5">
        <f>IF(OR(INDEX('設定'!$D$11:$D$16,BC2)&lt;&gt;"",INDEX('設定'!$H$11:$H$34,BC3)&lt;&gt;""),1,0)</f>
        <v/>
      </c>
      <c r="BD5">
        <f>IF(OR(INDEX('設定'!$D$11:$D$16,BD2)&lt;&gt;"",INDEX('設定'!$H$11:$H$34,BD3)&lt;&gt;""),1,0)</f>
        <v/>
      </c>
      <c r="BE5">
        <f>IF(OR(INDEX('設定'!$D$11:$D$16,BE2)&lt;&gt;"",INDEX('設定'!$H$11:$H$34,BE3)&lt;&gt;""),1,0)</f>
        <v/>
      </c>
      <c r="BF5">
        <f>IF(OR(INDEX('設定'!$D$11:$D$16,BF2)&lt;&gt;"",INDEX('設定'!$H$11:$H$34,BF3)&lt;&gt;""),1,0)</f>
        <v/>
      </c>
      <c r="BG5">
        <f>IF(OR(INDEX('設定'!$D$11:$D$16,BG2)&lt;&gt;"",INDEX('設定'!$H$11:$H$34,BG3)&lt;&gt;""),1,0)</f>
        <v/>
      </c>
      <c r="BH5">
        <f>IF(OR(INDEX('設定'!$D$11:$D$16,BH2)&lt;&gt;"",INDEX('設定'!$H$11:$H$34,BH3)&lt;&gt;""),1,0)</f>
        <v/>
      </c>
      <c r="BI5">
        <f>IF(OR(INDEX('設定'!$D$11:$D$16,BI2)&lt;&gt;"",INDEX('設定'!$H$11:$H$34,BI3)&lt;&gt;""),1,0)</f>
        <v/>
      </c>
      <c r="BJ5">
        <f>IF(OR(INDEX('設定'!$D$11:$D$16,BJ2)&lt;&gt;"",INDEX('設定'!$H$11:$H$34,BJ3)&lt;&gt;""),1,0)</f>
        <v/>
      </c>
      <c r="BK5">
        <f>IF(OR(INDEX('設定'!$D$11:$D$16,BK2)&lt;&gt;"",INDEX('設定'!$H$11:$H$34,BK3)&lt;&gt;""),1,0)</f>
        <v/>
      </c>
      <c r="BL5">
        <f>IF(OR(INDEX('設定'!$D$11:$D$16,BL2)&lt;&gt;"",INDEX('設定'!$H$11:$H$34,BL3)&lt;&gt;""),1,0)</f>
        <v/>
      </c>
      <c r="BM5">
        <f>IF(OR(INDEX('設定'!$D$11:$D$16,BM2)&lt;&gt;"",INDEX('設定'!$H$11:$H$34,BM3)&lt;&gt;""),1,0)</f>
        <v/>
      </c>
      <c r="BN5">
        <f>IF(OR(INDEX('設定'!$D$11:$D$16,BN2)&lt;&gt;"",INDEX('設定'!$H$11:$H$34,BN3)&lt;&gt;""),1,0)</f>
        <v/>
      </c>
      <c r="BO5">
        <f>IF(OR(INDEX('設定'!$D$11:$D$16,BO2)&lt;&gt;"",INDEX('設定'!$H$11:$H$34,BO3)&lt;&gt;""),1,0)</f>
        <v/>
      </c>
      <c r="BP5">
        <f>IF(OR(INDEX('設定'!$D$11:$D$16,BP2)&lt;&gt;"",INDEX('設定'!$H$11:$H$34,BP3)&lt;&gt;""),1,0)</f>
        <v/>
      </c>
      <c r="BQ5">
        <f>IF(OR(INDEX('設定'!$D$11:$D$16,BQ2)&lt;&gt;"",INDEX('設定'!$H$11:$H$34,BQ3)&lt;&gt;""),1,0)</f>
        <v/>
      </c>
      <c r="BR5">
        <f>IF(OR(INDEX('設定'!$D$11:$D$16,BR2)&lt;&gt;"",INDEX('設定'!$H$11:$H$34,BR3)&lt;&gt;""),1,0)</f>
        <v/>
      </c>
      <c r="BS5">
        <f>IF(OR(INDEX('設定'!$D$11:$D$16,BS2)&lt;&gt;"",INDEX('設定'!$H$11:$H$34,BS3)&lt;&gt;""),1,0)</f>
        <v/>
      </c>
      <c r="BT5">
        <f>IF(OR(INDEX('設定'!$D$11:$D$16,BT2)&lt;&gt;"",INDEX('設定'!$H$11:$H$34,BT3)&lt;&gt;""),1,0)</f>
        <v/>
      </c>
      <c r="BU5">
        <f>IF(OR(INDEX('設定'!$D$11:$D$16,BU2)&lt;&gt;"",INDEX('設定'!$H$11:$H$34,BU3)&lt;&gt;""),1,0)</f>
        <v/>
      </c>
      <c r="BV5">
        <f>IF(OR(INDEX('設定'!$D$11:$D$16,BV2)&lt;&gt;"",INDEX('設定'!$H$11:$H$34,BV3)&lt;&gt;""),1,0)</f>
        <v/>
      </c>
      <c r="BW5">
        <f>IF(OR(INDEX('設定'!$D$11:$D$16,BW2)&lt;&gt;"",INDEX('設定'!$H$11:$H$34,BW3)&lt;&gt;""),1,0)</f>
        <v/>
      </c>
      <c r="BX5">
        <f>IF(OR(INDEX('設定'!$D$11:$D$16,BX2)&lt;&gt;"",INDEX('設定'!$H$11:$H$34,BX3)&lt;&gt;""),1,0)</f>
        <v/>
      </c>
      <c r="BY5">
        <f>IF(OR(INDEX('設定'!$D$11:$D$16,BY2)&lt;&gt;"",INDEX('設定'!$H$11:$H$34,BY3)&lt;&gt;""),1,0)</f>
        <v/>
      </c>
      <c r="BZ5">
        <f>IF(OR(INDEX('設定'!$D$11:$D$16,BZ2)&lt;&gt;"",INDEX('設定'!$H$11:$H$34,BZ3)&lt;&gt;""),1,0)</f>
        <v/>
      </c>
      <c r="CA5">
        <f>IF(OR(INDEX('設定'!$D$11:$D$16,CA2)&lt;&gt;"",INDEX('設定'!$H$11:$H$34,CA3)&lt;&gt;""),1,0)</f>
        <v/>
      </c>
      <c r="CB5">
        <f>IF(OR(INDEX('設定'!$D$11:$D$16,CB2)&lt;&gt;"",INDEX('設定'!$H$11:$H$34,CB3)&lt;&gt;""),1,0)</f>
        <v/>
      </c>
      <c r="CC5">
        <f>IF(OR(INDEX('設定'!$D$11:$D$16,CC2)&lt;&gt;"",INDEX('設定'!$H$11:$H$34,CC3)&lt;&gt;""),1,0)</f>
        <v/>
      </c>
      <c r="CD5">
        <f>IF(OR(INDEX('設定'!$D$11:$D$16,CD2)&lt;&gt;"",INDEX('設定'!$H$11:$H$34,CD3)&lt;&gt;""),1,0)</f>
        <v/>
      </c>
      <c r="CE5">
        <f>IF(OR(INDEX('設定'!$D$11:$D$16,CE2)&lt;&gt;"",INDEX('設定'!$H$11:$H$34,CE3)&lt;&gt;""),1,0)</f>
        <v/>
      </c>
      <c r="CF5">
        <f>IF(OR(INDEX('設定'!$D$11:$D$16,CF2)&lt;&gt;"",INDEX('設定'!$H$11:$H$34,CF3)&lt;&gt;""),1,0)</f>
        <v/>
      </c>
      <c r="CG5">
        <f>IF(OR(INDEX('設定'!$D$11:$D$16,CG2)&lt;&gt;"",INDEX('設定'!$H$11:$H$34,CG3)&lt;&gt;""),1,0)</f>
        <v/>
      </c>
      <c r="CH5">
        <f>IF(OR(INDEX('設定'!$D$11:$D$16,CH2)&lt;&gt;"",INDEX('設定'!$H$11:$H$34,CH3)&lt;&gt;""),1,0)</f>
        <v/>
      </c>
      <c r="CI5">
        <f>IF(OR(INDEX('設定'!$D$11:$D$16,CI2)&lt;&gt;"",INDEX('設定'!$H$11:$H$34,CI3)&lt;&gt;""),1,0)</f>
        <v/>
      </c>
      <c r="CJ5">
        <f>IF(OR(INDEX('設定'!$D$11:$D$16,CJ2)&lt;&gt;"",INDEX('設定'!$H$11:$H$34,CJ3)&lt;&gt;""),1,0)</f>
        <v/>
      </c>
      <c r="CK5">
        <f>IF(OR(INDEX('設定'!$D$11:$D$16,CK2)&lt;&gt;"",INDEX('設定'!$H$11:$H$34,CK3)&lt;&gt;""),1,0)</f>
        <v/>
      </c>
      <c r="CL5">
        <f>IF(OR(INDEX('設定'!$D$11:$D$16,CL2)&lt;&gt;"",INDEX('設定'!$H$11:$H$34,CL3)&lt;&gt;""),1,0)</f>
        <v/>
      </c>
      <c r="CM5">
        <f>IF(OR(INDEX('設定'!$D$11:$D$16,CM2)&lt;&gt;"",INDEX('設定'!$H$11:$H$34,CM3)&lt;&gt;""),1,0)</f>
        <v/>
      </c>
      <c r="CN5">
        <f>IF(OR(INDEX('設定'!$D$11:$D$16,CN2)&lt;&gt;"",INDEX('設定'!$H$11:$H$34,CN3)&lt;&gt;""),1,0)</f>
        <v/>
      </c>
      <c r="CO5">
        <f>IF(OR(INDEX('設定'!$D$11:$D$16,CO2)&lt;&gt;"",INDEX('設定'!$H$11:$H$34,CO3)&lt;&gt;""),1,0)</f>
        <v/>
      </c>
      <c r="CP5">
        <f>IF(OR(INDEX('設定'!$D$11:$D$16,CP2)&lt;&gt;"",INDEX('設定'!$H$11:$H$34,CP3)&lt;&gt;""),1,0)</f>
        <v/>
      </c>
      <c r="CQ5">
        <f>IF(OR(INDEX('設定'!$D$11:$D$16,CQ2)&lt;&gt;"",INDEX('設定'!$H$11:$H$34,CQ3)&lt;&gt;""),1,0)</f>
        <v/>
      </c>
      <c r="CR5">
        <f>IF(OR(INDEX('設定'!$D$11:$D$16,CR2)&lt;&gt;"",INDEX('設定'!$H$11:$H$34,CR3)&lt;&gt;""),1,0)</f>
        <v/>
      </c>
      <c r="CS5">
        <f>IF(OR(INDEX('設定'!$D$11:$D$16,CS2)&lt;&gt;"",INDEX('設定'!$H$11:$H$34,CS3)&lt;&gt;""),1,0)</f>
        <v/>
      </c>
      <c r="CT5">
        <f>IF(OR(INDEX('設定'!$D$11:$D$16,CT2)&lt;&gt;"",INDEX('設定'!$H$11:$H$34,CT3)&lt;&gt;""),1,0)</f>
        <v/>
      </c>
      <c r="CU5">
        <f>IF(OR(INDEX('設定'!$D$11:$D$16,CU2)&lt;&gt;"",INDEX('設定'!$H$11:$H$34,CU3)&lt;&gt;""),1,0)</f>
        <v/>
      </c>
      <c r="CV5">
        <f>IF(OR(INDEX('設定'!$D$11:$D$16,CV2)&lt;&gt;"",INDEX('設定'!$H$11:$H$34,CV3)&lt;&gt;""),1,0)</f>
        <v/>
      </c>
      <c r="CW5">
        <f>IF(OR(INDEX('設定'!$D$11:$D$16,CW2)&lt;&gt;"",INDEX('設定'!$H$11:$H$34,CW3)&lt;&gt;""),1,0)</f>
        <v/>
      </c>
      <c r="CX5">
        <f>IF(OR(INDEX('設定'!$D$11:$D$16,CX2)&lt;&gt;"",INDEX('設定'!$H$11:$H$34,CX3)&lt;&gt;""),1,0)</f>
        <v/>
      </c>
      <c r="CY5">
        <f>IF(OR(INDEX('設定'!$D$11:$D$16,CY2)&lt;&gt;"",INDEX('設定'!$H$11:$H$34,CY3)&lt;&gt;""),1,0)</f>
        <v/>
      </c>
      <c r="CZ5">
        <f>IF(OR(INDEX('設定'!$D$11:$D$16,CZ2)&lt;&gt;"",INDEX('設定'!$H$11:$H$34,CZ3)&lt;&gt;""),1,0)</f>
        <v/>
      </c>
      <c r="DA5">
        <f>IF(OR(INDEX('設定'!$D$11:$D$16,DA2)&lt;&gt;"",INDEX('設定'!$H$11:$H$34,DA3)&lt;&gt;""),1,0)</f>
        <v/>
      </c>
      <c r="DB5">
        <f>IF(OR(INDEX('設定'!$D$11:$D$16,DB2)&lt;&gt;"",INDEX('設定'!$H$11:$H$34,DB3)&lt;&gt;""),1,0)</f>
        <v/>
      </c>
      <c r="DC5">
        <f>IF(OR(INDEX('設定'!$D$11:$D$16,DC2)&lt;&gt;"",INDEX('設定'!$H$11:$H$34,DC3)&lt;&gt;""),1,0)</f>
        <v/>
      </c>
      <c r="DD5">
        <f>IF(OR(INDEX('設定'!$D$11:$D$16,DD2)&lt;&gt;"",INDEX('設定'!$H$11:$H$34,DD3)&lt;&gt;""),1,0)</f>
        <v/>
      </c>
      <c r="DE5">
        <f>IF(OR(INDEX('設定'!$D$11:$D$16,DE2)&lt;&gt;"",INDEX('設定'!$H$11:$H$34,DE3)&lt;&gt;""),1,0)</f>
        <v/>
      </c>
      <c r="DF5">
        <f>IF(OR(INDEX('設定'!$D$11:$D$16,DF2)&lt;&gt;"",INDEX('設定'!$H$11:$H$34,DF3)&lt;&gt;""),1,0)</f>
        <v/>
      </c>
      <c r="DG5">
        <f>IF(OR(INDEX('設定'!$D$11:$D$16,DG2)&lt;&gt;"",INDEX('設定'!$H$11:$H$34,DG3)&lt;&gt;""),1,0)</f>
        <v/>
      </c>
      <c r="DH5">
        <f>IF(OR(INDEX('設定'!$D$11:$D$16,DH2)&lt;&gt;"",INDEX('設定'!$H$11:$H$34,DH3)&lt;&gt;""),1,0)</f>
        <v/>
      </c>
      <c r="DI5">
        <f>IF(OR(INDEX('設定'!$D$11:$D$16,DI2)&lt;&gt;"",INDEX('設定'!$H$11:$H$34,DI3)&lt;&gt;""),1,0)</f>
        <v/>
      </c>
      <c r="DJ5">
        <f>IF(OR(INDEX('設定'!$D$11:$D$16,DJ2)&lt;&gt;"",INDEX('設定'!$H$11:$H$34,DJ3)&lt;&gt;""),1,0)</f>
        <v/>
      </c>
      <c r="DK5">
        <f>IF(OR(INDEX('設定'!$D$11:$D$16,DK2)&lt;&gt;"",INDEX('設定'!$H$11:$H$34,DK3)&lt;&gt;""),1,0)</f>
        <v/>
      </c>
      <c r="DL5">
        <f>IF(OR(INDEX('設定'!$D$11:$D$16,DL2)&lt;&gt;"",INDEX('設定'!$H$11:$H$34,DL3)&lt;&gt;""),1,0)</f>
        <v/>
      </c>
      <c r="DM5">
        <f>IF(OR(INDEX('設定'!$D$11:$D$16,DM2)&lt;&gt;"",INDEX('設定'!$H$11:$H$34,DM3)&lt;&gt;""),1,0)</f>
        <v/>
      </c>
      <c r="DN5">
        <f>IF(OR(INDEX('設定'!$D$11:$D$16,DN2)&lt;&gt;"",INDEX('設定'!$H$11:$H$34,DN3)&lt;&gt;""),1,0)</f>
        <v/>
      </c>
      <c r="DO5">
        <f>IF(OR(INDEX('設定'!$D$11:$D$16,DO2)&lt;&gt;"",INDEX('設定'!$H$11:$H$34,DO3)&lt;&gt;""),1,0)</f>
        <v/>
      </c>
      <c r="DP5">
        <f>IF(OR(INDEX('設定'!$D$11:$D$16,DP2)&lt;&gt;"",INDEX('設定'!$H$11:$H$34,DP3)&lt;&gt;""),1,0)</f>
        <v/>
      </c>
      <c r="DQ5">
        <f>IF(OR(INDEX('設定'!$D$11:$D$16,DQ2)&lt;&gt;"",INDEX('設定'!$H$11:$H$34,DQ3)&lt;&gt;""),1,0)</f>
        <v/>
      </c>
      <c r="DR5">
        <f>IF(OR(INDEX('設定'!$D$11:$D$16,DR2)&lt;&gt;"",INDEX('設定'!$H$11:$H$34,DR3)&lt;&gt;""),1,0)</f>
        <v/>
      </c>
      <c r="DS5">
        <f>IF(OR(INDEX('設定'!$D$11:$D$16,DS2)&lt;&gt;"",INDEX('設定'!$H$11:$H$34,DS3)&lt;&gt;""),1,0)</f>
        <v/>
      </c>
      <c r="DT5">
        <f>IF(OR(INDEX('設定'!$D$11:$D$16,DT2)&lt;&gt;"",INDEX('設定'!$H$11:$H$34,DT3)&lt;&gt;""),1,0)</f>
        <v/>
      </c>
      <c r="DU5">
        <f>IF(OR(INDEX('設定'!$D$11:$D$16,DU2)&lt;&gt;"",INDEX('設定'!$H$11:$H$34,DU3)&lt;&gt;""),1,0)</f>
        <v/>
      </c>
      <c r="DV5">
        <f>IF(OR(INDEX('設定'!$D$11:$D$16,DV2)&lt;&gt;"",INDEX('設定'!$H$11:$H$34,DV3)&lt;&gt;""),1,0)</f>
        <v/>
      </c>
      <c r="DW5">
        <f>IF(OR(INDEX('設定'!$D$11:$D$16,DW2)&lt;&gt;"",INDEX('設定'!$H$11:$H$34,DW3)&lt;&gt;""),1,0)</f>
        <v/>
      </c>
      <c r="DX5">
        <f>IF(OR(INDEX('設定'!$D$11:$D$16,DX2)&lt;&gt;"",INDEX('設定'!$H$11:$H$34,DX3)&lt;&gt;""),1,0)</f>
        <v/>
      </c>
      <c r="DY5">
        <f>IF(OR(INDEX('設定'!$D$11:$D$16,DY2)&lt;&gt;"",INDEX('設定'!$H$11:$H$34,DY3)&lt;&gt;""),1,0)</f>
        <v/>
      </c>
      <c r="DZ5">
        <f>IF(OR(INDEX('設定'!$D$11:$D$16,DZ2)&lt;&gt;"",INDEX('設定'!$H$11:$H$34,DZ3)&lt;&gt;""),1,0)</f>
        <v/>
      </c>
      <c r="EA5">
        <f>IF(OR(INDEX('設定'!$D$11:$D$16,EA2)&lt;&gt;"",INDEX('設定'!$H$11:$H$34,EA3)&lt;&gt;""),1,0)</f>
        <v/>
      </c>
      <c r="EB5">
        <f>IF(OR(INDEX('設定'!$D$11:$D$16,EB2)&lt;&gt;"",INDEX('設定'!$H$11:$H$34,EB3)&lt;&gt;""),1,0)</f>
        <v/>
      </c>
      <c r="EC5">
        <f>IF(OR(INDEX('設定'!$D$11:$D$16,EC2)&lt;&gt;"",INDEX('設定'!$H$11:$H$34,EC3)&lt;&gt;""),1,0)</f>
        <v/>
      </c>
      <c r="ED5">
        <f>IF(OR(INDEX('設定'!$D$11:$D$16,ED2)&lt;&gt;"",INDEX('設定'!$H$11:$H$34,ED3)&lt;&gt;""),1,0)</f>
        <v/>
      </c>
      <c r="EE5">
        <f>IF(OR(INDEX('設定'!$D$11:$D$16,EE2)&lt;&gt;"",INDEX('設定'!$H$11:$H$34,EE3)&lt;&gt;""),1,0)</f>
        <v/>
      </c>
      <c r="EF5">
        <f>IF(OR(INDEX('設定'!$D$11:$D$16,EF2)&lt;&gt;"",INDEX('設定'!$H$11:$H$34,EF3)&lt;&gt;""),1,0)</f>
        <v/>
      </c>
      <c r="EG5">
        <f>IF(OR(INDEX('設定'!$D$11:$D$16,EG2)&lt;&gt;"",INDEX('設定'!$H$11:$H$34,EG3)&lt;&gt;""),1,0)</f>
        <v/>
      </c>
      <c r="EH5">
        <f>IF(OR(INDEX('設定'!$D$11:$D$16,EH2)&lt;&gt;"",INDEX('設定'!$H$11:$H$34,EH3)&lt;&gt;""),1,0)</f>
        <v/>
      </c>
      <c r="EI5">
        <f>IF(OR(INDEX('設定'!$D$11:$D$16,EI2)&lt;&gt;"",INDEX('設定'!$H$11:$H$34,EI3)&lt;&gt;""),1,0)</f>
        <v/>
      </c>
      <c r="EJ5">
        <f>IF(OR(INDEX('設定'!$D$11:$D$16,EJ2)&lt;&gt;"",INDEX('設定'!$H$11:$H$34,EJ3)&lt;&gt;""),1,0)</f>
        <v/>
      </c>
      <c r="EK5">
        <f>IF(OR(INDEX('設定'!$D$11:$D$16,EK2)&lt;&gt;"",INDEX('設定'!$H$11:$H$34,EK3)&lt;&gt;""),1,0)</f>
        <v/>
      </c>
      <c r="EL5">
        <f>IF(OR(INDEX('設定'!$D$11:$D$16,EL2)&lt;&gt;"",INDEX('設定'!$H$11:$H$34,EL3)&lt;&gt;""),1,0)</f>
        <v/>
      </c>
      <c r="EM5">
        <f>IF(OR(INDEX('設定'!$D$11:$D$16,EM2)&lt;&gt;"",INDEX('設定'!$H$11:$H$34,EM3)&lt;&gt;""),1,0)</f>
        <v/>
      </c>
      <c r="EN5">
        <f>IF(OR(INDEX('設定'!$D$11:$D$16,EN2)&lt;&gt;"",INDEX('設定'!$H$11:$H$34,EN3)&lt;&gt;""),1,0)</f>
        <v/>
      </c>
      <c r="EO5">
        <f>IF(OR(INDEX('設定'!$D$11:$D$16,EO2)&lt;&gt;"",INDEX('設定'!$H$11:$H$34,EO3)&lt;&gt;""),1,0)</f>
        <v/>
      </c>
      <c r="EP5">
        <f>IF(OR(INDEX('設定'!$D$11:$D$16,EP2)&lt;&gt;"",INDEX('設定'!$H$11:$H$34,EP3)&lt;&gt;""),1,0)</f>
        <v/>
      </c>
      <c r="EQ5">
        <f>IF(OR(INDEX('設定'!$D$11:$D$16,EQ2)&lt;&gt;"",INDEX('設定'!$H$11:$H$34,EQ3)&lt;&gt;""),1,0)</f>
        <v/>
      </c>
    </row>
    <row r="6">
      <c r="A6">
        <f>IF('calcB'!$B$1&lt;&gt;1,0,IF(ABS(A7-'calcB'!$C$1)&lt;0.5,1,2))</f>
        <v/>
      </c>
      <c r="B6" s="124" t="inlineStr">
        <is>
          <t>←自動案　0：まだ　1：作った　2：作ったあとに入力が変わった</t>
        </is>
      </c>
      <c r="C6" s="124" t="inlineStr">
        <is>
          <t>優先順</t>
        </is>
      </c>
      <c r="D6">
        <f>IF(LEFT('設定'!$B$8,3)="日付順",(D2-1)*24+D3,(D3-1)*6+D2)+D5*10000</f>
        <v/>
      </c>
      <c r="E6">
        <f>IF(LEFT('設定'!$B$8,3)="日付順",(E2-1)*24+E3,(E3-1)*6+E2)+E5*10000</f>
        <v/>
      </c>
      <c r="F6">
        <f>IF(LEFT('設定'!$B$8,3)="日付順",(F2-1)*24+F3,(F3-1)*6+F2)+F5*10000</f>
        <v/>
      </c>
      <c r="G6">
        <f>IF(LEFT('設定'!$B$8,3)="日付順",(G2-1)*24+G3,(G3-1)*6+G2)+G5*10000</f>
        <v/>
      </c>
      <c r="H6">
        <f>IF(LEFT('設定'!$B$8,3)="日付順",(H2-1)*24+H3,(H3-1)*6+H2)+H5*10000</f>
        <v/>
      </c>
      <c r="I6">
        <f>IF(LEFT('設定'!$B$8,3)="日付順",(I2-1)*24+I3,(I3-1)*6+I2)+I5*10000</f>
        <v/>
      </c>
      <c r="J6">
        <f>IF(LEFT('設定'!$B$8,3)="日付順",(J2-1)*24+J3,(J3-1)*6+J2)+J5*10000</f>
        <v/>
      </c>
      <c r="K6">
        <f>IF(LEFT('設定'!$B$8,3)="日付順",(K2-1)*24+K3,(K3-1)*6+K2)+K5*10000</f>
        <v/>
      </c>
      <c r="L6">
        <f>IF(LEFT('設定'!$B$8,3)="日付順",(L2-1)*24+L3,(L3-1)*6+L2)+L5*10000</f>
        <v/>
      </c>
      <c r="M6">
        <f>IF(LEFT('設定'!$B$8,3)="日付順",(M2-1)*24+M3,(M3-1)*6+M2)+M5*10000</f>
        <v/>
      </c>
      <c r="N6">
        <f>IF(LEFT('設定'!$B$8,3)="日付順",(N2-1)*24+N3,(N3-1)*6+N2)+N5*10000</f>
        <v/>
      </c>
      <c r="O6">
        <f>IF(LEFT('設定'!$B$8,3)="日付順",(O2-1)*24+O3,(O3-1)*6+O2)+O5*10000</f>
        <v/>
      </c>
      <c r="P6">
        <f>IF(LEFT('設定'!$B$8,3)="日付順",(P2-1)*24+P3,(P3-1)*6+P2)+P5*10000</f>
        <v/>
      </c>
      <c r="Q6">
        <f>IF(LEFT('設定'!$B$8,3)="日付順",(Q2-1)*24+Q3,(Q3-1)*6+Q2)+Q5*10000</f>
        <v/>
      </c>
      <c r="R6">
        <f>IF(LEFT('設定'!$B$8,3)="日付順",(R2-1)*24+R3,(R3-1)*6+R2)+R5*10000</f>
        <v/>
      </c>
      <c r="S6">
        <f>IF(LEFT('設定'!$B$8,3)="日付順",(S2-1)*24+S3,(S3-1)*6+S2)+S5*10000</f>
        <v/>
      </c>
      <c r="T6">
        <f>IF(LEFT('設定'!$B$8,3)="日付順",(T2-1)*24+T3,(T3-1)*6+T2)+T5*10000</f>
        <v/>
      </c>
      <c r="U6">
        <f>IF(LEFT('設定'!$B$8,3)="日付順",(U2-1)*24+U3,(U3-1)*6+U2)+U5*10000</f>
        <v/>
      </c>
      <c r="V6">
        <f>IF(LEFT('設定'!$B$8,3)="日付順",(V2-1)*24+V3,(V3-1)*6+V2)+V5*10000</f>
        <v/>
      </c>
      <c r="W6">
        <f>IF(LEFT('設定'!$B$8,3)="日付順",(W2-1)*24+W3,(W3-1)*6+W2)+W5*10000</f>
        <v/>
      </c>
      <c r="X6">
        <f>IF(LEFT('設定'!$B$8,3)="日付順",(X2-1)*24+X3,(X3-1)*6+X2)+X5*10000</f>
        <v/>
      </c>
      <c r="Y6">
        <f>IF(LEFT('設定'!$B$8,3)="日付順",(Y2-1)*24+Y3,(Y3-1)*6+Y2)+Y5*10000</f>
        <v/>
      </c>
      <c r="Z6">
        <f>IF(LEFT('設定'!$B$8,3)="日付順",(Z2-1)*24+Z3,(Z3-1)*6+Z2)+Z5*10000</f>
        <v/>
      </c>
      <c r="AA6">
        <f>IF(LEFT('設定'!$B$8,3)="日付順",(AA2-1)*24+AA3,(AA3-1)*6+AA2)+AA5*10000</f>
        <v/>
      </c>
      <c r="AB6">
        <f>IF(LEFT('設定'!$B$8,3)="日付順",(AB2-1)*24+AB3,(AB3-1)*6+AB2)+AB5*10000</f>
        <v/>
      </c>
      <c r="AC6">
        <f>IF(LEFT('設定'!$B$8,3)="日付順",(AC2-1)*24+AC3,(AC3-1)*6+AC2)+AC5*10000</f>
        <v/>
      </c>
      <c r="AD6">
        <f>IF(LEFT('設定'!$B$8,3)="日付順",(AD2-1)*24+AD3,(AD3-1)*6+AD2)+AD5*10000</f>
        <v/>
      </c>
      <c r="AE6">
        <f>IF(LEFT('設定'!$B$8,3)="日付順",(AE2-1)*24+AE3,(AE3-1)*6+AE2)+AE5*10000</f>
        <v/>
      </c>
      <c r="AF6">
        <f>IF(LEFT('設定'!$B$8,3)="日付順",(AF2-1)*24+AF3,(AF3-1)*6+AF2)+AF5*10000</f>
        <v/>
      </c>
      <c r="AG6">
        <f>IF(LEFT('設定'!$B$8,3)="日付順",(AG2-1)*24+AG3,(AG3-1)*6+AG2)+AG5*10000</f>
        <v/>
      </c>
      <c r="AH6">
        <f>IF(LEFT('設定'!$B$8,3)="日付順",(AH2-1)*24+AH3,(AH3-1)*6+AH2)+AH5*10000</f>
        <v/>
      </c>
      <c r="AI6">
        <f>IF(LEFT('設定'!$B$8,3)="日付順",(AI2-1)*24+AI3,(AI3-1)*6+AI2)+AI5*10000</f>
        <v/>
      </c>
      <c r="AJ6">
        <f>IF(LEFT('設定'!$B$8,3)="日付順",(AJ2-1)*24+AJ3,(AJ3-1)*6+AJ2)+AJ5*10000</f>
        <v/>
      </c>
      <c r="AK6">
        <f>IF(LEFT('設定'!$B$8,3)="日付順",(AK2-1)*24+AK3,(AK3-1)*6+AK2)+AK5*10000</f>
        <v/>
      </c>
      <c r="AL6">
        <f>IF(LEFT('設定'!$B$8,3)="日付順",(AL2-1)*24+AL3,(AL3-1)*6+AL2)+AL5*10000</f>
        <v/>
      </c>
      <c r="AM6">
        <f>IF(LEFT('設定'!$B$8,3)="日付順",(AM2-1)*24+AM3,(AM3-1)*6+AM2)+AM5*10000</f>
        <v/>
      </c>
      <c r="AN6">
        <f>IF(LEFT('設定'!$B$8,3)="日付順",(AN2-1)*24+AN3,(AN3-1)*6+AN2)+AN5*10000</f>
        <v/>
      </c>
      <c r="AO6">
        <f>IF(LEFT('設定'!$B$8,3)="日付順",(AO2-1)*24+AO3,(AO3-1)*6+AO2)+AO5*10000</f>
        <v/>
      </c>
      <c r="AP6">
        <f>IF(LEFT('設定'!$B$8,3)="日付順",(AP2-1)*24+AP3,(AP3-1)*6+AP2)+AP5*10000</f>
        <v/>
      </c>
      <c r="AQ6">
        <f>IF(LEFT('設定'!$B$8,3)="日付順",(AQ2-1)*24+AQ3,(AQ3-1)*6+AQ2)+AQ5*10000</f>
        <v/>
      </c>
      <c r="AR6">
        <f>IF(LEFT('設定'!$B$8,3)="日付順",(AR2-1)*24+AR3,(AR3-1)*6+AR2)+AR5*10000</f>
        <v/>
      </c>
      <c r="AS6">
        <f>IF(LEFT('設定'!$B$8,3)="日付順",(AS2-1)*24+AS3,(AS3-1)*6+AS2)+AS5*10000</f>
        <v/>
      </c>
      <c r="AT6">
        <f>IF(LEFT('設定'!$B$8,3)="日付順",(AT2-1)*24+AT3,(AT3-1)*6+AT2)+AT5*10000</f>
        <v/>
      </c>
      <c r="AU6">
        <f>IF(LEFT('設定'!$B$8,3)="日付順",(AU2-1)*24+AU3,(AU3-1)*6+AU2)+AU5*10000</f>
        <v/>
      </c>
      <c r="AV6">
        <f>IF(LEFT('設定'!$B$8,3)="日付順",(AV2-1)*24+AV3,(AV3-1)*6+AV2)+AV5*10000</f>
        <v/>
      </c>
      <c r="AW6">
        <f>IF(LEFT('設定'!$B$8,3)="日付順",(AW2-1)*24+AW3,(AW3-1)*6+AW2)+AW5*10000</f>
        <v/>
      </c>
      <c r="AX6">
        <f>IF(LEFT('設定'!$B$8,3)="日付順",(AX2-1)*24+AX3,(AX3-1)*6+AX2)+AX5*10000</f>
        <v/>
      </c>
      <c r="AY6">
        <f>IF(LEFT('設定'!$B$8,3)="日付順",(AY2-1)*24+AY3,(AY3-1)*6+AY2)+AY5*10000</f>
        <v/>
      </c>
      <c r="AZ6">
        <f>IF(LEFT('設定'!$B$8,3)="日付順",(AZ2-1)*24+AZ3,(AZ3-1)*6+AZ2)+AZ5*10000</f>
        <v/>
      </c>
      <c r="BA6">
        <f>IF(LEFT('設定'!$B$8,3)="日付順",(BA2-1)*24+BA3,(BA3-1)*6+BA2)+BA5*10000</f>
        <v/>
      </c>
      <c r="BB6">
        <f>IF(LEFT('設定'!$B$8,3)="日付順",(BB2-1)*24+BB3,(BB3-1)*6+BB2)+BB5*10000</f>
        <v/>
      </c>
      <c r="BC6">
        <f>IF(LEFT('設定'!$B$8,3)="日付順",(BC2-1)*24+BC3,(BC3-1)*6+BC2)+BC5*10000</f>
        <v/>
      </c>
      <c r="BD6">
        <f>IF(LEFT('設定'!$B$8,3)="日付順",(BD2-1)*24+BD3,(BD3-1)*6+BD2)+BD5*10000</f>
        <v/>
      </c>
      <c r="BE6">
        <f>IF(LEFT('設定'!$B$8,3)="日付順",(BE2-1)*24+BE3,(BE3-1)*6+BE2)+BE5*10000</f>
        <v/>
      </c>
      <c r="BF6">
        <f>IF(LEFT('設定'!$B$8,3)="日付順",(BF2-1)*24+BF3,(BF3-1)*6+BF2)+BF5*10000</f>
        <v/>
      </c>
      <c r="BG6">
        <f>IF(LEFT('設定'!$B$8,3)="日付順",(BG2-1)*24+BG3,(BG3-1)*6+BG2)+BG5*10000</f>
        <v/>
      </c>
      <c r="BH6">
        <f>IF(LEFT('設定'!$B$8,3)="日付順",(BH2-1)*24+BH3,(BH3-1)*6+BH2)+BH5*10000</f>
        <v/>
      </c>
      <c r="BI6">
        <f>IF(LEFT('設定'!$B$8,3)="日付順",(BI2-1)*24+BI3,(BI3-1)*6+BI2)+BI5*10000</f>
        <v/>
      </c>
      <c r="BJ6">
        <f>IF(LEFT('設定'!$B$8,3)="日付順",(BJ2-1)*24+BJ3,(BJ3-1)*6+BJ2)+BJ5*10000</f>
        <v/>
      </c>
      <c r="BK6">
        <f>IF(LEFT('設定'!$B$8,3)="日付順",(BK2-1)*24+BK3,(BK3-1)*6+BK2)+BK5*10000</f>
        <v/>
      </c>
      <c r="BL6">
        <f>IF(LEFT('設定'!$B$8,3)="日付順",(BL2-1)*24+BL3,(BL3-1)*6+BL2)+BL5*10000</f>
        <v/>
      </c>
      <c r="BM6">
        <f>IF(LEFT('設定'!$B$8,3)="日付順",(BM2-1)*24+BM3,(BM3-1)*6+BM2)+BM5*10000</f>
        <v/>
      </c>
      <c r="BN6">
        <f>IF(LEFT('設定'!$B$8,3)="日付順",(BN2-1)*24+BN3,(BN3-1)*6+BN2)+BN5*10000</f>
        <v/>
      </c>
      <c r="BO6">
        <f>IF(LEFT('設定'!$B$8,3)="日付順",(BO2-1)*24+BO3,(BO3-1)*6+BO2)+BO5*10000</f>
        <v/>
      </c>
      <c r="BP6">
        <f>IF(LEFT('設定'!$B$8,3)="日付順",(BP2-1)*24+BP3,(BP3-1)*6+BP2)+BP5*10000</f>
        <v/>
      </c>
      <c r="BQ6">
        <f>IF(LEFT('設定'!$B$8,3)="日付順",(BQ2-1)*24+BQ3,(BQ3-1)*6+BQ2)+BQ5*10000</f>
        <v/>
      </c>
      <c r="BR6">
        <f>IF(LEFT('設定'!$B$8,3)="日付順",(BR2-1)*24+BR3,(BR3-1)*6+BR2)+BR5*10000</f>
        <v/>
      </c>
      <c r="BS6">
        <f>IF(LEFT('設定'!$B$8,3)="日付順",(BS2-1)*24+BS3,(BS3-1)*6+BS2)+BS5*10000</f>
        <v/>
      </c>
      <c r="BT6">
        <f>IF(LEFT('設定'!$B$8,3)="日付順",(BT2-1)*24+BT3,(BT3-1)*6+BT2)+BT5*10000</f>
        <v/>
      </c>
      <c r="BU6">
        <f>IF(LEFT('設定'!$B$8,3)="日付順",(BU2-1)*24+BU3,(BU3-1)*6+BU2)+BU5*10000</f>
        <v/>
      </c>
      <c r="BV6">
        <f>IF(LEFT('設定'!$B$8,3)="日付順",(BV2-1)*24+BV3,(BV3-1)*6+BV2)+BV5*10000</f>
        <v/>
      </c>
      <c r="BW6">
        <f>IF(LEFT('設定'!$B$8,3)="日付順",(BW2-1)*24+BW3,(BW3-1)*6+BW2)+BW5*10000</f>
        <v/>
      </c>
      <c r="BX6">
        <f>IF(LEFT('設定'!$B$8,3)="日付順",(BX2-1)*24+BX3,(BX3-1)*6+BX2)+BX5*10000</f>
        <v/>
      </c>
      <c r="BY6">
        <f>IF(LEFT('設定'!$B$8,3)="日付順",(BY2-1)*24+BY3,(BY3-1)*6+BY2)+BY5*10000</f>
        <v/>
      </c>
      <c r="BZ6">
        <f>IF(LEFT('設定'!$B$8,3)="日付順",(BZ2-1)*24+BZ3,(BZ3-1)*6+BZ2)+BZ5*10000</f>
        <v/>
      </c>
      <c r="CA6">
        <f>IF(LEFT('設定'!$B$8,3)="日付順",(CA2-1)*24+CA3,(CA3-1)*6+CA2)+CA5*10000</f>
        <v/>
      </c>
      <c r="CB6">
        <f>IF(LEFT('設定'!$B$8,3)="日付順",(CB2-1)*24+CB3,(CB3-1)*6+CB2)+CB5*10000</f>
        <v/>
      </c>
      <c r="CC6">
        <f>IF(LEFT('設定'!$B$8,3)="日付順",(CC2-1)*24+CC3,(CC3-1)*6+CC2)+CC5*10000</f>
        <v/>
      </c>
      <c r="CD6">
        <f>IF(LEFT('設定'!$B$8,3)="日付順",(CD2-1)*24+CD3,(CD3-1)*6+CD2)+CD5*10000</f>
        <v/>
      </c>
      <c r="CE6">
        <f>IF(LEFT('設定'!$B$8,3)="日付順",(CE2-1)*24+CE3,(CE3-1)*6+CE2)+CE5*10000</f>
        <v/>
      </c>
      <c r="CF6">
        <f>IF(LEFT('設定'!$B$8,3)="日付順",(CF2-1)*24+CF3,(CF3-1)*6+CF2)+CF5*10000</f>
        <v/>
      </c>
      <c r="CG6">
        <f>IF(LEFT('設定'!$B$8,3)="日付順",(CG2-1)*24+CG3,(CG3-1)*6+CG2)+CG5*10000</f>
        <v/>
      </c>
      <c r="CH6">
        <f>IF(LEFT('設定'!$B$8,3)="日付順",(CH2-1)*24+CH3,(CH3-1)*6+CH2)+CH5*10000</f>
        <v/>
      </c>
      <c r="CI6">
        <f>IF(LEFT('設定'!$B$8,3)="日付順",(CI2-1)*24+CI3,(CI3-1)*6+CI2)+CI5*10000</f>
        <v/>
      </c>
      <c r="CJ6">
        <f>IF(LEFT('設定'!$B$8,3)="日付順",(CJ2-1)*24+CJ3,(CJ3-1)*6+CJ2)+CJ5*10000</f>
        <v/>
      </c>
      <c r="CK6">
        <f>IF(LEFT('設定'!$B$8,3)="日付順",(CK2-1)*24+CK3,(CK3-1)*6+CK2)+CK5*10000</f>
        <v/>
      </c>
      <c r="CL6">
        <f>IF(LEFT('設定'!$B$8,3)="日付順",(CL2-1)*24+CL3,(CL3-1)*6+CL2)+CL5*10000</f>
        <v/>
      </c>
      <c r="CM6">
        <f>IF(LEFT('設定'!$B$8,3)="日付順",(CM2-1)*24+CM3,(CM3-1)*6+CM2)+CM5*10000</f>
        <v/>
      </c>
      <c r="CN6">
        <f>IF(LEFT('設定'!$B$8,3)="日付順",(CN2-1)*24+CN3,(CN3-1)*6+CN2)+CN5*10000</f>
        <v/>
      </c>
      <c r="CO6">
        <f>IF(LEFT('設定'!$B$8,3)="日付順",(CO2-1)*24+CO3,(CO3-1)*6+CO2)+CO5*10000</f>
        <v/>
      </c>
      <c r="CP6">
        <f>IF(LEFT('設定'!$B$8,3)="日付順",(CP2-1)*24+CP3,(CP3-1)*6+CP2)+CP5*10000</f>
        <v/>
      </c>
      <c r="CQ6">
        <f>IF(LEFT('設定'!$B$8,3)="日付順",(CQ2-1)*24+CQ3,(CQ3-1)*6+CQ2)+CQ5*10000</f>
        <v/>
      </c>
      <c r="CR6">
        <f>IF(LEFT('設定'!$B$8,3)="日付順",(CR2-1)*24+CR3,(CR3-1)*6+CR2)+CR5*10000</f>
        <v/>
      </c>
      <c r="CS6">
        <f>IF(LEFT('設定'!$B$8,3)="日付順",(CS2-1)*24+CS3,(CS3-1)*6+CS2)+CS5*10000</f>
        <v/>
      </c>
      <c r="CT6">
        <f>IF(LEFT('設定'!$B$8,3)="日付順",(CT2-1)*24+CT3,(CT3-1)*6+CT2)+CT5*10000</f>
        <v/>
      </c>
      <c r="CU6">
        <f>IF(LEFT('設定'!$B$8,3)="日付順",(CU2-1)*24+CU3,(CU3-1)*6+CU2)+CU5*10000</f>
        <v/>
      </c>
      <c r="CV6">
        <f>IF(LEFT('設定'!$B$8,3)="日付順",(CV2-1)*24+CV3,(CV3-1)*6+CV2)+CV5*10000</f>
        <v/>
      </c>
      <c r="CW6">
        <f>IF(LEFT('設定'!$B$8,3)="日付順",(CW2-1)*24+CW3,(CW3-1)*6+CW2)+CW5*10000</f>
        <v/>
      </c>
      <c r="CX6">
        <f>IF(LEFT('設定'!$B$8,3)="日付順",(CX2-1)*24+CX3,(CX3-1)*6+CX2)+CX5*10000</f>
        <v/>
      </c>
      <c r="CY6">
        <f>IF(LEFT('設定'!$B$8,3)="日付順",(CY2-1)*24+CY3,(CY3-1)*6+CY2)+CY5*10000</f>
        <v/>
      </c>
      <c r="CZ6">
        <f>IF(LEFT('設定'!$B$8,3)="日付順",(CZ2-1)*24+CZ3,(CZ3-1)*6+CZ2)+CZ5*10000</f>
        <v/>
      </c>
      <c r="DA6">
        <f>IF(LEFT('設定'!$B$8,3)="日付順",(DA2-1)*24+DA3,(DA3-1)*6+DA2)+DA5*10000</f>
        <v/>
      </c>
      <c r="DB6">
        <f>IF(LEFT('設定'!$B$8,3)="日付順",(DB2-1)*24+DB3,(DB3-1)*6+DB2)+DB5*10000</f>
        <v/>
      </c>
      <c r="DC6">
        <f>IF(LEFT('設定'!$B$8,3)="日付順",(DC2-1)*24+DC3,(DC3-1)*6+DC2)+DC5*10000</f>
        <v/>
      </c>
      <c r="DD6">
        <f>IF(LEFT('設定'!$B$8,3)="日付順",(DD2-1)*24+DD3,(DD3-1)*6+DD2)+DD5*10000</f>
        <v/>
      </c>
      <c r="DE6">
        <f>IF(LEFT('設定'!$B$8,3)="日付順",(DE2-1)*24+DE3,(DE3-1)*6+DE2)+DE5*10000</f>
        <v/>
      </c>
      <c r="DF6">
        <f>IF(LEFT('設定'!$B$8,3)="日付順",(DF2-1)*24+DF3,(DF3-1)*6+DF2)+DF5*10000</f>
        <v/>
      </c>
      <c r="DG6">
        <f>IF(LEFT('設定'!$B$8,3)="日付順",(DG2-1)*24+DG3,(DG3-1)*6+DG2)+DG5*10000</f>
        <v/>
      </c>
      <c r="DH6">
        <f>IF(LEFT('設定'!$B$8,3)="日付順",(DH2-1)*24+DH3,(DH3-1)*6+DH2)+DH5*10000</f>
        <v/>
      </c>
      <c r="DI6">
        <f>IF(LEFT('設定'!$B$8,3)="日付順",(DI2-1)*24+DI3,(DI3-1)*6+DI2)+DI5*10000</f>
        <v/>
      </c>
      <c r="DJ6">
        <f>IF(LEFT('設定'!$B$8,3)="日付順",(DJ2-1)*24+DJ3,(DJ3-1)*6+DJ2)+DJ5*10000</f>
        <v/>
      </c>
      <c r="DK6">
        <f>IF(LEFT('設定'!$B$8,3)="日付順",(DK2-1)*24+DK3,(DK3-1)*6+DK2)+DK5*10000</f>
        <v/>
      </c>
      <c r="DL6">
        <f>IF(LEFT('設定'!$B$8,3)="日付順",(DL2-1)*24+DL3,(DL3-1)*6+DL2)+DL5*10000</f>
        <v/>
      </c>
      <c r="DM6">
        <f>IF(LEFT('設定'!$B$8,3)="日付順",(DM2-1)*24+DM3,(DM3-1)*6+DM2)+DM5*10000</f>
        <v/>
      </c>
      <c r="DN6">
        <f>IF(LEFT('設定'!$B$8,3)="日付順",(DN2-1)*24+DN3,(DN3-1)*6+DN2)+DN5*10000</f>
        <v/>
      </c>
      <c r="DO6">
        <f>IF(LEFT('設定'!$B$8,3)="日付順",(DO2-1)*24+DO3,(DO3-1)*6+DO2)+DO5*10000</f>
        <v/>
      </c>
      <c r="DP6">
        <f>IF(LEFT('設定'!$B$8,3)="日付順",(DP2-1)*24+DP3,(DP3-1)*6+DP2)+DP5*10000</f>
        <v/>
      </c>
      <c r="DQ6">
        <f>IF(LEFT('設定'!$B$8,3)="日付順",(DQ2-1)*24+DQ3,(DQ3-1)*6+DQ2)+DQ5*10000</f>
        <v/>
      </c>
      <c r="DR6">
        <f>IF(LEFT('設定'!$B$8,3)="日付順",(DR2-1)*24+DR3,(DR3-1)*6+DR2)+DR5*10000</f>
        <v/>
      </c>
      <c r="DS6">
        <f>IF(LEFT('設定'!$B$8,3)="日付順",(DS2-1)*24+DS3,(DS3-1)*6+DS2)+DS5*10000</f>
        <v/>
      </c>
      <c r="DT6">
        <f>IF(LEFT('設定'!$B$8,3)="日付順",(DT2-1)*24+DT3,(DT3-1)*6+DT2)+DT5*10000</f>
        <v/>
      </c>
      <c r="DU6">
        <f>IF(LEFT('設定'!$B$8,3)="日付順",(DU2-1)*24+DU3,(DU3-1)*6+DU2)+DU5*10000</f>
        <v/>
      </c>
      <c r="DV6">
        <f>IF(LEFT('設定'!$B$8,3)="日付順",(DV2-1)*24+DV3,(DV3-1)*6+DV2)+DV5*10000</f>
        <v/>
      </c>
      <c r="DW6">
        <f>IF(LEFT('設定'!$B$8,3)="日付順",(DW2-1)*24+DW3,(DW3-1)*6+DW2)+DW5*10000</f>
        <v/>
      </c>
      <c r="DX6">
        <f>IF(LEFT('設定'!$B$8,3)="日付順",(DX2-1)*24+DX3,(DX3-1)*6+DX2)+DX5*10000</f>
        <v/>
      </c>
      <c r="DY6">
        <f>IF(LEFT('設定'!$B$8,3)="日付順",(DY2-1)*24+DY3,(DY3-1)*6+DY2)+DY5*10000</f>
        <v/>
      </c>
      <c r="DZ6">
        <f>IF(LEFT('設定'!$B$8,3)="日付順",(DZ2-1)*24+DZ3,(DZ3-1)*6+DZ2)+DZ5*10000</f>
        <v/>
      </c>
      <c r="EA6">
        <f>IF(LEFT('設定'!$B$8,3)="日付順",(EA2-1)*24+EA3,(EA3-1)*6+EA2)+EA5*10000</f>
        <v/>
      </c>
      <c r="EB6">
        <f>IF(LEFT('設定'!$B$8,3)="日付順",(EB2-1)*24+EB3,(EB3-1)*6+EB2)+EB5*10000</f>
        <v/>
      </c>
      <c r="EC6">
        <f>IF(LEFT('設定'!$B$8,3)="日付順",(EC2-1)*24+EC3,(EC3-1)*6+EC2)+EC5*10000</f>
        <v/>
      </c>
      <c r="ED6">
        <f>IF(LEFT('設定'!$B$8,3)="日付順",(ED2-1)*24+ED3,(ED3-1)*6+ED2)+ED5*10000</f>
        <v/>
      </c>
      <c r="EE6">
        <f>IF(LEFT('設定'!$B$8,3)="日付順",(EE2-1)*24+EE3,(EE3-1)*6+EE2)+EE5*10000</f>
        <v/>
      </c>
      <c r="EF6">
        <f>IF(LEFT('設定'!$B$8,3)="日付順",(EF2-1)*24+EF3,(EF3-1)*6+EF2)+EF5*10000</f>
        <v/>
      </c>
      <c r="EG6">
        <f>IF(LEFT('設定'!$B$8,3)="日付順",(EG2-1)*24+EG3,(EG3-1)*6+EG2)+EG5*10000</f>
        <v/>
      </c>
      <c r="EH6">
        <f>IF(LEFT('設定'!$B$8,3)="日付順",(EH2-1)*24+EH3,(EH3-1)*6+EH2)+EH5*10000</f>
        <v/>
      </c>
      <c r="EI6">
        <f>IF(LEFT('設定'!$B$8,3)="日付順",(EI2-1)*24+EI3,(EI3-1)*6+EI2)+EI5*10000</f>
        <v/>
      </c>
      <c r="EJ6">
        <f>IF(LEFT('設定'!$B$8,3)="日付順",(EJ2-1)*24+EJ3,(EJ3-1)*6+EJ2)+EJ5*10000</f>
        <v/>
      </c>
      <c r="EK6">
        <f>IF(LEFT('設定'!$B$8,3)="日付順",(EK2-1)*24+EK3,(EK3-1)*6+EK2)+EK5*10000</f>
        <v/>
      </c>
      <c r="EL6">
        <f>IF(LEFT('設定'!$B$8,3)="日付順",(EL2-1)*24+EL3,(EL3-1)*6+EL2)+EL5*10000</f>
        <v/>
      </c>
      <c r="EM6">
        <f>IF(LEFT('設定'!$B$8,3)="日付順",(EM2-1)*24+EM3,(EM3-1)*6+EM2)+EM5*10000</f>
        <v/>
      </c>
      <c r="EN6">
        <f>IF(LEFT('設定'!$B$8,3)="日付順",(EN2-1)*24+EN3,(EN3-1)*6+EN2)+EN5*10000</f>
        <v/>
      </c>
      <c r="EO6">
        <f>IF(LEFT('設定'!$B$8,3)="日付順",(EO2-1)*24+EO3,(EO3-1)*6+EO2)+EO5*10000</f>
        <v/>
      </c>
      <c r="EP6">
        <f>IF(LEFT('設定'!$B$8,3)="日付順",(EP2-1)*24+EP3,(EP3-1)*6+EP2)+EP5*10000</f>
        <v/>
      </c>
      <c r="EQ6">
        <f>IF(LEFT('設定'!$B$8,3)="日付順",(EQ2-1)*24+EQ3,(EQ3-1)*6+EQ2)+EQ5*10000</f>
        <v/>
      </c>
    </row>
    <row r="7">
      <c r="A7">
        <f>SUMPRODUCT($D$60:$EQ$99*(ROW($D$60:$EQ$99)*1000+COLUMN($D$60:$EQ$99)))+SUMPRODUCT($D$108:$EQ$118*(ROW($D$108:$EQ$118)*7+COLUMN($D$108:$EQ$118)))+SUMPRODUCT($D$5:$EQ$7*(ROW($D$5:$EQ$7)*3+COLUMN($D$5:$EQ$7)))+SUMPRODUCT($C$10:$C$49*(ROW($C$10:$C$49)*11+COLUMN($C$10:$C$49)))+SUMPRODUCT($IO$10:$IQ$49*(ROW($IO$10:$IQ$49)*13+COLUMN($IO$10:$IQ$49)))+SUMPRODUCT($IW$10:$IX$49*(ROW($IW$10:$IX$49)*17+COLUMN($IW$10:$IX$49)))+SUMPRODUCT($JC$10:$JF$49*(ROW($JC$10:$JF$49)*19+COLUMN($JC$10:$JF$49)))+SUMPRODUCT($HA$10:$HO$49*(ROW($HA$10:$HO$49)*23+COLUMN($HA$10:$HO$49)))</f>
        <v/>
      </c>
      <c r="B7" s="124" t="inlineStr">
        <is>
          <t>←入力の合計</t>
        </is>
      </c>
      <c r="C7" s="124" t="inlineStr">
        <is>
          <t>決定済み</t>
        </is>
      </c>
      <c r="D7">
        <f>MAX(D109,D108)</f>
        <v/>
      </c>
      <c r="E7">
        <f>MAX(E109,E108)</f>
        <v/>
      </c>
      <c r="F7">
        <f>MAX(F109,F108)</f>
        <v/>
      </c>
      <c r="G7">
        <f>MAX(G109,G108)</f>
        <v/>
      </c>
      <c r="H7">
        <f>MAX(H109,H108)</f>
        <v/>
      </c>
      <c r="I7">
        <f>MAX(I109,I108)</f>
        <v/>
      </c>
      <c r="J7">
        <f>MAX(J109,J108)</f>
        <v/>
      </c>
      <c r="K7">
        <f>MAX(K109,K108)</f>
        <v/>
      </c>
      <c r="L7">
        <f>MAX(L109,L108)</f>
        <v/>
      </c>
      <c r="M7">
        <f>MAX(M109,M108)</f>
        <v/>
      </c>
      <c r="N7">
        <f>MAX(N109,N108)</f>
        <v/>
      </c>
      <c r="O7">
        <f>MAX(O109,O108)</f>
        <v/>
      </c>
      <c r="P7">
        <f>MAX(P109,P108)</f>
        <v/>
      </c>
      <c r="Q7">
        <f>MAX(Q109,Q108)</f>
        <v/>
      </c>
      <c r="R7">
        <f>MAX(R109,R108)</f>
        <v/>
      </c>
      <c r="S7">
        <f>MAX(S109,S108)</f>
        <v/>
      </c>
      <c r="T7">
        <f>MAX(T109,T108)</f>
        <v/>
      </c>
      <c r="U7">
        <f>MAX(U109,U108)</f>
        <v/>
      </c>
      <c r="V7">
        <f>MAX(V109,V108)</f>
        <v/>
      </c>
      <c r="W7">
        <f>MAX(W109,W108)</f>
        <v/>
      </c>
      <c r="X7">
        <f>MAX(X109,X108)</f>
        <v/>
      </c>
      <c r="Y7">
        <f>MAX(Y109,Y108)</f>
        <v/>
      </c>
      <c r="Z7">
        <f>MAX(Z109,Z108)</f>
        <v/>
      </c>
      <c r="AA7">
        <f>MAX(AA109,AA108)</f>
        <v/>
      </c>
      <c r="AB7">
        <f>MAX(AB109,AB108)</f>
        <v/>
      </c>
      <c r="AC7">
        <f>MAX(AC109,AC108)</f>
        <v/>
      </c>
      <c r="AD7">
        <f>MAX(AD109,AD108)</f>
        <v/>
      </c>
      <c r="AE7">
        <f>MAX(AE109,AE108)</f>
        <v/>
      </c>
      <c r="AF7">
        <f>MAX(AF109,AF108)</f>
        <v/>
      </c>
      <c r="AG7">
        <f>MAX(AG109,AG108)</f>
        <v/>
      </c>
      <c r="AH7">
        <f>MAX(AH109,AH108)</f>
        <v/>
      </c>
      <c r="AI7">
        <f>MAX(AI109,AI108)</f>
        <v/>
      </c>
      <c r="AJ7">
        <f>MAX(AJ109,AJ108)</f>
        <v/>
      </c>
      <c r="AK7">
        <f>MAX(AK109,AK108)</f>
        <v/>
      </c>
      <c r="AL7">
        <f>MAX(AL109,AL108)</f>
        <v/>
      </c>
      <c r="AM7">
        <f>MAX(AM109,AM108)</f>
        <v/>
      </c>
      <c r="AN7">
        <f>MAX(AN109,AN108)</f>
        <v/>
      </c>
      <c r="AO7">
        <f>MAX(AO109,AO108)</f>
        <v/>
      </c>
      <c r="AP7">
        <f>MAX(AP109,AP108)</f>
        <v/>
      </c>
      <c r="AQ7">
        <f>MAX(AQ109,AQ108)</f>
        <v/>
      </c>
      <c r="AR7">
        <f>MAX(AR109,AR108)</f>
        <v/>
      </c>
      <c r="AS7">
        <f>MAX(AS109,AS108)</f>
        <v/>
      </c>
      <c r="AT7">
        <f>MAX(AT109,AT108)</f>
        <v/>
      </c>
      <c r="AU7">
        <f>MAX(AU109,AU108)</f>
        <v/>
      </c>
      <c r="AV7">
        <f>MAX(AV109,AV108)</f>
        <v/>
      </c>
      <c r="AW7">
        <f>MAX(AW109,AW108)</f>
        <v/>
      </c>
      <c r="AX7">
        <f>MAX(AX109,AX108)</f>
        <v/>
      </c>
      <c r="AY7">
        <f>MAX(AY109,AY108)</f>
        <v/>
      </c>
      <c r="AZ7">
        <f>MAX(AZ109,AZ108)</f>
        <v/>
      </c>
      <c r="BA7">
        <f>MAX(BA109,BA108)</f>
        <v/>
      </c>
      <c r="BB7">
        <f>MAX(BB109,BB108)</f>
        <v/>
      </c>
      <c r="BC7">
        <f>MAX(BC109,BC108)</f>
        <v/>
      </c>
      <c r="BD7">
        <f>MAX(BD109,BD108)</f>
        <v/>
      </c>
      <c r="BE7">
        <f>MAX(BE109,BE108)</f>
        <v/>
      </c>
      <c r="BF7">
        <f>MAX(BF109,BF108)</f>
        <v/>
      </c>
      <c r="BG7">
        <f>MAX(BG109,BG108)</f>
        <v/>
      </c>
      <c r="BH7">
        <f>MAX(BH109,BH108)</f>
        <v/>
      </c>
      <c r="BI7">
        <f>MAX(BI109,BI108)</f>
        <v/>
      </c>
      <c r="BJ7">
        <f>MAX(BJ109,BJ108)</f>
        <v/>
      </c>
      <c r="BK7">
        <f>MAX(BK109,BK108)</f>
        <v/>
      </c>
      <c r="BL7">
        <f>MAX(BL109,BL108)</f>
        <v/>
      </c>
      <c r="BM7">
        <f>MAX(BM109,BM108)</f>
        <v/>
      </c>
      <c r="BN7">
        <f>MAX(BN109,BN108)</f>
        <v/>
      </c>
      <c r="BO7">
        <f>MAX(BO109,BO108)</f>
        <v/>
      </c>
      <c r="BP7">
        <f>MAX(BP109,BP108)</f>
        <v/>
      </c>
      <c r="BQ7">
        <f>MAX(BQ109,BQ108)</f>
        <v/>
      </c>
      <c r="BR7">
        <f>MAX(BR109,BR108)</f>
        <v/>
      </c>
      <c r="BS7">
        <f>MAX(BS109,BS108)</f>
        <v/>
      </c>
      <c r="BT7">
        <f>MAX(BT109,BT108)</f>
        <v/>
      </c>
      <c r="BU7">
        <f>MAX(BU109,BU108)</f>
        <v/>
      </c>
      <c r="BV7">
        <f>MAX(BV109,BV108)</f>
        <v/>
      </c>
      <c r="BW7">
        <f>MAX(BW109,BW108)</f>
        <v/>
      </c>
      <c r="BX7">
        <f>MAX(BX109,BX108)</f>
        <v/>
      </c>
      <c r="BY7">
        <f>MAX(BY109,BY108)</f>
        <v/>
      </c>
      <c r="BZ7">
        <f>MAX(BZ109,BZ108)</f>
        <v/>
      </c>
      <c r="CA7">
        <f>MAX(CA109,CA108)</f>
        <v/>
      </c>
      <c r="CB7">
        <f>MAX(CB109,CB108)</f>
        <v/>
      </c>
      <c r="CC7">
        <f>MAX(CC109,CC108)</f>
        <v/>
      </c>
      <c r="CD7">
        <f>MAX(CD109,CD108)</f>
        <v/>
      </c>
      <c r="CE7">
        <f>MAX(CE109,CE108)</f>
        <v/>
      </c>
      <c r="CF7">
        <f>MAX(CF109,CF108)</f>
        <v/>
      </c>
      <c r="CG7">
        <f>MAX(CG109,CG108)</f>
        <v/>
      </c>
      <c r="CH7">
        <f>MAX(CH109,CH108)</f>
        <v/>
      </c>
      <c r="CI7">
        <f>MAX(CI109,CI108)</f>
        <v/>
      </c>
      <c r="CJ7">
        <f>MAX(CJ109,CJ108)</f>
        <v/>
      </c>
      <c r="CK7">
        <f>MAX(CK109,CK108)</f>
        <v/>
      </c>
      <c r="CL7">
        <f>MAX(CL109,CL108)</f>
        <v/>
      </c>
      <c r="CM7">
        <f>MAX(CM109,CM108)</f>
        <v/>
      </c>
      <c r="CN7">
        <f>MAX(CN109,CN108)</f>
        <v/>
      </c>
      <c r="CO7">
        <f>MAX(CO109,CO108)</f>
        <v/>
      </c>
      <c r="CP7">
        <f>MAX(CP109,CP108)</f>
        <v/>
      </c>
      <c r="CQ7">
        <f>MAX(CQ109,CQ108)</f>
        <v/>
      </c>
      <c r="CR7">
        <f>MAX(CR109,CR108)</f>
        <v/>
      </c>
      <c r="CS7">
        <f>MAX(CS109,CS108)</f>
        <v/>
      </c>
      <c r="CT7">
        <f>MAX(CT109,CT108)</f>
        <v/>
      </c>
      <c r="CU7">
        <f>MAX(CU109,CU108)</f>
        <v/>
      </c>
      <c r="CV7">
        <f>MAX(CV109,CV108)</f>
        <v/>
      </c>
      <c r="CW7">
        <f>MAX(CW109,CW108)</f>
        <v/>
      </c>
      <c r="CX7">
        <f>MAX(CX109,CX108)</f>
        <v/>
      </c>
      <c r="CY7">
        <f>MAX(CY109,CY108)</f>
        <v/>
      </c>
      <c r="CZ7">
        <f>MAX(CZ109,CZ108)</f>
        <v/>
      </c>
      <c r="DA7">
        <f>MAX(DA109,DA108)</f>
        <v/>
      </c>
      <c r="DB7">
        <f>MAX(DB109,DB108)</f>
        <v/>
      </c>
      <c r="DC7">
        <f>MAX(DC109,DC108)</f>
        <v/>
      </c>
      <c r="DD7">
        <f>MAX(DD109,DD108)</f>
        <v/>
      </c>
      <c r="DE7">
        <f>MAX(DE109,DE108)</f>
        <v/>
      </c>
      <c r="DF7">
        <f>MAX(DF109,DF108)</f>
        <v/>
      </c>
      <c r="DG7">
        <f>MAX(DG109,DG108)</f>
        <v/>
      </c>
      <c r="DH7">
        <f>MAX(DH109,DH108)</f>
        <v/>
      </c>
      <c r="DI7">
        <f>MAX(DI109,DI108)</f>
        <v/>
      </c>
      <c r="DJ7">
        <f>MAX(DJ109,DJ108)</f>
        <v/>
      </c>
      <c r="DK7">
        <f>MAX(DK109,DK108)</f>
        <v/>
      </c>
      <c r="DL7">
        <f>MAX(DL109,DL108)</f>
        <v/>
      </c>
      <c r="DM7">
        <f>MAX(DM109,DM108)</f>
        <v/>
      </c>
      <c r="DN7">
        <f>MAX(DN109,DN108)</f>
        <v/>
      </c>
      <c r="DO7">
        <f>MAX(DO109,DO108)</f>
        <v/>
      </c>
      <c r="DP7">
        <f>MAX(DP109,DP108)</f>
        <v/>
      </c>
      <c r="DQ7">
        <f>MAX(DQ109,DQ108)</f>
        <v/>
      </c>
      <c r="DR7">
        <f>MAX(DR109,DR108)</f>
        <v/>
      </c>
      <c r="DS7">
        <f>MAX(DS109,DS108)</f>
        <v/>
      </c>
      <c r="DT7">
        <f>MAX(DT109,DT108)</f>
        <v/>
      </c>
      <c r="DU7">
        <f>MAX(DU109,DU108)</f>
        <v/>
      </c>
      <c r="DV7">
        <f>MAX(DV109,DV108)</f>
        <v/>
      </c>
      <c r="DW7">
        <f>MAX(DW109,DW108)</f>
        <v/>
      </c>
      <c r="DX7">
        <f>MAX(DX109,DX108)</f>
        <v/>
      </c>
      <c r="DY7">
        <f>MAX(DY109,DY108)</f>
        <v/>
      </c>
      <c r="DZ7">
        <f>MAX(DZ109,DZ108)</f>
        <v/>
      </c>
      <c r="EA7">
        <f>MAX(EA109,EA108)</f>
        <v/>
      </c>
      <c r="EB7">
        <f>MAX(EB109,EB108)</f>
        <v/>
      </c>
      <c r="EC7">
        <f>MAX(EC109,EC108)</f>
        <v/>
      </c>
      <c r="ED7">
        <f>MAX(ED109,ED108)</f>
        <v/>
      </c>
      <c r="EE7">
        <f>MAX(EE109,EE108)</f>
        <v/>
      </c>
      <c r="EF7">
        <f>MAX(EF109,EF108)</f>
        <v/>
      </c>
      <c r="EG7">
        <f>MAX(EG109,EG108)</f>
        <v/>
      </c>
      <c r="EH7">
        <f>MAX(EH109,EH108)</f>
        <v/>
      </c>
      <c r="EI7">
        <f>MAX(EI109,EI108)</f>
        <v/>
      </c>
      <c r="EJ7">
        <f>MAX(EJ109,EJ108)</f>
        <v/>
      </c>
      <c r="EK7">
        <f>MAX(EK109,EK108)</f>
        <v/>
      </c>
      <c r="EL7">
        <f>MAX(EL109,EL108)</f>
        <v/>
      </c>
      <c r="EM7">
        <f>MAX(EM109,EM108)</f>
        <v/>
      </c>
      <c r="EN7">
        <f>MAX(EN109,EN108)</f>
        <v/>
      </c>
      <c r="EO7">
        <f>MAX(EO109,EO108)</f>
        <v/>
      </c>
      <c r="EP7">
        <f>MAX(EP109,EP108)</f>
        <v/>
      </c>
      <c r="EQ7">
        <f>MAX(EQ109,EQ108)</f>
        <v/>
      </c>
    </row>
    <row r="8">
      <c r="A8" s="124" t="inlineStr">
        <is>
          <t>選択中→</t>
        </is>
      </c>
      <c r="B8" s="124">
        <f>IF('調整・決定'!$J$5="",0,IFERROR(MATCH('調整・決定'!$J$5,$B$10:$B$54,0),0))</f>
        <v/>
      </c>
      <c r="C8" s="124" t="inlineStr">
        <is>
          <t>表示</t>
        </is>
      </c>
      <c r="D8">
        <f>IF(D4=1,INDEX('設定'!$E$11:$E$16,D2)&amp;" "&amp;INDEX('設定'!$I$11:$I$34,D3),"")</f>
        <v/>
      </c>
      <c r="E8">
        <f>IF(E4=1,INDEX('設定'!$E$11:$E$16,E2)&amp;" "&amp;INDEX('設定'!$I$11:$I$34,E3),"")</f>
        <v/>
      </c>
      <c r="F8">
        <f>IF(F4=1,INDEX('設定'!$E$11:$E$16,F2)&amp;" "&amp;INDEX('設定'!$I$11:$I$34,F3),"")</f>
        <v/>
      </c>
      <c r="G8">
        <f>IF(G4=1,INDEX('設定'!$E$11:$E$16,G2)&amp;" "&amp;INDEX('設定'!$I$11:$I$34,G3),"")</f>
        <v/>
      </c>
      <c r="H8">
        <f>IF(H4=1,INDEX('設定'!$E$11:$E$16,H2)&amp;" "&amp;INDEX('設定'!$I$11:$I$34,H3),"")</f>
        <v/>
      </c>
      <c r="I8">
        <f>IF(I4=1,INDEX('設定'!$E$11:$E$16,I2)&amp;" "&amp;INDEX('設定'!$I$11:$I$34,I3),"")</f>
        <v/>
      </c>
      <c r="J8">
        <f>IF(J4=1,INDEX('設定'!$E$11:$E$16,J2)&amp;" "&amp;INDEX('設定'!$I$11:$I$34,J3),"")</f>
        <v/>
      </c>
      <c r="K8">
        <f>IF(K4=1,INDEX('設定'!$E$11:$E$16,K2)&amp;" "&amp;INDEX('設定'!$I$11:$I$34,K3),"")</f>
        <v/>
      </c>
      <c r="L8">
        <f>IF(L4=1,INDEX('設定'!$E$11:$E$16,L2)&amp;" "&amp;INDEX('設定'!$I$11:$I$34,L3),"")</f>
        <v/>
      </c>
      <c r="M8">
        <f>IF(M4=1,INDEX('設定'!$E$11:$E$16,M2)&amp;" "&amp;INDEX('設定'!$I$11:$I$34,M3),"")</f>
        <v/>
      </c>
      <c r="N8">
        <f>IF(N4=1,INDEX('設定'!$E$11:$E$16,N2)&amp;" "&amp;INDEX('設定'!$I$11:$I$34,N3),"")</f>
        <v/>
      </c>
      <c r="O8">
        <f>IF(O4=1,INDEX('設定'!$E$11:$E$16,O2)&amp;" "&amp;INDEX('設定'!$I$11:$I$34,O3),"")</f>
        <v/>
      </c>
      <c r="P8">
        <f>IF(P4=1,INDEX('設定'!$E$11:$E$16,P2)&amp;" "&amp;INDEX('設定'!$I$11:$I$34,P3),"")</f>
        <v/>
      </c>
      <c r="Q8">
        <f>IF(Q4=1,INDEX('設定'!$E$11:$E$16,Q2)&amp;" "&amp;INDEX('設定'!$I$11:$I$34,Q3),"")</f>
        <v/>
      </c>
      <c r="R8">
        <f>IF(R4=1,INDEX('設定'!$E$11:$E$16,R2)&amp;" "&amp;INDEX('設定'!$I$11:$I$34,R3),"")</f>
        <v/>
      </c>
      <c r="S8">
        <f>IF(S4=1,INDEX('設定'!$E$11:$E$16,S2)&amp;" "&amp;INDEX('設定'!$I$11:$I$34,S3),"")</f>
        <v/>
      </c>
      <c r="T8">
        <f>IF(T4=1,INDEX('設定'!$E$11:$E$16,T2)&amp;" "&amp;INDEX('設定'!$I$11:$I$34,T3),"")</f>
        <v/>
      </c>
      <c r="U8">
        <f>IF(U4=1,INDEX('設定'!$E$11:$E$16,U2)&amp;" "&amp;INDEX('設定'!$I$11:$I$34,U3),"")</f>
        <v/>
      </c>
      <c r="V8">
        <f>IF(V4=1,INDEX('設定'!$E$11:$E$16,V2)&amp;" "&amp;INDEX('設定'!$I$11:$I$34,V3),"")</f>
        <v/>
      </c>
      <c r="W8">
        <f>IF(W4=1,INDEX('設定'!$E$11:$E$16,W2)&amp;" "&amp;INDEX('設定'!$I$11:$I$34,W3),"")</f>
        <v/>
      </c>
      <c r="X8">
        <f>IF(X4=1,INDEX('設定'!$E$11:$E$16,X2)&amp;" "&amp;INDEX('設定'!$I$11:$I$34,X3),"")</f>
        <v/>
      </c>
      <c r="Y8">
        <f>IF(Y4=1,INDEX('設定'!$E$11:$E$16,Y2)&amp;" "&amp;INDEX('設定'!$I$11:$I$34,Y3),"")</f>
        <v/>
      </c>
      <c r="Z8">
        <f>IF(Z4=1,INDEX('設定'!$E$11:$E$16,Z2)&amp;" "&amp;INDEX('設定'!$I$11:$I$34,Z3),"")</f>
        <v/>
      </c>
      <c r="AA8">
        <f>IF(AA4=1,INDEX('設定'!$E$11:$E$16,AA2)&amp;" "&amp;INDEX('設定'!$I$11:$I$34,AA3),"")</f>
        <v/>
      </c>
      <c r="AB8">
        <f>IF(AB4=1,INDEX('設定'!$E$11:$E$16,AB2)&amp;" "&amp;INDEX('設定'!$I$11:$I$34,AB3),"")</f>
        <v/>
      </c>
      <c r="AC8">
        <f>IF(AC4=1,INDEX('設定'!$E$11:$E$16,AC2)&amp;" "&amp;INDEX('設定'!$I$11:$I$34,AC3),"")</f>
        <v/>
      </c>
      <c r="AD8">
        <f>IF(AD4=1,INDEX('設定'!$E$11:$E$16,AD2)&amp;" "&amp;INDEX('設定'!$I$11:$I$34,AD3),"")</f>
        <v/>
      </c>
      <c r="AE8">
        <f>IF(AE4=1,INDEX('設定'!$E$11:$E$16,AE2)&amp;" "&amp;INDEX('設定'!$I$11:$I$34,AE3),"")</f>
        <v/>
      </c>
      <c r="AF8">
        <f>IF(AF4=1,INDEX('設定'!$E$11:$E$16,AF2)&amp;" "&amp;INDEX('設定'!$I$11:$I$34,AF3),"")</f>
        <v/>
      </c>
      <c r="AG8">
        <f>IF(AG4=1,INDEX('設定'!$E$11:$E$16,AG2)&amp;" "&amp;INDEX('設定'!$I$11:$I$34,AG3),"")</f>
        <v/>
      </c>
      <c r="AH8">
        <f>IF(AH4=1,INDEX('設定'!$E$11:$E$16,AH2)&amp;" "&amp;INDEX('設定'!$I$11:$I$34,AH3),"")</f>
        <v/>
      </c>
      <c r="AI8">
        <f>IF(AI4=1,INDEX('設定'!$E$11:$E$16,AI2)&amp;" "&amp;INDEX('設定'!$I$11:$I$34,AI3),"")</f>
        <v/>
      </c>
      <c r="AJ8">
        <f>IF(AJ4=1,INDEX('設定'!$E$11:$E$16,AJ2)&amp;" "&amp;INDEX('設定'!$I$11:$I$34,AJ3),"")</f>
        <v/>
      </c>
      <c r="AK8">
        <f>IF(AK4=1,INDEX('設定'!$E$11:$E$16,AK2)&amp;" "&amp;INDEX('設定'!$I$11:$I$34,AK3),"")</f>
        <v/>
      </c>
      <c r="AL8">
        <f>IF(AL4=1,INDEX('設定'!$E$11:$E$16,AL2)&amp;" "&amp;INDEX('設定'!$I$11:$I$34,AL3),"")</f>
        <v/>
      </c>
      <c r="AM8">
        <f>IF(AM4=1,INDEX('設定'!$E$11:$E$16,AM2)&amp;" "&amp;INDEX('設定'!$I$11:$I$34,AM3),"")</f>
        <v/>
      </c>
      <c r="AN8">
        <f>IF(AN4=1,INDEX('設定'!$E$11:$E$16,AN2)&amp;" "&amp;INDEX('設定'!$I$11:$I$34,AN3),"")</f>
        <v/>
      </c>
      <c r="AO8">
        <f>IF(AO4=1,INDEX('設定'!$E$11:$E$16,AO2)&amp;" "&amp;INDEX('設定'!$I$11:$I$34,AO3),"")</f>
        <v/>
      </c>
      <c r="AP8">
        <f>IF(AP4=1,INDEX('設定'!$E$11:$E$16,AP2)&amp;" "&amp;INDEX('設定'!$I$11:$I$34,AP3),"")</f>
        <v/>
      </c>
      <c r="AQ8">
        <f>IF(AQ4=1,INDEX('設定'!$E$11:$E$16,AQ2)&amp;" "&amp;INDEX('設定'!$I$11:$I$34,AQ3),"")</f>
        <v/>
      </c>
      <c r="AR8">
        <f>IF(AR4=1,INDEX('設定'!$E$11:$E$16,AR2)&amp;" "&amp;INDEX('設定'!$I$11:$I$34,AR3),"")</f>
        <v/>
      </c>
      <c r="AS8">
        <f>IF(AS4=1,INDEX('設定'!$E$11:$E$16,AS2)&amp;" "&amp;INDEX('設定'!$I$11:$I$34,AS3),"")</f>
        <v/>
      </c>
      <c r="AT8">
        <f>IF(AT4=1,INDEX('設定'!$E$11:$E$16,AT2)&amp;" "&amp;INDEX('設定'!$I$11:$I$34,AT3),"")</f>
        <v/>
      </c>
      <c r="AU8">
        <f>IF(AU4=1,INDEX('設定'!$E$11:$E$16,AU2)&amp;" "&amp;INDEX('設定'!$I$11:$I$34,AU3),"")</f>
        <v/>
      </c>
      <c r="AV8">
        <f>IF(AV4=1,INDEX('設定'!$E$11:$E$16,AV2)&amp;" "&amp;INDEX('設定'!$I$11:$I$34,AV3),"")</f>
        <v/>
      </c>
      <c r="AW8">
        <f>IF(AW4=1,INDEX('設定'!$E$11:$E$16,AW2)&amp;" "&amp;INDEX('設定'!$I$11:$I$34,AW3),"")</f>
        <v/>
      </c>
      <c r="AX8">
        <f>IF(AX4=1,INDEX('設定'!$E$11:$E$16,AX2)&amp;" "&amp;INDEX('設定'!$I$11:$I$34,AX3),"")</f>
        <v/>
      </c>
      <c r="AY8">
        <f>IF(AY4=1,INDEX('設定'!$E$11:$E$16,AY2)&amp;" "&amp;INDEX('設定'!$I$11:$I$34,AY3),"")</f>
        <v/>
      </c>
      <c r="AZ8">
        <f>IF(AZ4=1,INDEX('設定'!$E$11:$E$16,AZ2)&amp;" "&amp;INDEX('設定'!$I$11:$I$34,AZ3),"")</f>
        <v/>
      </c>
      <c r="BA8">
        <f>IF(BA4=1,INDEX('設定'!$E$11:$E$16,BA2)&amp;" "&amp;INDEX('設定'!$I$11:$I$34,BA3),"")</f>
        <v/>
      </c>
      <c r="BB8">
        <f>IF(BB4=1,INDEX('設定'!$E$11:$E$16,BB2)&amp;" "&amp;INDEX('設定'!$I$11:$I$34,BB3),"")</f>
        <v/>
      </c>
      <c r="BC8">
        <f>IF(BC4=1,INDEX('設定'!$E$11:$E$16,BC2)&amp;" "&amp;INDEX('設定'!$I$11:$I$34,BC3),"")</f>
        <v/>
      </c>
      <c r="BD8">
        <f>IF(BD4=1,INDEX('設定'!$E$11:$E$16,BD2)&amp;" "&amp;INDEX('設定'!$I$11:$I$34,BD3),"")</f>
        <v/>
      </c>
      <c r="BE8">
        <f>IF(BE4=1,INDEX('設定'!$E$11:$E$16,BE2)&amp;" "&amp;INDEX('設定'!$I$11:$I$34,BE3),"")</f>
        <v/>
      </c>
      <c r="BF8">
        <f>IF(BF4=1,INDEX('設定'!$E$11:$E$16,BF2)&amp;" "&amp;INDEX('設定'!$I$11:$I$34,BF3),"")</f>
        <v/>
      </c>
      <c r="BG8">
        <f>IF(BG4=1,INDEX('設定'!$E$11:$E$16,BG2)&amp;" "&amp;INDEX('設定'!$I$11:$I$34,BG3),"")</f>
        <v/>
      </c>
      <c r="BH8">
        <f>IF(BH4=1,INDEX('設定'!$E$11:$E$16,BH2)&amp;" "&amp;INDEX('設定'!$I$11:$I$34,BH3),"")</f>
        <v/>
      </c>
      <c r="BI8">
        <f>IF(BI4=1,INDEX('設定'!$E$11:$E$16,BI2)&amp;" "&amp;INDEX('設定'!$I$11:$I$34,BI3),"")</f>
        <v/>
      </c>
      <c r="BJ8">
        <f>IF(BJ4=1,INDEX('設定'!$E$11:$E$16,BJ2)&amp;" "&amp;INDEX('設定'!$I$11:$I$34,BJ3),"")</f>
        <v/>
      </c>
      <c r="BK8">
        <f>IF(BK4=1,INDEX('設定'!$E$11:$E$16,BK2)&amp;" "&amp;INDEX('設定'!$I$11:$I$34,BK3),"")</f>
        <v/>
      </c>
      <c r="BL8">
        <f>IF(BL4=1,INDEX('設定'!$E$11:$E$16,BL2)&amp;" "&amp;INDEX('設定'!$I$11:$I$34,BL3),"")</f>
        <v/>
      </c>
      <c r="BM8">
        <f>IF(BM4=1,INDEX('設定'!$E$11:$E$16,BM2)&amp;" "&amp;INDEX('設定'!$I$11:$I$34,BM3),"")</f>
        <v/>
      </c>
      <c r="BN8">
        <f>IF(BN4=1,INDEX('設定'!$E$11:$E$16,BN2)&amp;" "&amp;INDEX('設定'!$I$11:$I$34,BN3),"")</f>
        <v/>
      </c>
      <c r="BO8">
        <f>IF(BO4=1,INDEX('設定'!$E$11:$E$16,BO2)&amp;" "&amp;INDEX('設定'!$I$11:$I$34,BO3),"")</f>
        <v/>
      </c>
      <c r="BP8">
        <f>IF(BP4=1,INDEX('設定'!$E$11:$E$16,BP2)&amp;" "&amp;INDEX('設定'!$I$11:$I$34,BP3),"")</f>
        <v/>
      </c>
      <c r="BQ8">
        <f>IF(BQ4=1,INDEX('設定'!$E$11:$E$16,BQ2)&amp;" "&amp;INDEX('設定'!$I$11:$I$34,BQ3),"")</f>
        <v/>
      </c>
      <c r="BR8">
        <f>IF(BR4=1,INDEX('設定'!$E$11:$E$16,BR2)&amp;" "&amp;INDEX('設定'!$I$11:$I$34,BR3),"")</f>
        <v/>
      </c>
      <c r="BS8">
        <f>IF(BS4=1,INDEX('設定'!$E$11:$E$16,BS2)&amp;" "&amp;INDEX('設定'!$I$11:$I$34,BS3),"")</f>
        <v/>
      </c>
      <c r="BT8">
        <f>IF(BT4=1,INDEX('設定'!$E$11:$E$16,BT2)&amp;" "&amp;INDEX('設定'!$I$11:$I$34,BT3),"")</f>
        <v/>
      </c>
      <c r="BU8">
        <f>IF(BU4=1,INDEX('設定'!$E$11:$E$16,BU2)&amp;" "&amp;INDEX('設定'!$I$11:$I$34,BU3),"")</f>
        <v/>
      </c>
      <c r="BV8">
        <f>IF(BV4=1,INDEX('設定'!$E$11:$E$16,BV2)&amp;" "&amp;INDEX('設定'!$I$11:$I$34,BV3),"")</f>
        <v/>
      </c>
      <c r="BW8">
        <f>IF(BW4=1,INDEX('設定'!$E$11:$E$16,BW2)&amp;" "&amp;INDEX('設定'!$I$11:$I$34,BW3),"")</f>
        <v/>
      </c>
      <c r="BX8">
        <f>IF(BX4=1,INDEX('設定'!$E$11:$E$16,BX2)&amp;" "&amp;INDEX('設定'!$I$11:$I$34,BX3),"")</f>
        <v/>
      </c>
      <c r="BY8">
        <f>IF(BY4=1,INDEX('設定'!$E$11:$E$16,BY2)&amp;" "&amp;INDEX('設定'!$I$11:$I$34,BY3),"")</f>
        <v/>
      </c>
      <c r="BZ8">
        <f>IF(BZ4=1,INDEX('設定'!$E$11:$E$16,BZ2)&amp;" "&amp;INDEX('設定'!$I$11:$I$34,BZ3),"")</f>
        <v/>
      </c>
      <c r="CA8">
        <f>IF(CA4=1,INDEX('設定'!$E$11:$E$16,CA2)&amp;" "&amp;INDEX('設定'!$I$11:$I$34,CA3),"")</f>
        <v/>
      </c>
      <c r="CB8">
        <f>IF(CB4=1,INDEX('設定'!$E$11:$E$16,CB2)&amp;" "&amp;INDEX('設定'!$I$11:$I$34,CB3),"")</f>
        <v/>
      </c>
      <c r="CC8">
        <f>IF(CC4=1,INDEX('設定'!$E$11:$E$16,CC2)&amp;" "&amp;INDEX('設定'!$I$11:$I$34,CC3),"")</f>
        <v/>
      </c>
      <c r="CD8">
        <f>IF(CD4=1,INDEX('設定'!$E$11:$E$16,CD2)&amp;" "&amp;INDEX('設定'!$I$11:$I$34,CD3),"")</f>
        <v/>
      </c>
      <c r="CE8">
        <f>IF(CE4=1,INDEX('設定'!$E$11:$E$16,CE2)&amp;" "&amp;INDEX('設定'!$I$11:$I$34,CE3),"")</f>
        <v/>
      </c>
      <c r="CF8">
        <f>IF(CF4=1,INDEX('設定'!$E$11:$E$16,CF2)&amp;" "&amp;INDEX('設定'!$I$11:$I$34,CF3),"")</f>
        <v/>
      </c>
      <c r="CG8">
        <f>IF(CG4=1,INDEX('設定'!$E$11:$E$16,CG2)&amp;" "&amp;INDEX('設定'!$I$11:$I$34,CG3),"")</f>
        <v/>
      </c>
      <c r="CH8">
        <f>IF(CH4=1,INDEX('設定'!$E$11:$E$16,CH2)&amp;" "&amp;INDEX('設定'!$I$11:$I$34,CH3),"")</f>
        <v/>
      </c>
      <c r="CI8">
        <f>IF(CI4=1,INDEX('設定'!$E$11:$E$16,CI2)&amp;" "&amp;INDEX('設定'!$I$11:$I$34,CI3),"")</f>
        <v/>
      </c>
      <c r="CJ8">
        <f>IF(CJ4=1,INDEX('設定'!$E$11:$E$16,CJ2)&amp;" "&amp;INDEX('設定'!$I$11:$I$34,CJ3),"")</f>
        <v/>
      </c>
      <c r="CK8">
        <f>IF(CK4=1,INDEX('設定'!$E$11:$E$16,CK2)&amp;" "&amp;INDEX('設定'!$I$11:$I$34,CK3),"")</f>
        <v/>
      </c>
      <c r="CL8">
        <f>IF(CL4=1,INDEX('設定'!$E$11:$E$16,CL2)&amp;" "&amp;INDEX('設定'!$I$11:$I$34,CL3),"")</f>
        <v/>
      </c>
      <c r="CM8">
        <f>IF(CM4=1,INDEX('設定'!$E$11:$E$16,CM2)&amp;" "&amp;INDEX('設定'!$I$11:$I$34,CM3),"")</f>
        <v/>
      </c>
      <c r="CN8">
        <f>IF(CN4=1,INDEX('設定'!$E$11:$E$16,CN2)&amp;" "&amp;INDEX('設定'!$I$11:$I$34,CN3),"")</f>
        <v/>
      </c>
      <c r="CO8">
        <f>IF(CO4=1,INDEX('設定'!$E$11:$E$16,CO2)&amp;" "&amp;INDEX('設定'!$I$11:$I$34,CO3),"")</f>
        <v/>
      </c>
      <c r="CP8">
        <f>IF(CP4=1,INDEX('設定'!$E$11:$E$16,CP2)&amp;" "&amp;INDEX('設定'!$I$11:$I$34,CP3),"")</f>
        <v/>
      </c>
      <c r="CQ8">
        <f>IF(CQ4=1,INDEX('設定'!$E$11:$E$16,CQ2)&amp;" "&amp;INDEX('設定'!$I$11:$I$34,CQ3),"")</f>
        <v/>
      </c>
      <c r="CR8">
        <f>IF(CR4=1,INDEX('設定'!$E$11:$E$16,CR2)&amp;" "&amp;INDEX('設定'!$I$11:$I$34,CR3),"")</f>
        <v/>
      </c>
      <c r="CS8">
        <f>IF(CS4=1,INDEX('設定'!$E$11:$E$16,CS2)&amp;" "&amp;INDEX('設定'!$I$11:$I$34,CS3),"")</f>
        <v/>
      </c>
      <c r="CT8">
        <f>IF(CT4=1,INDEX('設定'!$E$11:$E$16,CT2)&amp;" "&amp;INDEX('設定'!$I$11:$I$34,CT3),"")</f>
        <v/>
      </c>
      <c r="CU8">
        <f>IF(CU4=1,INDEX('設定'!$E$11:$E$16,CU2)&amp;" "&amp;INDEX('設定'!$I$11:$I$34,CU3),"")</f>
        <v/>
      </c>
      <c r="CV8">
        <f>IF(CV4=1,INDEX('設定'!$E$11:$E$16,CV2)&amp;" "&amp;INDEX('設定'!$I$11:$I$34,CV3),"")</f>
        <v/>
      </c>
      <c r="CW8">
        <f>IF(CW4=1,INDEX('設定'!$E$11:$E$16,CW2)&amp;" "&amp;INDEX('設定'!$I$11:$I$34,CW3),"")</f>
        <v/>
      </c>
      <c r="CX8">
        <f>IF(CX4=1,INDEX('設定'!$E$11:$E$16,CX2)&amp;" "&amp;INDEX('設定'!$I$11:$I$34,CX3),"")</f>
        <v/>
      </c>
      <c r="CY8">
        <f>IF(CY4=1,INDEX('設定'!$E$11:$E$16,CY2)&amp;" "&amp;INDEX('設定'!$I$11:$I$34,CY3),"")</f>
        <v/>
      </c>
      <c r="CZ8">
        <f>IF(CZ4=1,INDEX('設定'!$E$11:$E$16,CZ2)&amp;" "&amp;INDEX('設定'!$I$11:$I$34,CZ3),"")</f>
        <v/>
      </c>
      <c r="DA8">
        <f>IF(DA4=1,INDEX('設定'!$E$11:$E$16,DA2)&amp;" "&amp;INDEX('設定'!$I$11:$I$34,DA3),"")</f>
        <v/>
      </c>
      <c r="DB8">
        <f>IF(DB4=1,INDEX('設定'!$E$11:$E$16,DB2)&amp;" "&amp;INDEX('設定'!$I$11:$I$34,DB3),"")</f>
        <v/>
      </c>
      <c r="DC8">
        <f>IF(DC4=1,INDEX('設定'!$E$11:$E$16,DC2)&amp;" "&amp;INDEX('設定'!$I$11:$I$34,DC3),"")</f>
        <v/>
      </c>
      <c r="DD8">
        <f>IF(DD4=1,INDEX('設定'!$E$11:$E$16,DD2)&amp;" "&amp;INDEX('設定'!$I$11:$I$34,DD3),"")</f>
        <v/>
      </c>
      <c r="DE8">
        <f>IF(DE4=1,INDEX('設定'!$E$11:$E$16,DE2)&amp;" "&amp;INDEX('設定'!$I$11:$I$34,DE3),"")</f>
        <v/>
      </c>
      <c r="DF8">
        <f>IF(DF4=1,INDEX('設定'!$E$11:$E$16,DF2)&amp;" "&amp;INDEX('設定'!$I$11:$I$34,DF3),"")</f>
        <v/>
      </c>
      <c r="DG8">
        <f>IF(DG4=1,INDEX('設定'!$E$11:$E$16,DG2)&amp;" "&amp;INDEX('設定'!$I$11:$I$34,DG3),"")</f>
        <v/>
      </c>
      <c r="DH8">
        <f>IF(DH4=1,INDEX('設定'!$E$11:$E$16,DH2)&amp;" "&amp;INDEX('設定'!$I$11:$I$34,DH3),"")</f>
        <v/>
      </c>
      <c r="DI8">
        <f>IF(DI4=1,INDEX('設定'!$E$11:$E$16,DI2)&amp;" "&amp;INDEX('設定'!$I$11:$I$34,DI3),"")</f>
        <v/>
      </c>
      <c r="DJ8">
        <f>IF(DJ4=1,INDEX('設定'!$E$11:$E$16,DJ2)&amp;" "&amp;INDEX('設定'!$I$11:$I$34,DJ3),"")</f>
        <v/>
      </c>
      <c r="DK8">
        <f>IF(DK4=1,INDEX('設定'!$E$11:$E$16,DK2)&amp;" "&amp;INDEX('設定'!$I$11:$I$34,DK3),"")</f>
        <v/>
      </c>
      <c r="DL8">
        <f>IF(DL4=1,INDEX('設定'!$E$11:$E$16,DL2)&amp;" "&amp;INDEX('設定'!$I$11:$I$34,DL3),"")</f>
        <v/>
      </c>
      <c r="DM8">
        <f>IF(DM4=1,INDEX('設定'!$E$11:$E$16,DM2)&amp;" "&amp;INDEX('設定'!$I$11:$I$34,DM3),"")</f>
        <v/>
      </c>
      <c r="DN8">
        <f>IF(DN4=1,INDEX('設定'!$E$11:$E$16,DN2)&amp;" "&amp;INDEX('設定'!$I$11:$I$34,DN3),"")</f>
        <v/>
      </c>
      <c r="DO8">
        <f>IF(DO4=1,INDEX('設定'!$E$11:$E$16,DO2)&amp;" "&amp;INDEX('設定'!$I$11:$I$34,DO3),"")</f>
        <v/>
      </c>
      <c r="DP8">
        <f>IF(DP4=1,INDEX('設定'!$E$11:$E$16,DP2)&amp;" "&amp;INDEX('設定'!$I$11:$I$34,DP3),"")</f>
        <v/>
      </c>
      <c r="DQ8">
        <f>IF(DQ4=1,INDEX('設定'!$E$11:$E$16,DQ2)&amp;" "&amp;INDEX('設定'!$I$11:$I$34,DQ3),"")</f>
        <v/>
      </c>
      <c r="DR8">
        <f>IF(DR4=1,INDEX('設定'!$E$11:$E$16,DR2)&amp;" "&amp;INDEX('設定'!$I$11:$I$34,DR3),"")</f>
        <v/>
      </c>
      <c r="DS8">
        <f>IF(DS4=1,INDEX('設定'!$E$11:$E$16,DS2)&amp;" "&amp;INDEX('設定'!$I$11:$I$34,DS3),"")</f>
        <v/>
      </c>
      <c r="DT8">
        <f>IF(DT4=1,INDEX('設定'!$E$11:$E$16,DT2)&amp;" "&amp;INDEX('設定'!$I$11:$I$34,DT3),"")</f>
        <v/>
      </c>
      <c r="DU8">
        <f>IF(DU4=1,INDEX('設定'!$E$11:$E$16,DU2)&amp;" "&amp;INDEX('設定'!$I$11:$I$34,DU3),"")</f>
        <v/>
      </c>
      <c r="DV8">
        <f>IF(DV4=1,INDEX('設定'!$E$11:$E$16,DV2)&amp;" "&amp;INDEX('設定'!$I$11:$I$34,DV3),"")</f>
        <v/>
      </c>
      <c r="DW8">
        <f>IF(DW4=1,INDEX('設定'!$E$11:$E$16,DW2)&amp;" "&amp;INDEX('設定'!$I$11:$I$34,DW3),"")</f>
        <v/>
      </c>
      <c r="DX8">
        <f>IF(DX4=1,INDEX('設定'!$E$11:$E$16,DX2)&amp;" "&amp;INDEX('設定'!$I$11:$I$34,DX3),"")</f>
        <v/>
      </c>
      <c r="DY8">
        <f>IF(DY4=1,INDEX('設定'!$E$11:$E$16,DY2)&amp;" "&amp;INDEX('設定'!$I$11:$I$34,DY3),"")</f>
        <v/>
      </c>
      <c r="DZ8">
        <f>IF(DZ4=1,INDEX('設定'!$E$11:$E$16,DZ2)&amp;" "&amp;INDEX('設定'!$I$11:$I$34,DZ3),"")</f>
        <v/>
      </c>
      <c r="EA8">
        <f>IF(EA4=1,INDEX('設定'!$E$11:$E$16,EA2)&amp;" "&amp;INDEX('設定'!$I$11:$I$34,EA3),"")</f>
        <v/>
      </c>
      <c r="EB8">
        <f>IF(EB4=1,INDEX('設定'!$E$11:$E$16,EB2)&amp;" "&amp;INDEX('設定'!$I$11:$I$34,EB3),"")</f>
        <v/>
      </c>
      <c r="EC8">
        <f>IF(EC4=1,INDEX('設定'!$E$11:$E$16,EC2)&amp;" "&amp;INDEX('設定'!$I$11:$I$34,EC3),"")</f>
        <v/>
      </c>
      <c r="ED8">
        <f>IF(ED4=1,INDEX('設定'!$E$11:$E$16,ED2)&amp;" "&amp;INDEX('設定'!$I$11:$I$34,ED3),"")</f>
        <v/>
      </c>
      <c r="EE8">
        <f>IF(EE4=1,INDEX('設定'!$E$11:$E$16,EE2)&amp;" "&amp;INDEX('設定'!$I$11:$I$34,EE3),"")</f>
        <v/>
      </c>
      <c r="EF8">
        <f>IF(EF4=1,INDEX('設定'!$E$11:$E$16,EF2)&amp;" "&amp;INDEX('設定'!$I$11:$I$34,EF3),"")</f>
        <v/>
      </c>
      <c r="EG8">
        <f>IF(EG4=1,INDEX('設定'!$E$11:$E$16,EG2)&amp;" "&amp;INDEX('設定'!$I$11:$I$34,EG3),"")</f>
        <v/>
      </c>
      <c r="EH8">
        <f>IF(EH4=1,INDEX('設定'!$E$11:$E$16,EH2)&amp;" "&amp;INDEX('設定'!$I$11:$I$34,EH3),"")</f>
        <v/>
      </c>
      <c r="EI8">
        <f>IF(EI4=1,INDEX('設定'!$E$11:$E$16,EI2)&amp;" "&amp;INDEX('設定'!$I$11:$I$34,EI3),"")</f>
        <v/>
      </c>
      <c r="EJ8">
        <f>IF(EJ4=1,INDEX('設定'!$E$11:$E$16,EJ2)&amp;" "&amp;INDEX('設定'!$I$11:$I$34,EJ3),"")</f>
        <v/>
      </c>
      <c r="EK8">
        <f>IF(EK4=1,INDEX('設定'!$E$11:$E$16,EK2)&amp;" "&amp;INDEX('設定'!$I$11:$I$34,EK3),"")</f>
        <v/>
      </c>
      <c r="EL8">
        <f>IF(EL4=1,INDEX('設定'!$E$11:$E$16,EL2)&amp;" "&amp;INDEX('設定'!$I$11:$I$34,EL3),"")</f>
        <v/>
      </c>
      <c r="EM8">
        <f>IF(EM4=1,INDEX('設定'!$E$11:$E$16,EM2)&amp;" "&amp;INDEX('設定'!$I$11:$I$34,EM3),"")</f>
        <v/>
      </c>
      <c r="EN8">
        <f>IF(EN4=1,INDEX('設定'!$E$11:$E$16,EN2)&amp;" "&amp;INDEX('設定'!$I$11:$I$34,EN3),"")</f>
        <v/>
      </c>
      <c r="EO8">
        <f>IF(EO4=1,INDEX('設定'!$E$11:$E$16,EO2)&amp;" "&amp;INDEX('設定'!$I$11:$I$34,EO3),"")</f>
        <v/>
      </c>
      <c r="EP8">
        <f>IF(EP4=1,INDEX('設定'!$E$11:$E$16,EP2)&amp;" "&amp;INDEX('設定'!$I$11:$I$34,EP3),"")</f>
        <v/>
      </c>
      <c r="EQ8">
        <f>IF(EQ4=1,INDEX('設定'!$E$11:$E$16,EQ2)&amp;" "&amp;INDEX('設定'!$I$11:$I$34,EQ3),"")</f>
        <v/>
      </c>
    </row>
    <row r="9">
      <c r="A9" t="inlineStr">
        <is>
          <t>i</t>
        </is>
      </c>
      <c r="B9" t="inlineStr">
        <is>
          <t>表示名</t>
        </is>
      </c>
      <c r="C9" t="inlineStr">
        <is>
          <t>自動の対象</t>
        </is>
      </c>
      <c r="IK9" t="inlineStr">
        <is>
          <t>自動案Aの枠</t>
        </is>
      </c>
      <c r="IL9" t="inlineStr">
        <is>
          <t>Aで入らない</t>
        </is>
      </c>
      <c r="IM9" t="inlineStr">
        <is>
          <t>空き枠数</t>
        </is>
      </c>
      <c r="IN9" t="inlineStr">
        <is>
          <t>×の数</t>
        </is>
      </c>
      <c r="IO9" t="inlineStr">
        <is>
          <t>決定した枠</t>
        </is>
      </c>
      <c r="IP9" t="inlineStr">
        <is>
          <t>希望</t>
        </is>
      </c>
      <c r="IQ9" t="inlineStr">
        <is>
          <t>後ろ空け</t>
        </is>
      </c>
      <c r="IR9" t="inlineStr">
        <is>
          <t>自動案Bの枠</t>
        </is>
      </c>
      <c r="IS9" t="inlineStr">
        <is>
          <t>Bで入らない</t>
        </is>
      </c>
      <c r="IT9" t="inlineStr">
        <is>
          <t>兄弟①の枠</t>
        </is>
      </c>
      <c r="IV9" t="inlineStr">
        <is>
          <t>兄弟の前後OK</t>
        </is>
      </c>
      <c r="IW9" t="inlineStr">
        <is>
          <t>兄弟あり</t>
        </is>
      </c>
      <c r="IX9" t="inlineStr">
        <is>
          <t>空けない</t>
        </is>
      </c>
      <c r="IY9" t="inlineStr">
        <is>
          <t>兄弟②の枠</t>
        </is>
      </c>
      <c r="IZ9" t="inlineStr">
        <is>
          <t>兄弟③の枠</t>
        </is>
      </c>
      <c r="JC9" t="inlineStr">
        <is>
          <t>①順番</t>
        </is>
      </c>
      <c r="JD9" t="inlineStr">
        <is>
          <t>②順番</t>
        </is>
      </c>
      <c r="JE9" t="inlineStr">
        <is>
          <t>③順番</t>
        </is>
      </c>
      <c r="JF9" t="inlineStr">
        <is>
          <t>兄弟の時間あり</t>
        </is>
      </c>
      <c r="JG9" t="inlineStr">
        <is>
          <t>表にない日時</t>
        </is>
      </c>
    </row>
    <row r="10">
      <c r="A10" t="n">
        <v>1</v>
      </c>
      <c r="B10">
        <f>'名簿'!P5</f>
        <v/>
      </c>
      <c r="C10">
        <f>IF(AND(B10&lt;&gt;"",OR('名簿'!Q5="入力済み",'名簿'!Q5="×なし"),IO10=0,COUNTIF('調整・決定'!$C$6:$H$29,B10)=0),1,0)</f>
        <v/>
      </c>
      <c r="D10">
        <f>IF(D$4=1,IF(OR(INDEX('×入力'!$A$1:$L$1300,7+D$3,2+D$2)&lt;&gt;"",INDEX('×入力'!$A$1:$L$1300,6,2+D$2)&lt;&gt;"",INDEX('×入力'!$A$1:$L$1300,7+D$3,1)&lt;&gt;""),1,0),0)</f>
        <v/>
      </c>
      <c r="E10">
        <f>IF(E$4=1,IF(OR(INDEX('×入力'!$A$1:$L$1300,7+E$3,2+E$2)&lt;&gt;"",INDEX('×入力'!$A$1:$L$1300,6,2+E$2)&lt;&gt;"",INDEX('×入力'!$A$1:$L$1300,7+E$3,1)&lt;&gt;""),1,0),0)</f>
        <v/>
      </c>
      <c r="F10">
        <f>IF(F$4=1,IF(OR(INDEX('×入力'!$A$1:$L$1300,7+F$3,2+F$2)&lt;&gt;"",INDEX('×入力'!$A$1:$L$1300,6,2+F$2)&lt;&gt;"",INDEX('×入力'!$A$1:$L$1300,7+F$3,1)&lt;&gt;""),1,0),0)</f>
        <v/>
      </c>
      <c r="G10">
        <f>IF(G$4=1,IF(OR(INDEX('×入力'!$A$1:$L$1300,7+G$3,2+G$2)&lt;&gt;"",INDEX('×入力'!$A$1:$L$1300,6,2+G$2)&lt;&gt;"",INDEX('×入力'!$A$1:$L$1300,7+G$3,1)&lt;&gt;""),1,0),0)</f>
        <v/>
      </c>
      <c r="H10">
        <f>IF(H$4=1,IF(OR(INDEX('×入力'!$A$1:$L$1300,7+H$3,2+H$2)&lt;&gt;"",INDEX('×入力'!$A$1:$L$1300,6,2+H$2)&lt;&gt;"",INDEX('×入力'!$A$1:$L$1300,7+H$3,1)&lt;&gt;""),1,0),0)</f>
        <v/>
      </c>
      <c r="I10">
        <f>IF(I$4=1,IF(OR(INDEX('×入力'!$A$1:$L$1300,7+I$3,2+I$2)&lt;&gt;"",INDEX('×入力'!$A$1:$L$1300,6,2+I$2)&lt;&gt;"",INDEX('×入力'!$A$1:$L$1300,7+I$3,1)&lt;&gt;""),1,0),0)</f>
        <v/>
      </c>
      <c r="J10">
        <f>IF(J$4=1,IF(OR(INDEX('×入力'!$A$1:$L$1300,7+J$3,2+J$2)&lt;&gt;"",INDEX('×入力'!$A$1:$L$1300,6,2+J$2)&lt;&gt;"",INDEX('×入力'!$A$1:$L$1300,7+J$3,1)&lt;&gt;""),1,0),0)</f>
        <v/>
      </c>
      <c r="K10">
        <f>IF(K$4=1,IF(OR(INDEX('×入力'!$A$1:$L$1300,7+K$3,2+K$2)&lt;&gt;"",INDEX('×入力'!$A$1:$L$1300,6,2+K$2)&lt;&gt;"",INDEX('×入力'!$A$1:$L$1300,7+K$3,1)&lt;&gt;""),1,0),0)</f>
        <v/>
      </c>
      <c r="L10">
        <f>IF(L$4=1,IF(OR(INDEX('×入力'!$A$1:$L$1300,7+L$3,2+L$2)&lt;&gt;"",INDEX('×入力'!$A$1:$L$1300,6,2+L$2)&lt;&gt;"",INDEX('×入力'!$A$1:$L$1300,7+L$3,1)&lt;&gt;""),1,0),0)</f>
        <v/>
      </c>
      <c r="M10">
        <f>IF(M$4=1,IF(OR(INDEX('×入力'!$A$1:$L$1300,7+M$3,2+M$2)&lt;&gt;"",INDEX('×入力'!$A$1:$L$1300,6,2+M$2)&lt;&gt;"",INDEX('×入力'!$A$1:$L$1300,7+M$3,1)&lt;&gt;""),1,0),0)</f>
        <v/>
      </c>
      <c r="N10">
        <f>IF(N$4=1,IF(OR(INDEX('×入力'!$A$1:$L$1300,7+N$3,2+N$2)&lt;&gt;"",INDEX('×入力'!$A$1:$L$1300,6,2+N$2)&lt;&gt;"",INDEX('×入力'!$A$1:$L$1300,7+N$3,1)&lt;&gt;""),1,0),0)</f>
        <v/>
      </c>
      <c r="O10">
        <f>IF(O$4=1,IF(OR(INDEX('×入力'!$A$1:$L$1300,7+O$3,2+O$2)&lt;&gt;"",INDEX('×入力'!$A$1:$L$1300,6,2+O$2)&lt;&gt;"",INDEX('×入力'!$A$1:$L$1300,7+O$3,1)&lt;&gt;""),1,0),0)</f>
        <v/>
      </c>
      <c r="P10">
        <f>IF(P$4=1,IF(OR(INDEX('×入力'!$A$1:$L$1300,7+P$3,2+P$2)&lt;&gt;"",INDEX('×入力'!$A$1:$L$1300,6,2+P$2)&lt;&gt;"",INDEX('×入力'!$A$1:$L$1300,7+P$3,1)&lt;&gt;""),1,0),0)</f>
        <v/>
      </c>
      <c r="Q10">
        <f>IF(Q$4=1,IF(OR(INDEX('×入力'!$A$1:$L$1300,7+Q$3,2+Q$2)&lt;&gt;"",INDEX('×入力'!$A$1:$L$1300,6,2+Q$2)&lt;&gt;"",INDEX('×入力'!$A$1:$L$1300,7+Q$3,1)&lt;&gt;""),1,0),0)</f>
        <v/>
      </c>
      <c r="R10">
        <f>IF(R$4=1,IF(OR(INDEX('×入力'!$A$1:$L$1300,7+R$3,2+R$2)&lt;&gt;"",INDEX('×入力'!$A$1:$L$1300,6,2+R$2)&lt;&gt;"",INDEX('×入力'!$A$1:$L$1300,7+R$3,1)&lt;&gt;""),1,0),0)</f>
        <v/>
      </c>
      <c r="S10">
        <f>IF(S$4=1,IF(OR(INDEX('×入力'!$A$1:$L$1300,7+S$3,2+S$2)&lt;&gt;"",INDEX('×入力'!$A$1:$L$1300,6,2+S$2)&lt;&gt;"",INDEX('×入力'!$A$1:$L$1300,7+S$3,1)&lt;&gt;""),1,0),0)</f>
        <v/>
      </c>
      <c r="T10">
        <f>IF(T$4=1,IF(OR(INDEX('×入力'!$A$1:$L$1300,7+T$3,2+T$2)&lt;&gt;"",INDEX('×入力'!$A$1:$L$1300,6,2+T$2)&lt;&gt;"",INDEX('×入力'!$A$1:$L$1300,7+T$3,1)&lt;&gt;""),1,0),0)</f>
        <v/>
      </c>
      <c r="U10">
        <f>IF(U$4=1,IF(OR(INDEX('×入力'!$A$1:$L$1300,7+U$3,2+U$2)&lt;&gt;"",INDEX('×入力'!$A$1:$L$1300,6,2+U$2)&lt;&gt;"",INDEX('×入力'!$A$1:$L$1300,7+U$3,1)&lt;&gt;""),1,0),0)</f>
        <v/>
      </c>
      <c r="V10">
        <f>IF(V$4=1,IF(OR(INDEX('×入力'!$A$1:$L$1300,7+V$3,2+V$2)&lt;&gt;"",INDEX('×入力'!$A$1:$L$1300,6,2+V$2)&lt;&gt;"",INDEX('×入力'!$A$1:$L$1300,7+V$3,1)&lt;&gt;""),1,0),0)</f>
        <v/>
      </c>
      <c r="W10">
        <f>IF(W$4=1,IF(OR(INDEX('×入力'!$A$1:$L$1300,7+W$3,2+W$2)&lt;&gt;"",INDEX('×入力'!$A$1:$L$1300,6,2+W$2)&lt;&gt;"",INDEX('×入力'!$A$1:$L$1300,7+W$3,1)&lt;&gt;""),1,0),0)</f>
        <v/>
      </c>
      <c r="X10">
        <f>IF(X$4=1,IF(OR(INDEX('×入力'!$A$1:$L$1300,7+X$3,2+X$2)&lt;&gt;"",INDEX('×入力'!$A$1:$L$1300,6,2+X$2)&lt;&gt;"",INDEX('×入力'!$A$1:$L$1300,7+X$3,1)&lt;&gt;""),1,0),0)</f>
        <v/>
      </c>
      <c r="Y10">
        <f>IF(Y$4=1,IF(OR(INDEX('×入力'!$A$1:$L$1300,7+Y$3,2+Y$2)&lt;&gt;"",INDEX('×入力'!$A$1:$L$1300,6,2+Y$2)&lt;&gt;"",INDEX('×入力'!$A$1:$L$1300,7+Y$3,1)&lt;&gt;""),1,0),0)</f>
        <v/>
      </c>
      <c r="Z10">
        <f>IF(Z$4=1,IF(OR(INDEX('×入力'!$A$1:$L$1300,7+Z$3,2+Z$2)&lt;&gt;"",INDEX('×入力'!$A$1:$L$1300,6,2+Z$2)&lt;&gt;"",INDEX('×入力'!$A$1:$L$1300,7+Z$3,1)&lt;&gt;""),1,0),0)</f>
        <v/>
      </c>
      <c r="AA10">
        <f>IF(AA$4=1,IF(OR(INDEX('×入力'!$A$1:$L$1300,7+AA$3,2+AA$2)&lt;&gt;"",INDEX('×入力'!$A$1:$L$1300,6,2+AA$2)&lt;&gt;"",INDEX('×入力'!$A$1:$L$1300,7+AA$3,1)&lt;&gt;""),1,0),0)</f>
        <v/>
      </c>
      <c r="AB10">
        <f>IF(AB$4=1,IF(OR(INDEX('×入力'!$A$1:$L$1300,7+AB$3,2+AB$2)&lt;&gt;"",INDEX('×入力'!$A$1:$L$1300,6,2+AB$2)&lt;&gt;"",INDEX('×入力'!$A$1:$L$1300,7+AB$3,1)&lt;&gt;""),1,0),0)</f>
        <v/>
      </c>
      <c r="AC10">
        <f>IF(AC$4=1,IF(OR(INDEX('×入力'!$A$1:$L$1300,7+AC$3,2+AC$2)&lt;&gt;"",INDEX('×入力'!$A$1:$L$1300,6,2+AC$2)&lt;&gt;"",INDEX('×入力'!$A$1:$L$1300,7+AC$3,1)&lt;&gt;""),1,0),0)</f>
        <v/>
      </c>
      <c r="AD10">
        <f>IF(AD$4=1,IF(OR(INDEX('×入力'!$A$1:$L$1300,7+AD$3,2+AD$2)&lt;&gt;"",INDEX('×入力'!$A$1:$L$1300,6,2+AD$2)&lt;&gt;"",INDEX('×入力'!$A$1:$L$1300,7+AD$3,1)&lt;&gt;""),1,0),0)</f>
        <v/>
      </c>
      <c r="AE10">
        <f>IF(AE$4=1,IF(OR(INDEX('×入力'!$A$1:$L$1300,7+AE$3,2+AE$2)&lt;&gt;"",INDEX('×入力'!$A$1:$L$1300,6,2+AE$2)&lt;&gt;"",INDEX('×入力'!$A$1:$L$1300,7+AE$3,1)&lt;&gt;""),1,0),0)</f>
        <v/>
      </c>
      <c r="AF10">
        <f>IF(AF$4=1,IF(OR(INDEX('×入力'!$A$1:$L$1300,7+AF$3,2+AF$2)&lt;&gt;"",INDEX('×入力'!$A$1:$L$1300,6,2+AF$2)&lt;&gt;"",INDEX('×入力'!$A$1:$L$1300,7+AF$3,1)&lt;&gt;""),1,0),0)</f>
        <v/>
      </c>
      <c r="AG10">
        <f>IF(AG$4=1,IF(OR(INDEX('×入力'!$A$1:$L$1300,7+AG$3,2+AG$2)&lt;&gt;"",INDEX('×入力'!$A$1:$L$1300,6,2+AG$2)&lt;&gt;"",INDEX('×入力'!$A$1:$L$1300,7+AG$3,1)&lt;&gt;""),1,0),0)</f>
        <v/>
      </c>
      <c r="AH10">
        <f>IF(AH$4=1,IF(OR(INDEX('×入力'!$A$1:$L$1300,7+AH$3,2+AH$2)&lt;&gt;"",INDEX('×入力'!$A$1:$L$1300,6,2+AH$2)&lt;&gt;"",INDEX('×入力'!$A$1:$L$1300,7+AH$3,1)&lt;&gt;""),1,0),0)</f>
        <v/>
      </c>
      <c r="AI10">
        <f>IF(AI$4=1,IF(OR(INDEX('×入力'!$A$1:$L$1300,7+AI$3,2+AI$2)&lt;&gt;"",INDEX('×入力'!$A$1:$L$1300,6,2+AI$2)&lt;&gt;"",INDEX('×入力'!$A$1:$L$1300,7+AI$3,1)&lt;&gt;""),1,0),0)</f>
        <v/>
      </c>
      <c r="AJ10">
        <f>IF(AJ$4=1,IF(OR(INDEX('×入力'!$A$1:$L$1300,7+AJ$3,2+AJ$2)&lt;&gt;"",INDEX('×入力'!$A$1:$L$1300,6,2+AJ$2)&lt;&gt;"",INDEX('×入力'!$A$1:$L$1300,7+AJ$3,1)&lt;&gt;""),1,0),0)</f>
        <v/>
      </c>
      <c r="AK10">
        <f>IF(AK$4=1,IF(OR(INDEX('×入力'!$A$1:$L$1300,7+AK$3,2+AK$2)&lt;&gt;"",INDEX('×入力'!$A$1:$L$1300,6,2+AK$2)&lt;&gt;"",INDEX('×入力'!$A$1:$L$1300,7+AK$3,1)&lt;&gt;""),1,0),0)</f>
        <v/>
      </c>
      <c r="AL10">
        <f>IF(AL$4=1,IF(OR(INDEX('×入力'!$A$1:$L$1300,7+AL$3,2+AL$2)&lt;&gt;"",INDEX('×入力'!$A$1:$L$1300,6,2+AL$2)&lt;&gt;"",INDEX('×入力'!$A$1:$L$1300,7+AL$3,1)&lt;&gt;""),1,0),0)</f>
        <v/>
      </c>
      <c r="AM10">
        <f>IF(AM$4=1,IF(OR(INDEX('×入力'!$A$1:$L$1300,7+AM$3,2+AM$2)&lt;&gt;"",INDEX('×入力'!$A$1:$L$1300,6,2+AM$2)&lt;&gt;"",INDEX('×入力'!$A$1:$L$1300,7+AM$3,1)&lt;&gt;""),1,0),0)</f>
        <v/>
      </c>
      <c r="AN10">
        <f>IF(AN$4=1,IF(OR(INDEX('×入力'!$A$1:$L$1300,7+AN$3,2+AN$2)&lt;&gt;"",INDEX('×入力'!$A$1:$L$1300,6,2+AN$2)&lt;&gt;"",INDEX('×入力'!$A$1:$L$1300,7+AN$3,1)&lt;&gt;""),1,0),0)</f>
        <v/>
      </c>
      <c r="AO10">
        <f>IF(AO$4=1,IF(OR(INDEX('×入力'!$A$1:$L$1300,7+AO$3,2+AO$2)&lt;&gt;"",INDEX('×入力'!$A$1:$L$1300,6,2+AO$2)&lt;&gt;"",INDEX('×入力'!$A$1:$L$1300,7+AO$3,1)&lt;&gt;""),1,0),0)</f>
        <v/>
      </c>
      <c r="AP10">
        <f>IF(AP$4=1,IF(OR(INDEX('×入力'!$A$1:$L$1300,7+AP$3,2+AP$2)&lt;&gt;"",INDEX('×入力'!$A$1:$L$1300,6,2+AP$2)&lt;&gt;"",INDEX('×入力'!$A$1:$L$1300,7+AP$3,1)&lt;&gt;""),1,0),0)</f>
        <v/>
      </c>
      <c r="AQ10">
        <f>IF(AQ$4=1,IF(OR(INDEX('×入力'!$A$1:$L$1300,7+AQ$3,2+AQ$2)&lt;&gt;"",INDEX('×入力'!$A$1:$L$1300,6,2+AQ$2)&lt;&gt;"",INDEX('×入力'!$A$1:$L$1300,7+AQ$3,1)&lt;&gt;""),1,0),0)</f>
        <v/>
      </c>
      <c r="AR10">
        <f>IF(AR$4=1,IF(OR(INDEX('×入力'!$A$1:$L$1300,7+AR$3,2+AR$2)&lt;&gt;"",INDEX('×入力'!$A$1:$L$1300,6,2+AR$2)&lt;&gt;"",INDEX('×入力'!$A$1:$L$1300,7+AR$3,1)&lt;&gt;""),1,0),0)</f>
        <v/>
      </c>
      <c r="AS10">
        <f>IF(AS$4=1,IF(OR(INDEX('×入力'!$A$1:$L$1300,7+AS$3,2+AS$2)&lt;&gt;"",INDEX('×入力'!$A$1:$L$1300,6,2+AS$2)&lt;&gt;"",INDEX('×入力'!$A$1:$L$1300,7+AS$3,1)&lt;&gt;""),1,0),0)</f>
        <v/>
      </c>
      <c r="AT10">
        <f>IF(AT$4=1,IF(OR(INDEX('×入力'!$A$1:$L$1300,7+AT$3,2+AT$2)&lt;&gt;"",INDEX('×入力'!$A$1:$L$1300,6,2+AT$2)&lt;&gt;"",INDEX('×入力'!$A$1:$L$1300,7+AT$3,1)&lt;&gt;""),1,0),0)</f>
        <v/>
      </c>
      <c r="AU10">
        <f>IF(AU$4=1,IF(OR(INDEX('×入力'!$A$1:$L$1300,7+AU$3,2+AU$2)&lt;&gt;"",INDEX('×入力'!$A$1:$L$1300,6,2+AU$2)&lt;&gt;"",INDEX('×入力'!$A$1:$L$1300,7+AU$3,1)&lt;&gt;""),1,0),0)</f>
        <v/>
      </c>
      <c r="AV10">
        <f>IF(AV$4=1,IF(OR(INDEX('×入力'!$A$1:$L$1300,7+AV$3,2+AV$2)&lt;&gt;"",INDEX('×入力'!$A$1:$L$1300,6,2+AV$2)&lt;&gt;"",INDEX('×入力'!$A$1:$L$1300,7+AV$3,1)&lt;&gt;""),1,0),0)</f>
        <v/>
      </c>
      <c r="AW10">
        <f>IF(AW$4=1,IF(OR(INDEX('×入力'!$A$1:$L$1300,7+AW$3,2+AW$2)&lt;&gt;"",INDEX('×入力'!$A$1:$L$1300,6,2+AW$2)&lt;&gt;"",INDEX('×入力'!$A$1:$L$1300,7+AW$3,1)&lt;&gt;""),1,0),0)</f>
        <v/>
      </c>
      <c r="AX10">
        <f>IF(AX$4=1,IF(OR(INDEX('×入力'!$A$1:$L$1300,7+AX$3,2+AX$2)&lt;&gt;"",INDEX('×入力'!$A$1:$L$1300,6,2+AX$2)&lt;&gt;"",INDEX('×入力'!$A$1:$L$1300,7+AX$3,1)&lt;&gt;""),1,0),0)</f>
        <v/>
      </c>
      <c r="AY10">
        <f>IF(AY$4=1,IF(OR(INDEX('×入力'!$A$1:$L$1300,7+AY$3,2+AY$2)&lt;&gt;"",INDEX('×入力'!$A$1:$L$1300,6,2+AY$2)&lt;&gt;"",INDEX('×入力'!$A$1:$L$1300,7+AY$3,1)&lt;&gt;""),1,0),0)</f>
        <v/>
      </c>
      <c r="AZ10">
        <f>IF(AZ$4=1,IF(OR(INDEX('×入力'!$A$1:$L$1300,7+AZ$3,2+AZ$2)&lt;&gt;"",INDEX('×入力'!$A$1:$L$1300,6,2+AZ$2)&lt;&gt;"",INDEX('×入力'!$A$1:$L$1300,7+AZ$3,1)&lt;&gt;""),1,0),0)</f>
        <v/>
      </c>
      <c r="BA10">
        <f>IF(BA$4=1,IF(OR(INDEX('×入力'!$A$1:$L$1300,7+BA$3,2+BA$2)&lt;&gt;"",INDEX('×入力'!$A$1:$L$1300,6,2+BA$2)&lt;&gt;"",INDEX('×入力'!$A$1:$L$1300,7+BA$3,1)&lt;&gt;""),1,0),0)</f>
        <v/>
      </c>
      <c r="BB10">
        <f>IF(BB$4=1,IF(OR(INDEX('×入力'!$A$1:$L$1300,7+BB$3,2+BB$2)&lt;&gt;"",INDEX('×入力'!$A$1:$L$1300,6,2+BB$2)&lt;&gt;"",INDEX('×入力'!$A$1:$L$1300,7+BB$3,1)&lt;&gt;""),1,0),0)</f>
        <v/>
      </c>
      <c r="BC10">
        <f>IF(BC$4=1,IF(OR(INDEX('×入力'!$A$1:$L$1300,7+BC$3,2+BC$2)&lt;&gt;"",INDEX('×入力'!$A$1:$L$1300,6,2+BC$2)&lt;&gt;"",INDEX('×入力'!$A$1:$L$1300,7+BC$3,1)&lt;&gt;""),1,0),0)</f>
        <v/>
      </c>
      <c r="BD10">
        <f>IF(BD$4=1,IF(OR(INDEX('×入力'!$A$1:$L$1300,7+BD$3,2+BD$2)&lt;&gt;"",INDEX('×入力'!$A$1:$L$1300,6,2+BD$2)&lt;&gt;"",INDEX('×入力'!$A$1:$L$1300,7+BD$3,1)&lt;&gt;""),1,0),0)</f>
        <v/>
      </c>
      <c r="BE10">
        <f>IF(BE$4=1,IF(OR(INDEX('×入力'!$A$1:$L$1300,7+BE$3,2+BE$2)&lt;&gt;"",INDEX('×入力'!$A$1:$L$1300,6,2+BE$2)&lt;&gt;"",INDEX('×入力'!$A$1:$L$1300,7+BE$3,1)&lt;&gt;""),1,0),0)</f>
        <v/>
      </c>
      <c r="BF10">
        <f>IF(BF$4=1,IF(OR(INDEX('×入力'!$A$1:$L$1300,7+BF$3,2+BF$2)&lt;&gt;"",INDEX('×入力'!$A$1:$L$1300,6,2+BF$2)&lt;&gt;"",INDEX('×入力'!$A$1:$L$1300,7+BF$3,1)&lt;&gt;""),1,0),0)</f>
        <v/>
      </c>
      <c r="BG10">
        <f>IF(BG$4=1,IF(OR(INDEX('×入力'!$A$1:$L$1300,7+BG$3,2+BG$2)&lt;&gt;"",INDEX('×入力'!$A$1:$L$1300,6,2+BG$2)&lt;&gt;"",INDEX('×入力'!$A$1:$L$1300,7+BG$3,1)&lt;&gt;""),1,0),0)</f>
        <v/>
      </c>
      <c r="BH10">
        <f>IF(BH$4=1,IF(OR(INDEX('×入力'!$A$1:$L$1300,7+BH$3,2+BH$2)&lt;&gt;"",INDEX('×入力'!$A$1:$L$1300,6,2+BH$2)&lt;&gt;"",INDEX('×入力'!$A$1:$L$1300,7+BH$3,1)&lt;&gt;""),1,0),0)</f>
        <v/>
      </c>
      <c r="BI10">
        <f>IF(BI$4=1,IF(OR(INDEX('×入力'!$A$1:$L$1300,7+BI$3,2+BI$2)&lt;&gt;"",INDEX('×入力'!$A$1:$L$1300,6,2+BI$2)&lt;&gt;"",INDEX('×入力'!$A$1:$L$1300,7+BI$3,1)&lt;&gt;""),1,0),0)</f>
        <v/>
      </c>
      <c r="BJ10">
        <f>IF(BJ$4=1,IF(OR(INDEX('×入力'!$A$1:$L$1300,7+BJ$3,2+BJ$2)&lt;&gt;"",INDEX('×入力'!$A$1:$L$1300,6,2+BJ$2)&lt;&gt;"",INDEX('×入力'!$A$1:$L$1300,7+BJ$3,1)&lt;&gt;""),1,0),0)</f>
        <v/>
      </c>
      <c r="BK10">
        <f>IF(BK$4=1,IF(OR(INDEX('×入力'!$A$1:$L$1300,7+BK$3,2+BK$2)&lt;&gt;"",INDEX('×入力'!$A$1:$L$1300,6,2+BK$2)&lt;&gt;"",INDEX('×入力'!$A$1:$L$1300,7+BK$3,1)&lt;&gt;""),1,0),0)</f>
        <v/>
      </c>
      <c r="BL10">
        <f>IF(BL$4=1,IF(OR(INDEX('×入力'!$A$1:$L$1300,7+BL$3,2+BL$2)&lt;&gt;"",INDEX('×入力'!$A$1:$L$1300,6,2+BL$2)&lt;&gt;"",INDEX('×入力'!$A$1:$L$1300,7+BL$3,1)&lt;&gt;""),1,0),0)</f>
        <v/>
      </c>
      <c r="BM10">
        <f>IF(BM$4=1,IF(OR(INDEX('×入力'!$A$1:$L$1300,7+BM$3,2+BM$2)&lt;&gt;"",INDEX('×入力'!$A$1:$L$1300,6,2+BM$2)&lt;&gt;"",INDEX('×入力'!$A$1:$L$1300,7+BM$3,1)&lt;&gt;""),1,0),0)</f>
        <v/>
      </c>
      <c r="BN10">
        <f>IF(BN$4=1,IF(OR(INDEX('×入力'!$A$1:$L$1300,7+BN$3,2+BN$2)&lt;&gt;"",INDEX('×入力'!$A$1:$L$1300,6,2+BN$2)&lt;&gt;"",INDEX('×入力'!$A$1:$L$1300,7+BN$3,1)&lt;&gt;""),1,0),0)</f>
        <v/>
      </c>
      <c r="BO10">
        <f>IF(BO$4=1,IF(OR(INDEX('×入力'!$A$1:$L$1300,7+BO$3,2+BO$2)&lt;&gt;"",INDEX('×入力'!$A$1:$L$1300,6,2+BO$2)&lt;&gt;"",INDEX('×入力'!$A$1:$L$1300,7+BO$3,1)&lt;&gt;""),1,0),0)</f>
        <v/>
      </c>
      <c r="BP10">
        <f>IF(BP$4=1,IF(OR(INDEX('×入力'!$A$1:$L$1300,7+BP$3,2+BP$2)&lt;&gt;"",INDEX('×入力'!$A$1:$L$1300,6,2+BP$2)&lt;&gt;"",INDEX('×入力'!$A$1:$L$1300,7+BP$3,1)&lt;&gt;""),1,0),0)</f>
        <v/>
      </c>
      <c r="BQ10">
        <f>IF(BQ$4=1,IF(OR(INDEX('×入力'!$A$1:$L$1300,7+BQ$3,2+BQ$2)&lt;&gt;"",INDEX('×入力'!$A$1:$L$1300,6,2+BQ$2)&lt;&gt;"",INDEX('×入力'!$A$1:$L$1300,7+BQ$3,1)&lt;&gt;""),1,0),0)</f>
        <v/>
      </c>
      <c r="BR10">
        <f>IF(BR$4=1,IF(OR(INDEX('×入力'!$A$1:$L$1300,7+BR$3,2+BR$2)&lt;&gt;"",INDEX('×入力'!$A$1:$L$1300,6,2+BR$2)&lt;&gt;"",INDEX('×入力'!$A$1:$L$1300,7+BR$3,1)&lt;&gt;""),1,0),0)</f>
        <v/>
      </c>
      <c r="BS10">
        <f>IF(BS$4=1,IF(OR(INDEX('×入力'!$A$1:$L$1300,7+BS$3,2+BS$2)&lt;&gt;"",INDEX('×入力'!$A$1:$L$1300,6,2+BS$2)&lt;&gt;"",INDEX('×入力'!$A$1:$L$1300,7+BS$3,1)&lt;&gt;""),1,0),0)</f>
        <v/>
      </c>
      <c r="BT10">
        <f>IF(BT$4=1,IF(OR(INDEX('×入力'!$A$1:$L$1300,7+BT$3,2+BT$2)&lt;&gt;"",INDEX('×入力'!$A$1:$L$1300,6,2+BT$2)&lt;&gt;"",INDEX('×入力'!$A$1:$L$1300,7+BT$3,1)&lt;&gt;""),1,0),0)</f>
        <v/>
      </c>
      <c r="BU10">
        <f>IF(BU$4=1,IF(OR(INDEX('×入力'!$A$1:$L$1300,7+BU$3,2+BU$2)&lt;&gt;"",INDEX('×入力'!$A$1:$L$1300,6,2+BU$2)&lt;&gt;"",INDEX('×入力'!$A$1:$L$1300,7+BU$3,1)&lt;&gt;""),1,0),0)</f>
        <v/>
      </c>
      <c r="BV10">
        <f>IF(BV$4=1,IF(OR(INDEX('×入力'!$A$1:$L$1300,7+BV$3,2+BV$2)&lt;&gt;"",INDEX('×入力'!$A$1:$L$1300,6,2+BV$2)&lt;&gt;"",INDEX('×入力'!$A$1:$L$1300,7+BV$3,1)&lt;&gt;""),1,0),0)</f>
        <v/>
      </c>
      <c r="BW10">
        <f>IF(BW$4=1,IF(OR(INDEX('×入力'!$A$1:$L$1300,7+BW$3,2+BW$2)&lt;&gt;"",INDEX('×入力'!$A$1:$L$1300,6,2+BW$2)&lt;&gt;"",INDEX('×入力'!$A$1:$L$1300,7+BW$3,1)&lt;&gt;""),1,0),0)</f>
        <v/>
      </c>
      <c r="BX10">
        <f>IF(BX$4=1,IF(OR(INDEX('×入力'!$A$1:$L$1300,7+BX$3,2+BX$2)&lt;&gt;"",INDEX('×入力'!$A$1:$L$1300,6,2+BX$2)&lt;&gt;"",INDEX('×入力'!$A$1:$L$1300,7+BX$3,1)&lt;&gt;""),1,0),0)</f>
        <v/>
      </c>
      <c r="BY10">
        <f>IF(BY$4=1,IF(OR(INDEX('×入力'!$A$1:$L$1300,7+BY$3,2+BY$2)&lt;&gt;"",INDEX('×入力'!$A$1:$L$1300,6,2+BY$2)&lt;&gt;"",INDEX('×入力'!$A$1:$L$1300,7+BY$3,1)&lt;&gt;""),1,0),0)</f>
        <v/>
      </c>
      <c r="BZ10">
        <f>IF(BZ$4=1,IF(OR(INDEX('×入力'!$A$1:$L$1300,7+BZ$3,2+BZ$2)&lt;&gt;"",INDEX('×入力'!$A$1:$L$1300,6,2+BZ$2)&lt;&gt;"",INDEX('×入力'!$A$1:$L$1300,7+BZ$3,1)&lt;&gt;""),1,0),0)</f>
        <v/>
      </c>
      <c r="CA10">
        <f>IF(CA$4=1,IF(OR(INDEX('×入力'!$A$1:$L$1300,7+CA$3,2+CA$2)&lt;&gt;"",INDEX('×入力'!$A$1:$L$1300,6,2+CA$2)&lt;&gt;"",INDEX('×入力'!$A$1:$L$1300,7+CA$3,1)&lt;&gt;""),1,0),0)</f>
        <v/>
      </c>
      <c r="CB10">
        <f>IF(CB$4=1,IF(OR(INDEX('×入力'!$A$1:$L$1300,7+CB$3,2+CB$2)&lt;&gt;"",INDEX('×入力'!$A$1:$L$1300,6,2+CB$2)&lt;&gt;"",INDEX('×入力'!$A$1:$L$1300,7+CB$3,1)&lt;&gt;""),1,0),0)</f>
        <v/>
      </c>
      <c r="CC10">
        <f>IF(CC$4=1,IF(OR(INDEX('×入力'!$A$1:$L$1300,7+CC$3,2+CC$2)&lt;&gt;"",INDEX('×入力'!$A$1:$L$1300,6,2+CC$2)&lt;&gt;"",INDEX('×入力'!$A$1:$L$1300,7+CC$3,1)&lt;&gt;""),1,0),0)</f>
        <v/>
      </c>
      <c r="CD10">
        <f>IF(CD$4=1,IF(OR(INDEX('×入力'!$A$1:$L$1300,7+CD$3,2+CD$2)&lt;&gt;"",INDEX('×入力'!$A$1:$L$1300,6,2+CD$2)&lt;&gt;"",INDEX('×入力'!$A$1:$L$1300,7+CD$3,1)&lt;&gt;""),1,0),0)</f>
        <v/>
      </c>
      <c r="CE10">
        <f>IF(CE$4=1,IF(OR(INDEX('×入力'!$A$1:$L$1300,7+CE$3,2+CE$2)&lt;&gt;"",INDEX('×入力'!$A$1:$L$1300,6,2+CE$2)&lt;&gt;"",INDEX('×入力'!$A$1:$L$1300,7+CE$3,1)&lt;&gt;""),1,0),0)</f>
        <v/>
      </c>
      <c r="CF10">
        <f>IF(CF$4=1,IF(OR(INDEX('×入力'!$A$1:$L$1300,7+CF$3,2+CF$2)&lt;&gt;"",INDEX('×入力'!$A$1:$L$1300,6,2+CF$2)&lt;&gt;"",INDEX('×入力'!$A$1:$L$1300,7+CF$3,1)&lt;&gt;""),1,0),0)</f>
        <v/>
      </c>
      <c r="CG10">
        <f>IF(CG$4=1,IF(OR(INDEX('×入力'!$A$1:$L$1300,7+CG$3,2+CG$2)&lt;&gt;"",INDEX('×入力'!$A$1:$L$1300,6,2+CG$2)&lt;&gt;"",INDEX('×入力'!$A$1:$L$1300,7+CG$3,1)&lt;&gt;""),1,0),0)</f>
        <v/>
      </c>
      <c r="CH10">
        <f>IF(CH$4=1,IF(OR(INDEX('×入力'!$A$1:$L$1300,7+CH$3,2+CH$2)&lt;&gt;"",INDEX('×入力'!$A$1:$L$1300,6,2+CH$2)&lt;&gt;"",INDEX('×入力'!$A$1:$L$1300,7+CH$3,1)&lt;&gt;""),1,0),0)</f>
        <v/>
      </c>
      <c r="CI10">
        <f>IF(CI$4=1,IF(OR(INDEX('×入力'!$A$1:$L$1300,7+CI$3,2+CI$2)&lt;&gt;"",INDEX('×入力'!$A$1:$L$1300,6,2+CI$2)&lt;&gt;"",INDEX('×入力'!$A$1:$L$1300,7+CI$3,1)&lt;&gt;""),1,0),0)</f>
        <v/>
      </c>
      <c r="CJ10">
        <f>IF(CJ$4=1,IF(OR(INDEX('×入力'!$A$1:$L$1300,7+CJ$3,2+CJ$2)&lt;&gt;"",INDEX('×入力'!$A$1:$L$1300,6,2+CJ$2)&lt;&gt;"",INDEX('×入力'!$A$1:$L$1300,7+CJ$3,1)&lt;&gt;""),1,0),0)</f>
        <v/>
      </c>
      <c r="CK10">
        <f>IF(CK$4=1,IF(OR(INDEX('×入力'!$A$1:$L$1300,7+CK$3,2+CK$2)&lt;&gt;"",INDEX('×入力'!$A$1:$L$1300,6,2+CK$2)&lt;&gt;"",INDEX('×入力'!$A$1:$L$1300,7+CK$3,1)&lt;&gt;""),1,0),0)</f>
        <v/>
      </c>
      <c r="CL10">
        <f>IF(CL$4=1,IF(OR(INDEX('×入力'!$A$1:$L$1300,7+CL$3,2+CL$2)&lt;&gt;"",INDEX('×入力'!$A$1:$L$1300,6,2+CL$2)&lt;&gt;"",INDEX('×入力'!$A$1:$L$1300,7+CL$3,1)&lt;&gt;""),1,0),0)</f>
        <v/>
      </c>
      <c r="CM10">
        <f>IF(CM$4=1,IF(OR(INDEX('×入力'!$A$1:$L$1300,7+CM$3,2+CM$2)&lt;&gt;"",INDEX('×入力'!$A$1:$L$1300,6,2+CM$2)&lt;&gt;"",INDEX('×入力'!$A$1:$L$1300,7+CM$3,1)&lt;&gt;""),1,0),0)</f>
        <v/>
      </c>
      <c r="CN10">
        <f>IF(CN$4=1,IF(OR(INDEX('×入力'!$A$1:$L$1300,7+CN$3,2+CN$2)&lt;&gt;"",INDEX('×入力'!$A$1:$L$1300,6,2+CN$2)&lt;&gt;"",INDEX('×入力'!$A$1:$L$1300,7+CN$3,1)&lt;&gt;""),1,0),0)</f>
        <v/>
      </c>
      <c r="CO10">
        <f>IF(CO$4=1,IF(OR(INDEX('×入力'!$A$1:$L$1300,7+CO$3,2+CO$2)&lt;&gt;"",INDEX('×入力'!$A$1:$L$1300,6,2+CO$2)&lt;&gt;"",INDEX('×入力'!$A$1:$L$1300,7+CO$3,1)&lt;&gt;""),1,0),0)</f>
        <v/>
      </c>
      <c r="CP10">
        <f>IF(CP$4=1,IF(OR(INDEX('×入力'!$A$1:$L$1300,7+CP$3,2+CP$2)&lt;&gt;"",INDEX('×入力'!$A$1:$L$1300,6,2+CP$2)&lt;&gt;"",INDEX('×入力'!$A$1:$L$1300,7+CP$3,1)&lt;&gt;""),1,0),0)</f>
        <v/>
      </c>
      <c r="CQ10">
        <f>IF(CQ$4=1,IF(OR(INDEX('×入力'!$A$1:$L$1300,7+CQ$3,2+CQ$2)&lt;&gt;"",INDEX('×入力'!$A$1:$L$1300,6,2+CQ$2)&lt;&gt;"",INDEX('×入力'!$A$1:$L$1300,7+CQ$3,1)&lt;&gt;""),1,0),0)</f>
        <v/>
      </c>
      <c r="CR10">
        <f>IF(CR$4=1,IF(OR(INDEX('×入力'!$A$1:$L$1300,7+CR$3,2+CR$2)&lt;&gt;"",INDEX('×入力'!$A$1:$L$1300,6,2+CR$2)&lt;&gt;"",INDEX('×入力'!$A$1:$L$1300,7+CR$3,1)&lt;&gt;""),1,0),0)</f>
        <v/>
      </c>
      <c r="CS10">
        <f>IF(CS$4=1,IF(OR(INDEX('×入力'!$A$1:$L$1300,7+CS$3,2+CS$2)&lt;&gt;"",INDEX('×入力'!$A$1:$L$1300,6,2+CS$2)&lt;&gt;"",INDEX('×入力'!$A$1:$L$1300,7+CS$3,1)&lt;&gt;""),1,0),0)</f>
        <v/>
      </c>
      <c r="CT10">
        <f>IF(CT$4=1,IF(OR(INDEX('×入力'!$A$1:$L$1300,7+CT$3,2+CT$2)&lt;&gt;"",INDEX('×入力'!$A$1:$L$1300,6,2+CT$2)&lt;&gt;"",INDEX('×入力'!$A$1:$L$1300,7+CT$3,1)&lt;&gt;""),1,0),0)</f>
        <v/>
      </c>
      <c r="CU10">
        <f>IF(CU$4=1,IF(OR(INDEX('×入力'!$A$1:$L$1300,7+CU$3,2+CU$2)&lt;&gt;"",INDEX('×入力'!$A$1:$L$1300,6,2+CU$2)&lt;&gt;"",INDEX('×入力'!$A$1:$L$1300,7+CU$3,1)&lt;&gt;""),1,0),0)</f>
        <v/>
      </c>
      <c r="CV10">
        <f>IF(CV$4=1,IF(OR(INDEX('×入力'!$A$1:$L$1300,7+CV$3,2+CV$2)&lt;&gt;"",INDEX('×入力'!$A$1:$L$1300,6,2+CV$2)&lt;&gt;"",INDEX('×入力'!$A$1:$L$1300,7+CV$3,1)&lt;&gt;""),1,0),0)</f>
        <v/>
      </c>
      <c r="CW10">
        <f>IF(CW$4=1,IF(OR(INDEX('×入力'!$A$1:$L$1300,7+CW$3,2+CW$2)&lt;&gt;"",INDEX('×入力'!$A$1:$L$1300,6,2+CW$2)&lt;&gt;"",INDEX('×入力'!$A$1:$L$1300,7+CW$3,1)&lt;&gt;""),1,0),0)</f>
        <v/>
      </c>
      <c r="CX10">
        <f>IF(CX$4=1,IF(OR(INDEX('×入力'!$A$1:$L$1300,7+CX$3,2+CX$2)&lt;&gt;"",INDEX('×入力'!$A$1:$L$1300,6,2+CX$2)&lt;&gt;"",INDEX('×入力'!$A$1:$L$1300,7+CX$3,1)&lt;&gt;""),1,0),0)</f>
        <v/>
      </c>
      <c r="CY10">
        <f>IF(CY$4=1,IF(OR(INDEX('×入力'!$A$1:$L$1300,7+CY$3,2+CY$2)&lt;&gt;"",INDEX('×入力'!$A$1:$L$1300,6,2+CY$2)&lt;&gt;"",INDEX('×入力'!$A$1:$L$1300,7+CY$3,1)&lt;&gt;""),1,0),0)</f>
        <v/>
      </c>
      <c r="CZ10">
        <f>IF(CZ$4=1,IF(OR(INDEX('×入力'!$A$1:$L$1300,7+CZ$3,2+CZ$2)&lt;&gt;"",INDEX('×入力'!$A$1:$L$1300,6,2+CZ$2)&lt;&gt;"",INDEX('×入力'!$A$1:$L$1300,7+CZ$3,1)&lt;&gt;""),1,0),0)</f>
        <v/>
      </c>
      <c r="DA10">
        <f>IF(DA$4=1,IF(OR(INDEX('×入力'!$A$1:$L$1300,7+DA$3,2+DA$2)&lt;&gt;"",INDEX('×入力'!$A$1:$L$1300,6,2+DA$2)&lt;&gt;"",INDEX('×入力'!$A$1:$L$1300,7+DA$3,1)&lt;&gt;""),1,0),0)</f>
        <v/>
      </c>
      <c r="DB10">
        <f>IF(DB$4=1,IF(OR(INDEX('×入力'!$A$1:$L$1300,7+DB$3,2+DB$2)&lt;&gt;"",INDEX('×入力'!$A$1:$L$1300,6,2+DB$2)&lt;&gt;"",INDEX('×入力'!$A$1:$L$1300,7+DB$3,1)&lt;&gt;""),1,0),0)</f>
        <v/>
      </c>
      <c r="DC10">
        <f>IF(DC$4=1,IF(OR(INDEX('×入力'!$A$1:$L$1300,7+DC$3,2+DC$2)&lt;&gt;"",INDEX('×入力'!$A$1:$L$1300,6,2+DC$2)&lt;&gt;"",INDEX('×入力'!$A$1:$L$1300,7+DC$3,1)&lt;&gt;""),1,0),0)</f>
        <v/>
      </c>
      <c r="DD10">
        <f>IF(DD$4=1,IF(OR(INDEX('×入力'!$A$1:$L$1300,7+DD$3,2+DD$2)&lt;&gt;"",INDEX('×入力'!$A$1:$L$1300,6,2+DD$2)&lt;&gt;"",INDEX('×入力'!$A$1:$L$1300,7+DD$3,1)&lt;&gt;""),1,0),0)</f>
        <v/>
      </c>
      <c r="DE10">
        <f>IF(DE$4=1,IF(OR(INDEX('×入力'!$A$1:$L$1300,7+DE$3,2+DE$2)&lt;&gt;"",INDEX('×入力'!$A$1:$L$1300,6,2+DE$2)&lt;&gt;"",INDEX('×入力'!$A$1:$L$1300,7+DE$3,1)&lt;&gt;""),1,0),0)</f>
        <v/>
      </c>
      <c r="DF10">
        <f>IF(DF$4=1,IF(OR(INDEX('×入力'!$A$1:$L$1300,7+DF$3,2+DF$2)&lt;&gt;"",INDEX('×入力'!$A$1:$L$1300,6,2+DF$2)&lt;&gt;"",INDEX('×入力'!$A$1:$L$1300,7+DF$3,1)&lt;&gt;""),1,0),0)</f>
        <v/>
      </c>
      <c r="DG10">
        <f>IF(DG$4=1,IF(OR(INDEX('×入力'!$A$1:$L$1300,7+DG$3,2+DG$2)&lt;&gt;"",INDEX('×入力'!$A$1:$L$1300,6,2+DG$2)&lt;&gt;"",INDEX('×入力'!$A$1:$L$1300,7+DG$3,1)&lt;&gt;""),1,0),0)</f>
        <v/>
      </c>
      <c r="DH10">
        <f>IF(DH$4=1,IF(OR(INDEX('×入力'!$A$1:$L$1300,7+DH$3,2+DH$2)&lt;&gt;"",INDEX('×入力'!$A$1:$L$1300,6,2+DH$2)&lt;&gt;"",INDEX('×入力'!$A$1:$L$1300,7+DH$3,1)&lt;&gt;""),1,0),0)</f>
        <v/>
      </c>
      <c r="DI10">
        <f>IF(DI$4=1,IF(OR(INDEX('×入力'!$A$1:$L$1300,7+DI$3,2+DI$2)&lt;&gt;"",INDEX('×入力'!$A$1:$L$1300,6,2+DI$2)&lt;&gt;"",INDEX('×入力'!$A$1:$L$1300,7+DI$3,1)&lt;&gt;""),1,0),0)</f>
        <v/>
      </c>
      <c r="DJ10">
        <f>IF(DJ$4=1,IF(OR(INDEX('×入力'!$A$1:$L$1300,7+DJ$3,2+DJ$2)&lt;&gt;"",INDEX('×入力'!$A$1:$L$1300,6,2+DJ$2)&lt;&gt;"",INDEX('×入力'!$A$1:$L$1300,7+DJ$3,1)&lt;&gt;""),1,0),0)</f>
        <v/>
      </c>
      <c r="DK10">
        <f>IF(DK$4=1,IF(OR(INDEX('×入力'!$A$1:$L$1300,7+DK$3,2+DK$2)&lt;&gt;"",INDEX('×入力'!$A$1:$L$1300,6,2+DK$2)&lt;&gt;"",INDEX('×入力'!$A$1:$L$1300,7+DK$3,1)&lt;&gt;""),1,0),0)</f>
        <v/>
      </c>
      <c r="DL10">
        <f>IF(DL$4=1,IF(OR(INDEX('×入力'!$A$1:$L$1300,7+DL$3,2+DL$2)&lt;&gt;"",INDEX('×入力'!$A$1:$L$1300,6,2+DL$2)&lt;&gt;"",INDEX('×入力'!$A$1:$L$1300,7+DL$3,1)&lt;&gt;""),1,0),0)</f>
        <v/>
      </c>
      <c r="DM10">
        <f>IF(DM$4=1,IF(OR(INDEX('×入力'!$A$1:$L$1300,7+DM$3,2+DM$2)&lt;&gt;"",INDEX('×入力'!$A$1:$L$1300,6,2+DM$2)&lt;&gt;"",INDEX('×入力'!$A$1:$L$1300,7+DM$3,1)&lt;&gt;""),1,0),0)</f>
        <v/>
      </c>
      <c r="DN10">
        <f>IF(DN$4=1,IF(OR(INDEX('×入力'!$A$1:$L$1300,7+DN$3,2+DN$2)&lt;&gt;"",INDEX('×入力'!$A$1:$L$1300,6,2+DN$2)&lt;&gt;"",INDEX('×入力'!$A$1:$L$1300,7+DN$3,1)&lt;&gt;""),1,0),0)</f>
        <v/>
      </c>
      <c r="DO10">
        <f>IF(DO$4=1,IF(OR(INDEX('×入力'!$A$1:$L$1300,7+DO$3,2+DO$2)&lt;&gt;"",INDEX('×入力'!$A$1:$L$1300,6,2+DO$2)&lt;&gt;"",INDEX('×入力'!$A$1:$L$1300,7+DO$3,1)&lt;&gt;""),1,0),0)</f>
        <v/>
      </c>
      <c r="DP10">
        <f>IF(DP$4=1,IF(OR(INDEX('×入力'!$A$1:$L$1300,7+DP$3,2+DP$2)&lt;&gt;"",INDEX('×入力'!$A$1:$L$1300,6,2+DP$2)&lt;&gt;"",INDEX('×入力'!$A$1:$L$1300,7+DP$3,1)&lt;&gt;""),1,0),0)</f>
        <v/>
      </c>
      <c r="DQ10">
        <f>IF(DQ$4=1,IF(OR(INDEX('×入力'!$A$1:$L$1300,7+DQ$3,2+DQ$2)&lt;&gt;"",INDEX('×入力'!$A$1:$L$1300,6,2+DQ$2)&lt;&gt;"",INDEX('×入力'!$A$1:$L$1300,7+DQ$3,1)&lt;&gt;""),1,0),0)</f>
        <v/>
      </c>
      <c r="DR10">
        <f>IF(DR$4=1,IF(OR(INDEX('×入力'!$A$1:$L$1300,7+DR$3,2+DR$2)&lt;&gt;"",INDEX('×入力'!$A$1:$L$1300,6,2+DR$2)&lt;&gt;"",INDEX('×入力'!$A$1:$L$1300,7+DR$3,1)&lt;&gt;""),1,0),0)</f>
        <v/>
      </c>
      <c r="DS10">
        <f>IF(DS$4=1,IF(OR(INDEX('×入力'!$A$1:$L$1300,7+DS$3,2+DS$2)&lt;&gt;"",INDEX('×入力'!$A$1:$L$1300,6,2+DS$2)&lt;&gt;"",INDEX('×入力'!$A$1:$L$1300,7+DS$3,1)&lt;&gt;""),1,0),0)</f>
        <v/>
      </c>
      <c r="DT10">
        <f>IF(DT$4=1,IF(OR(INDEX('×入力'!$A$1:$L$1300,7+DT$3,2+DT$2)&lt;&gt;"",INDEX('×入力'!$A$1:$L$1300,6,2+DT$2)&lt;&gt;"",INDEX('×入力'!$A$1:$L$1300,7+DT$3,1)&lt;&gt;""),1,0),0)</f>
        <v/>
      </c>
      <c r="DU10">
        <f>IF(DU$4=1,IF(OR(INDEX('×入力'!$A$1:$L$1300,7+DU$3,2+DU$2)&lt;&gt;"",INDEX('×入力'!$A$1:$L$1300,6,2+DU$2)&lt;&gt;"",INDEX('×入力'!$A$1:$L$1300,7+DU$3,1)&lt;&gt;""),1,0),0)</f>
        <v/>
      </c>
      <c r="DV10">
        <f>IF(DV$4=1,IF(OR(INDEX('×入力'!$A$1:$L$1300,7+DV$3,2+DV$2)&lt;&gt;"",INDEX('×入力'!$A$1:$L$1300,6,2+DV$2)&lt;&gt;"",INDEX('×入力'!$A$1:$L$1300,7+DV$3,1)&lt;&gt;""),1,0),0)</f>
        <v/>
      </c>
      <c r="DW10">
        <f>IF(DW$4=1,IF(OR(INDEX('×入力'!$A$1:$L$1300,7+DW$3,2+DW$2)&lt;&gt;"",INDEX('×入力'!$A$1:$L$1300,6,2+DW$2)&lt;&gt;"",INDEX('×入力'!$A$1:$L$1300,7+DW$3,1)&lt;&gt;""),1,0),0)</f>
        <v/>
      </c>
      <c r="DX10">
        <f>IF(DX$4=1,IF(OR(INDEX('×入力'!$A$1:$L$1300,7+DX$3,2+DX$2)&lt;&gt;"",INDEX('×入力'!$A$1:$L$1300,6,2+DX$2)&lt;&gt;"",INDEX('×入力'!$A$1:$L$1300,7+DX$3,1)&lt;&gt;""),1,0),0)</f>
        <v/>
      </c>
      <c r="DY10">
        <f>IF(DY$4=1,IF(OR(INDEX('×入力'!$A$1:$L$1300,7+DY$3,2+DY$2)&lt;&gt;"",INDEX('×入力'!$A$1:$L$1300,6,2+DY$2)&lt;&gt;"",INDEX('×入力'!$A$1:$L$1300,7+DY$3,1)&lt;&gt;""),1,0),0)</f>
        <v/>
      </c>
      <c r="DZ10">
        <f>IF(DZ$4=1,IF(OR(INDEX('×入力'!$A$1:$L$1300,7+DZ$3,2+DZ$2)&lt;&gt;"",INDEX('×入力'!$A$1:$L$1300,6,2+DZ$2)&lt;&gt;"",INDEX('×入力'!$A$1:$L$1300,7+DZ$3,1)&lt;&gt;""),1,0),0)</f>
        <v/>
      </c>
      <c r="EA10">
        <f>IF(EA$4=1,IF(OR(INDEX('×入力'!$A$1:$L$1300,7+EA$3,2+EA$2)&lt;&gt;"",INDEX('×入力'!$A$1:$L$1300,6,2+EA$2)&lt;&gt;"",INDEX('×入力'!$A$1:$L$1300,7+EA$3,1)&lt;&gt;""),1,0),0)</f>
        <v/>
      </c>
      <c r="EB10">
        <f>IF(EB$4=1,IF(OR(INDEX('×入力'!$A$1:$L$1300,7+EB$3,2+EB$2)&lt;&gt;"",INDEX('×入力'!$A$1:$L$1300,6,2+EB$2)&lt;&gt;"",INDEX('×入力'!$A$1:$L$1300,7+EB$3,1)&lt;&gt;""),1,0),0)</f>
        <v/>
      </c>
      <c r="EC10">
        <f>IF(EC$4=1,IF(OR(INDEX('×入力'!$A$1:$L$1300,7+EC$3,2+EC$2)&lt;&gt;"",INDEX('×入力'!$A$1:$L$1300,6,2+EC$2)&lt;&gt;"",INDEX('×入力'!$A$1:$L$1300,7+EC$3,1)&lt;&gt;""),1,0),0)</f>
        <v/>
      </c>
      <c r="ED10">
        <f>IF(ED$4=1,IF(OR(INDEX('×入力'!$A$1:$L$1300,7+ED$3,2+ED$2)&lt;&gt;"",INDEX('×入力'!$A$1:$L$1300,6,2+ED$2)&lt;&gt;"",INDEX('×入力'!$A$1:$L$1300,7+ED$3,1)&lt;&gt;""),1,0),0)</f>
        <v/>
      </c>
      <c r="EE10">
        <f>IF(EE$4=1,IF(OR(INDEX('×入力'!$A$1:$L$1300,7+EE$3,2+EE$2)&lt;&gt;"",INDEX('×入力'!$A$1:$L$1300,6,2+EE$2)&lt;&gt;"",INDEX('×入力'!$A$1:$L$1300,7+EE$3,1)&lt;&gt;""),1,0),0)</f>
        <v/>
      </c>
      <c r="EF10">
        <f>IF(EF$4=1,IF(OR(INDEX('×入力'!$A$1:$L$1300,7+EF$3,2+EF$2)&lt;&gt;"",INDEX('×入力'!$A$1:$L$1300,6,2+EF$2)&lt;&gt;"",INDEX('×入力'!$A$1:$L$1300,7+EF$3,1)&lt;&gt;""),1,0),0)</f>
        <v/>
      </c>
      <c r="EG10">
        <f>IF(EG$4=1,IF(OR(INDEX('×入力'!$A$1:$L$1300,7+EG$3,2+EG$2)&lt;&gt;"",INDEX('×入力'!$A$1:$L$1300,6,2+EG$2)&lt;&gt;"",INDEX('×入力'!$A$1:$L$1300,7+EG$3,1)&lt;&gt;""),1,0),0)</f>
        <v/>
      </c>
      <c r="EH10">
        <f>IF(EH$4=1,IF(OR(INDEX('×入力'!$A$1:$L$1300,7+EH$3,2+EH$2)&lt;&gt;"",INDEX('×入力'!$A$1:$L$1300,6,2+EH$2)&lt;&gt;"",INDEX('×入力'!$A$1:$L$1300,7+EH$3,1)&lt;&gt;""),1,0),0)</f>
        <v/>
      </c>
      <c r="EI10">
        <f>IF(EI$4=1,IF(OR(INDEX('×入力'!$A$1:$L$1300,7+EI$3,2+EI$2)&lt;&gt;"",INDEX('×入力'!$A$1:$L$1300,6,2+EI$2)&lt;&gt;"",INDEX('×入力'!$A$1:$L$1300,7+EI$3,1)&lt;&gt;""),1,0),0)</f>
        <v/>
      </c>
      <c r="EJ10">
        <f>IF(EJ$4=1,IF(OR(INDEX('×入力'!$A$1:$L$1300,7+EJ$3,2+EJ$2)&lt;&gt;"",INDEX('×入力'!$A$1:$L$1300,6,2+EJ$2)&lt;&gt;"",INDEX('×入力'!$A$1:$L$1300,7+EJ$3,1)&lt;&gt;""),1,0),0)</f>
        <v/>
      </c>
      <c r="EK10">
        <f>IF(EK$4=1,IF(OR(INDEX('×入力'!$A$1:$L$1300,7+EK$3,2+EK$2)&lt;&gt;"",INDEX('×入力'!$A$1:$L$1300,6,2+EK$2)&lt;&gt;"",INDEX('×入力'!$A$1:$L$1300,7+EK$3,1)&lt;&gt;""),1,0),0)</f>
        <v/>
      </c>
      <c r="EL10">
        <f>IF(EL$4=1,IF(OR(INDEX('×入力'!$A$1:$L$1300,7+EL$3,2+EL$2)&lt;&gt;"",INDEX('×入力'!$A$1:$L$1300,6,2+EL$2)&lt;&gt;"",INDEX('×入力'!$A$1:$L$1300,7+EL$3,1)&lt;&gt;""),1,0),0)</f>
        <v/>
      </c>
      <c r="EM10">
        <f>IF(EM$4=1,IF(OR(INDEX('×入力'!$A$1:$L$1300,7+EM$3,2+EM$2)&lt;&gt;"",INDEX('×入力'!$A$1:$L$1300,6,2+EM$2)&lt;&gt;"",INDEX('×入力'!$A$1:$L$1300,7+EM$3,1)&lt;&gt;""),1,0),0)</f>
        <v/>
      </c>
      <c r="EN10">
        <f>IF(EN$4=1,IF(OR(INDEX('×入力'!$A$1:$L$1300,7+EN$3,2+EN$2)&lt;&gt;"",INDEX('×入力'!$A$1:$L$1300,6,2+EN$2)&lt;&gt;"",INDEX('×入力'!$A$1:$L$1300,7+EN$3,1)&lt;&gt;""),1,0),0)</f>
        <v/>
      </c>
      <c r="EO10">
        <f>IF(EO$4=1,IF(OR(INDEX('×入力'!$A$1:$L$1300,7+EO$3,2+EO$2)&lt;&gt;"",INDEX('×入力'!$A$1:$L$1300,6,2+EO$2)&lt;&gt;"",INDEX('×入力'!$A$1:$L$1300,7+EO$3,1)&lt;&gt;""),1,0),0)</f>
        <v/>
      </c>
      <c r="EP10">
        <f>IF(EP$4=1,IF(OR(INDEX('×入力'!$A$1:$L$1300,7+EP$3,2+EP$2)&lt;&gt;"",INDEX('×入力'!$A$1:$L$1300,6,2+EP$2)&lt;&gt;"",INDEX('×入力'!$A$1:$L$1300,7+EP$3,1)&lt;&gt;""),1,0),0)</f>
        <v/>
      </c>
      <c r="EQ10">
        <f>IF(EQ$4=1,IF(OR(INDEX('×入力'!$A$1:$L$1300,7+EQ$3,2+EQ$2)&lt;&gt;"",INDEX('×入力'!$A$1:$L$1300,6,2+EQ$2)&lt;&gt;"",INDEX('×入力'!$A$1:$L$1300,7+EQ$3,1)&lt;&gt;""),1,0),0)</f>
        <v/>
      </c>
      <c r="HA10">
        <f>MAX(0,IT10)</f>
        <v/>
      </c>
      <c r="HB10">
        <f>IF(HA10=0,0,INDEX($D$2:$EQ$2,HA10))</f>
        <v/>
      </c>
      <c r="HC10">
        <f>IF(HA10=0,0,INDEX($D$3:$EQ$3,HA10))</f>
        <v/>
      </c>
      <c r="HD10">
        <f>MAX(0,IY10)</f>
        <v/>
      </c>
      <c r="HE10">
        <f>IF(HD10=0,0,INDEX($D$2:$EQ$2,HD10))</f>
        <v/>
      </c>
      <c r="HF10">
        <f>IF(HD10=0,0,INDEX($D$3:$EQ$3,HD10))</f>
        <v/>
      </c>
      <c r="HG10">
        <f>MAX(0,IZ10)</f>
        <v/>
      </c>
      <c r="HH10">
        <f>IF(HG10=0,0,INDEX($D$2:$EQ$2,HG10))</f>
        <v/>
      </c>
      <c r="HI10">
        <f>IF(HG10=0,0,INDEX($D$3:$EQ$3,HG10))</f>
        <v/>
      </c>
      <c r="HJ10">
        <f>IF(AND(HA10&gt;0,HC10&gt;1,OR(HC10-1&lt;&gt;$A$3,$A$4=0)),HA10-1,-1)</f>
        <v/>
      </c>
      <c r="HK10">
        <f>IF(AND(HA10&gt;0,HC10&lt;24,OR(HC10&lt;&gt;$A$3,$A$4=0)),HA10+1,-1)</f>
        <v/>
      </c>
      <c r="HL10">
        <f>IF(AND(HD10&gt;0,HF10&gt;1,OR(HF10-1&lt;&gt;$A$3,$A$4=0)),HD10-1,-1)</f>
        <v/>
      </c>
      <c r="HM10">
        <f>IF(AND(HD10&gt;0,HF10&lt;24,OR(HF10&lt;&gt;$A$3,$A$4=0)),HD10+1,-1)</f>
        <v/>
      </c>
      <c r="HN10">
        <f>IF(AND(HG10&gt;0,HI10&gt;1,OR(HI10-1&lt;&gt;$A$3,$A$4=0)),HG10-1,-1)</f>
        <v/>
      </c>
      <c r="HO10">
        <f>IF(AND(HG10&gt;0,HI10&lt;24,OR(HI10&lt;&gt;$A$3,$A$4=0)),HG10+1,-1)</f>
        <v/>
      </c>
      <c r="IK10">
        <f>IFERROR(INDEX('calcB'!$C$3:$C$47,MATCH(A10,'calcB'!$B$3:$B$47,0)),0)</f>
        <v/>
      </c>
      <c r="IL10">
        <f>IF(AND(C10=1,IK10=0,calcA!$A$6&gt;0),1,0)</f>
        <v/>
      </c>
      <c r="IM10">
        <f>SUMPRODUCT(D60:EQ60*(1-$D$7:$EQ$7))</f>
        <v/>
      </c>
      <c r="IN10">
        <f>SUM(D10:EQ10)</f>
        <v/>
      </c>
      <c r="IO10">
        <f>IF(B10="",0,IF(COUNTIF('調整・決定'!$C$6:$H$29,B10)=1,SUMPRODUCT(('調整・決定'!$C$6:$H$29=B10)*((COLUMN('調整・決定'!$C$6:$H$29)-3)*24+ROW('調整・決定'!$C$6:$H$29)-5)),0))</f>
        <v/>
      </c>
      <c r="IP10">
        <f>IFERROR(MATCH('名簿'!C5,{"早い時刻","遅い時刻","早い日","遅い日"},0),0)</f>
        <v/>
      </c>
      <c r="IQ10">
        <f>IF('名簿'!D5="必ず空けたい",2,IF('名簿'!D5="出来れば空けたい",1,0))</f>
        <v/>
      </c>
      <c r="IR10">
        <f>IFERROR(INDEX('calcC'!$C$3:$C$47,MATCH(A10,'calcC'!$B$3:$B$47,0)),0)</f>
        <v/>
      </c>
      <c r="IS10">
        <f>IF(AND(C10=1,IR10=0,calcA!$A$6&gt;0),1,0)</f>
        <v/>
      </c>
      <c r="IT10">
        <f>IF(OR('名簿'!G5="",'名簿'!H5=""),0,IFERROR((MATCH('名簿'!G5,'設定'!$E$11:$E$16,0)-1)*24+MATCH('名簿'!H5,'設定'!$I$11:$I$34,0),-1))</f>
        <v/>
      </c>
      <c r="IV10">
        <f>IF(OR(JF10=0,IO10=0),1,IF(OR(IF(IT10&gt;0,AND(INDEX($D$2:$EQ$2,IO10)=INDEX($D$2:$EQ$2,IT10),OR(AND(IO10=IT10+1,OR(INDEX($D$3:$EQ$3,IT10)&lt;&gt;$A$3,$A$4=0)),AND(IO10=IT10-1,OR(INDEX($D$3:$EQ$3,IO10)&lt;&gt;$A$3,$A$4=0)))),FALSE),IF(IY10&gt;0,AND(INDEX($D$2:$EQ$2,IO10)=INDEX($D$2:$EQ$2,IY10),OR(AND(IO10=IY10+1,OR(INDEX($D$3:$EQ$3,IY10)&lt;&gt;$A$3,$A$4=0)),AND(IO10=IY10-1,OR(INDEX($D$3:$EQ$3,IO10)&lt;&gt;$A$3,$A$4=0)))),FALSE),IF(IZ10&gt;0,AND(INDEX($D$2:$EQ$2,IO10)=INDEX($D$2:$EQ$2,IZ10),OR(AND(IO10=IZ10+1,OR(INDEX($D$3:$EQ$3,IZ10)&lt;&gt;$A$3,$A$4=0)),AND(IO10=IZ10-1,OR(INDEX($D$3:$EQ$3,IO10)&lt;&gt;$A$3,$A$4=0)))),FALSE)),1,0))</f>
        <v/>
      </c>
      <c r="IW10">
        <f>IF(AND('名簿'!E5&lt;&gt;"",JF10=0),1,0)</f>
        <v/>
      </c>
      <c r="IX10">
        <f>IF('名簿'!D5="空けない",1,0)</f>
        <v/>
      </c>
      <c r="IY10">
        <f>IF(OR('名簿'!J5="",'名簿'!K5=""),0,IFERROR((MATCH('名簿'!J5,'設定'!$E$11:$E$16,0)-1)*24+MATCH('名簿'!K5,'設定'!$I$11:$I$34,0),-1))</f>
        <v/>
      </c>
      <c r="IZ10">
        <f>IF(OR('名簿'!M5="",'名簿'!N5=""),0,IFERROR((MATCH('名簿'!M5,'設定'!$E$11:$E$16,0)-1)*24+MATCH('名簿'!N5,'設定'!$I$11:$I$34,0),-1))</f>
        <v/>
      </c>
      <c r="JC10">
        <f>IF(RIGHT('名簿'!I5,2)="の前",1,IF(RIGHT('名簿'!I5,2)="の後",2,0))</f>
        <v/>
      </c>
      <c r="JD10">
        <f>IF(RIGHT('名簿'!L5,2)="の前",1,IF(RIGHT('名簿'!L5,2)="の後",2,0))</f>
        <v/>
      </c>
      <c r="JE10">
        <f>IF(RIGHT('名簿'!O5,2)="の前",1,IF(RIGHT('名簿'!O5,2)="の後",2,0))</f>
        <v/>
      </c>
      <c r="JF10">
        <f>IF(OR(IT10&gt;0,IY10&gt;0,IZ10&gt;0),1,0)</f>
        <v/>
      </c>
      <c r="JG10">
        <f>IF(OR(IT10&lt;0,IY10&lt;0,IZ10&lt;0),1,0)</f>
        <v/>
      </c>
    </row>
    <row r="11">
      <c r="A11" t="n">
        <v>2</v>
      </c>
      <c r="B11">
        <f>'名簿'!P6</f>
        <v/>
      </c>
      <c r="C11">
        <f>IF(AND(B11&lt;&gt;"",OR('名簿'!Q6="入力済み",'名簿'!Q6="×なし"),IO11=0,COUNTIF('調整・決定'!$C$6:$H$29,B11)=0),1,0)</f>
        <v/>
      </c>
      <c r="D11">
        <f>IF(D$4=1,IF(OR(INDEX('×入力'!$A$1:$L$1300,35+D$3,2+D$2)&lt;&gt;"",INDEX('×入力'!$A$1:$L$1300,34,2+D$2)&lt;&gt;"",INDEX('×入力'!$A$1:$L$1300,35+D$3,1)&lt;&gt;""),1,0),0)</f>
        <v/>
      </c>
      <c r="E11">
        <f>IF(E$4=1,IF(OR(INDEX('×入力'!$A$1:$L$1300,35+E$3,2+E$2)&lt;&gt;"",INDEX('×入力'!$A$1:$L$1300,34,2+E$2)&lt;&gt;"",INDEX('×入力'!$A$1:$L$1300,35+E$3,1)&lt;&gt;""),1,0),0)</f>
        <v/>
      </c>
      <c r="F11">
        <f>IF(F$4=1,IF(OR(INDEX('×入力'!$A$1:$L$1300,35+F$3,2+F$2)&lt;&gt;"",INDEX('×入力'!$A$1:$L$1300,34,2+F$2)&lt;&gt;"",INDEX('×入力'!$A$1:$L$1300,35+F$3,1)&lt;&gt;""),1,0),0)</f>
        <v/>
      </c>
      <c r="G11">
        <f>IF(G$4=1,IF(OR(INDEX('×入力'!$A$1:$L$1300,35+G$3,2+G$2)&lt;&gt;"",INDEX('×入力'!$A$1:$L$1300,34,2+G$2)&lt;&gt;"",INDEX('×入力'!$A$1:$L$1300,35+G$3,1)&lt;&gt;""),1,0),0)</f>
        <v/>
      </c>
      <c r="H11">
        <f>IF(H$4=1,IF(OR(INDEX('×入力'!$A$1:$L$1300,35+H$3,2+H$2)&lt;&gt;"",INDEX('×入力'!$A$1:$L$1300,34,2+H$2)&lt;&gt;"",INDEX('×入力'!$A$1:$L$1300,35+H$3,1)&lt;&gt;""),1,0),0)</f>
        <v/>
      </c>
      <c r="I11">
        <f>IF(I$4=1,IF(OR(INDEX('×入力'!$A$1:$L$1300,35+I$3,2+I$2)&lt;&gt;"",INDEX('×入力'!$A$1:$L$1300,34,2+I$2)&lt;&gt;"",INDEX('×入力'!$A$1:$L$1300,35+I$3,1)&lt;&gt;""),1,0),0)</f>
        <v/>
      </c>
      <c r="J11">
        <f>IF(J$4=1,IF(OR(INDEX('×入力'!$A$1:$L$1300,35+J$3,2+J$2)&lt;&gt;"",INDEX('×入力'!$A$1:$L$1300,34,2+J$2)&lt;&gt;"",INDEX('×入力'!$A$1:$L$1300,35+J$3,1)&lt;&gt;""),1,0),0)</f>
        <v/>
      </c>
      <c r="K11">
        <f>IF(K$4=1,IF(OR(INDEX('×入力'!$A$1:$L$1300,35+K$3,2+K$2)&lt;&gt;"",INDEX('×入力'!$A$1:$L$1300,34,2+K$2)&lt;&gt;"",INDEX('×入力'!$A$1:$L$1300,35+K$3,1)&lt;&gt;""),1,0),0)</f>
        <v/>
      </c>
      <c r="L11">
        <f>IF(L$4=1,IF(OR(INDEX('×入力'!$A$1:$L$1300,35+L$3,2+L$2)&lt;&gt;"",INDEX('×入力'!$A$1:$L$1300,34,2+L$2)&lt;&gt;"",INDEX('×入力'!$A$1:$L$1300,35+L$3,1)&lt;&gt;""),1,0),0)</f>
        <v/>
      </c>
      <c r="M11">
        <f>IF(M$4=1,IF(OR(INDEX('×入力'!$A$1:$L$1300,35+M$3,2+M$2)&lt;&gt;"",INDEX('×入力'!$A$1:$L$1300,34,2+M$2)&lt;&gt;"",INDEX('×入力'!$A$1:$L$1300,35+M$3,1)&lt;&gt;""),1,0),0)</f>
        <v/>
      </c>
      <c r="N11">
        <f>IF(N$4=1,IF(OR(INDEX('×入力'!$A$1:$L$1300,35+N$3,2+N$2)&lt;&gt;"",INDEX('×入力'!$A$1:$L$1300,34,2+N$2)&lt;&gt;"",INDEX('×入力'!$A$1:$L$1300,35+N$3,1)&lt;&gt;""),1,0),0)</f>
        <v/>
      </c>
      <c r="O11">
        <f>IF(O$4=1,IF(OR(INDEX('×入力'!$A$1:$L$1300,35+O$3,2+O$2)&lt;&gt;"",INDEX('×入力'!$A$1:$L$1300,34,2+O$2)&lt;&gt;"",INDEX('×入力'!$A$1:$L$1300,35+O$3,1)&lt;&gt;""),1,0),0)</f>
        <v/>
      </c>
      <c r="P11">
        <f>IF(P$4=1,IF(OR(INDEX('×入力'!$A$1:$L$1300,35+P$3,2+P$2)&lt;&gt;"",INDEX('×入力'!$A$1:$L$1300,34,2+P$2)&lt;&gt;"",INDEX('×入力'!$A$1:$L$1300,35+P$3,1)&lt;&gt;""),1,0),0)</f>
        <v/>
      </c>
      <c r="Q11">
        <f>IF(Q$4=1,IF(OR(INDEX('×入力'!$A$1:$L$1300,35+Q$3,2+Q$2)&lt;&gt;"",INDEX('×入力'!$A$1:$L$1300,34,2+Q$2)&lt;&gt;"",INDEX('×入力'!$A$1:$L$1300,35+Q$3,1)&lt;&gt;""),1,0),0)</f>
        <v/>
      </c>
      <c r="R11">
        <f>IF(R$4=1,IF(OR(INDEX('×入力'!$A$1:$L$1300,35+R$3,2+R$2)&lt;&gt;"",INDEX('×入力'!$A$1:$L$1300,34,2+R$2)&lt;&gt;"",INDEX('×入力'!$A$1:$L$1300,35+R$3,1)&lt;&gt;""),1,0),0)</f>
        <v/>
      </c>
      <c r="S11">
        <f>IF(S$4=1,IF(OR(INDEX('×入力'!$A$1:$L$1300,35+S$3,2+S$2)&lt;&gt;"",INDEX('×入力'!$A$1:$L$1300,34,2+S$2)&lt;&gt;"",INDEX('×入力'!$A$1:$L$1300,35+S$3,1)&lt;&gt;""),1,0),0)</f>
        <v/>
      </c>
      <c r="T11">
        <f>IF(T$4=1,IF(OR(INDEX('×入力'!$A$1:$L$1300,35+T$3,2+T$2)&lt;&gt;"",INDEX('×入力'!$A$1:$L$1300,34,2+T$2)&lt;&gt;"",INDEX('×入力'!$A$1:$L$1300,35+T$3,1)&lt;&gt;""),1,0),0)</f>
        <v/>
      </c>
      <c r="U11">
        <f>IF(U$4=1,IF(OR(INDEX('×入力'!$A$1:$L$1300,35+U$3,2+U$2)&lt;&gt;"",INDEX('×入力'!$A$1:$L$1300,34,2+U$2)&lt;&gt;"",INDEX('×入力'!$A$1:$L$1300,35+U$3,1)&lt;&gt;""),1,0),0)</f>
        <v/>
      </c>
      <c r="V11">
        <f>IF(V$4=1,IF(OR(INDEX('×入力'!$A$1:$L$1300,35+V$3,2+V$2)&lt;&gt;"",INDEX('×入力'!$A$1:$L$1300,34,2+V$2)&lt;&gt;"",INDEX('×入力'!$A$1:$L$1300,35+V$3,1)&lt;&gt;""),1,0),0)</f>
        <v/>
      </c>
      <c r="W11">
        <f>IF(W$4=1,IF(OR(INDEX('×入力'!$A$1:$L$1300,35+W$3,2+W$2)&lt;&gt;"",INDEX('×入力'!$A$1:$L$1300,34,2+W$2)&lt;&gt;"",INDEX('×入力'!$A$1:$L$1300,35+W$3,1)&lt;&gt;""),1,0),0)</f>
        <v/>
      </c>
      <c r="X11">
        <f>IF(X$4=1,IF(OR(INDEX('×入力'!$A$1:$L$1300,35+X$3,2+X$2)&lt;&gt;"",INDEX('×入力'!$A$1:$L$1300,34,2+X$2)&lt;&gt;"",INDEX('×入力'!$A$1:$L$1300,35+X$3,1)&lt;&gt;""),1,0),0)</f>
        <v/>
      </c>
      <c r="Y11">
        <f>IF(Y$4=1,IF(OR(INDEX('×入力'!$A$1:$L$1300,35+Y$3,2+Y$2)&lt;&gt;"",INDEX('×入力'!$A$1:$L$1300,34,2+Y$2)&lt;&gt;"",INDEX('×入力'!$A$1:$L$1300,35+Y$3,1)&lt;&gt;""),1,0),0)</f>
        <v/>
      </c>
      <c r="Z11">
        <f>IF(Z$4=1,IF(OR(INDEX('×入力'!$A$1:$L$1300,35+Z$3,2+Z$2)&lt;&gt;"",INDEX('×入力'!$A$1:$L$1300,34,2+Z$2)&lt;&gt;"",INDEX('×入力'!$A$1:$L$1300,35+Z$3,1)&lt;&gt;""),1,0),0)</f>
        <v/>
      </c>
      <c r="AA11">
        <f>IF(AA$4=1,IF(OR(INDEX('×入力'!$A$1:$L$1300,35+AA$3,2+AA$2)&lt;&gt;"",INDEX('×入力'!$A$1:$L$1300,34,2+AA$2)&lt;&gt;"",INDEX('×入力'!$A$1:$L$1300,35+AA$3,1)&lt;&gt;""),1,0),0)</f>
        <v/>
      </c>
      <c r="AB11">
        <f>IF(AB$4=1,IF(OR(INDEX('×入力'!$A$1:$L$1300,35+AB$3,2+AB$2)&lt;&gt;"",INDEX('×入力'!$A$1:$L$1300,34,2+AB$2)&lt;&gt;"",INDEX('×入力'!$A$1:$L$1300,35+AB$3,1)&lt;&gt;""),1,0),0)</f>
        <v/>
      </c>
      <c r="AC11">
        <f>IF(AC$4=1,IF(OR(INDEX('×入力'!$A$1:$L$1300,35+AC$3,2+AC$2)&lt;&gt;"",INDEX('×入力'!$A$1:$L$1300,34,2+AC$2)&lt;&gt;"",INDEX('×入力'!$A$1:$L$1300,35+AC$3,1)&lt;&gt;""),1,0),0)</f>
        <v/>
      </c>
      <c r="AD11">
        <f>IF(AD$4=1,IF(OR(INDEX('×入力'!$A$1:$L$1300,35+AD$3,2+AD$2)&lt;&gt;"",INDEX('×入力'!$A$1:$L$1300,34,2+AD$2)&lt;&gt;"",INDEX('×入力'!$A$1:$L$1300,35+AD$3,1)&lt;&gt;""),1,0),0)</f>
        <v/>
      </c>
      <c r="AE11">
        <f>IF(AE$4=1,IF(OR(INDEX('×入力'!$A$1:$L$1300,35+AE$3,2+AE$2)&lt;&gt;"",INDEX('×入力'!$A$1:$L$1300,34,2+AE$2)&lt;&gt;"",INDEX('×入力'!$A$1:$L$1300,35+AE$3,1)&lt;&gt;""),1,0),0)</f>
        <v/>
      </c>
      <c r="AF11">
        <f>IF(AF$4=1,IF(OR(INDEX('×入力'!$A$1:$L$1300,35+AF$3,2+AF$2)&lt;&gt;"",INDEX('×入力'!$A$1:$L$1300,34,2+AF$2)&lt;&gt;"",INDEX('×入力'!$A$1:$L$1300,35+AF$3,1)&lt;&gt;""),1,0),0)</f>
        <v/>
      </c>
      <c r="AG11">
        <f>IF(AG$4=1,IF(OR(INDEX('×入力'!$A$1:$L$1300,35+AG$3,2+AG$2)&lt;&gt;"",INDEX('×入力'!$A$1:$L$1300,34,2+AG$2)&lt;&gt;"",INDEX('×入力'!$A$1:$L$1300,35+AG$3,1)&lt;&gt;""),1,0),0)</f>
        <v/>
      </c>
      <c r="AH11">
        <f>IF(AH$4=1,IF(OR(INDEX('×入力'!$A$1:$L$1300,35+AH$3,2+AH$2)&lt;&gt;"",INDEX('×入力'!$A$1:$L$1300,34,2+AH$2)&lt;&gt;"",INDEX('×入力'!$A$1:$L$1300,35+AH$3,1)&lt;&gt;""),1,0),0)</f>
        <v/>
      </c>
      <c r="AI11">
        <f>IF(AI$4=1,IF(OR(INDEX('×入力'!$A$1:$L$1300,35+AI$3,2+AI$2)&lt;&gt;"",INDEX('×入力'!$A$1:$L$1300,34,2+AI$2)&lt;&gt;"",INDEX('×入力'!$A$1:$L$1300,35+AI$3,1)&lt;&gt;""),1,0),0)</f>
        <v/>
      </c>
      <c r="AJ11">
        <f>IF(AJ$4=1,IF(OR(INDEX('×入力'!$A$1:$L$1300,35+AJ$3,2+AJ$2)&lt;&gt;"",INDEX('×入力'!$A$1:$L$1300,34,2+AJ$2)&lt;&gt;"",INDEX('×入力'!$A$1:$L$1300,35+AJ$3,1)&lt;&gt;""),1,0),0)</f>
        <v/>
      </c>
      <c r="AK11">
        <f>IF(AK$4=1,IF(OR(INDEX('×入力'!$A$1:$L$1300,35+AK$3,2+AK$2)&lt;&gt;"",INDEX('×入力'!$A$1:$L$1300,34,2+AK$2)&lt;&gt;"",INDEX('×入力'!$A$1:$L$1300,35+AK$3,1)&lt;&gt;""),1,0),0)</f>
        <v/>
      </c>
      <c r="AL11">
        <f>IF(AL$4=1,IF(OR(INDEX('×入力'!$A$1:$L$1300,35+AL$3,2+AL$2)&lt;&gt;"",INDEX('×入力'!$A$1:$L$1300,34,2+AL$2)&lt;&gt;"",INDEX('×入力'!$A$1:$L$1300,35+AL$3,1)&lt;&gt;""),1,0),0)</f>
        <v/>
      </c>
      <c r="AM11">
        <f>IF(AM$4=1,IF(OR(INDEX('×入力'!$A$1:$L$1300,35+AM$3,2+AM$2)&lt;&gt;"",INDEX('×入力'!$A$1:$L$1300,34,2+AM$2)&lt;&gt;"",INDEX('×入力'!$A$1:$L$1300,35+AM$3,1)&lt;&gt;""),1,0),0)</f>
        <v/>
      </c>
      <c r="AN11">
        <f>IF(AN$4=1,IF(OR(INDEX('×入力'!$A$1:$L$1300,35+AN$3,2+AN$2)&lt;&gt;"",INDEX('×入力'!$A$1:$L$1300,34,2+AN$2)&lt;&gt;"",INDEX('×入力'!$A$1:$L$1300,35+AN$3,1)&lt;&gt;""),1,0),0)</f>
        <v/>
      </c>
      <c r="AO11">
        <f>IF(AO$4=1,IF(OR(INDEX('×入力'!$A$1:$L$1300,35+AO$3,2+AO$2)&lt;&gt;"",INDEX('×入力'!$A$1:$L$1300,34,2+AO$2)&lt;&gt;"",INDEX('×入力'!$A$1:$L$1300,35+AO$3,1)&lt;&gt;""),1,0),0)</f>
        <v/>
      </c>
      <c r="AP11">
        <f>IF(AP$4=1,IF(OR(INDEX('×入力'!$A$1:$L$1300,35+AP$3,2+AP$2)&lt;&gt;"",INDEX('×入力'!$A$1:$L$1300,34,2+AP$2)&lt;&gt;"",INDEX('×入力'!$A$1:$L$1300,35+AP$3,1)&lt;&gt;""),1,0),0)</f>
        <v/>
      </c>
      <c r="AQ11">
        <f>IF(AQ$4=1,IF(OR(INDEX('×入力'!$A$1:$L$1300,35+AQ$3,2+AQ$2)&lt;&gt;"",INDEX('×入力'!$A$1:$L$1300,34,2+AQ$2)&lt;&gt;"",INDEX('×入力'!$A$1:$L$1300,35+AQ$3,1)&lt;&gt;""),1,0),0)</f>
        <v/>
      </c>
      <c r="AR11">
        <f>IF(AR$4=1,IF(OR(INDEX('×入力'!$A$1:$L$1300,35+AR$3,2+AR$2)&lt;&gt;"",INDEX('×入力'!$A$1:$L$1300,34,2+AR$2)&lt;&gt;"",INDEX('×入力'!$A$1:$L$1300,35+AR$3,1)&lt;&gt;""),1,0),0)</f>
        <v/>
      </c>
      <c r="AS11">
        <f>IF(AS$4=1,IF(OR(INDEX('×入力'!$A$1:$L$1300,35+AS$3,2+AS$2)&lt;&gt;"",INDEX('×入力'!$A$1:$L$1300,34,2+AS$2)&lt;&gt;"",INDEX('×入力'!$A$1:$L$1300,35+AS$3,1)&lt;&gt;""),1,0),0)</f>
        <v/>
      </c>
      <c r="AT11">
        <f>IF(AT$4=1,IF(OR(INDEX('×入力'!$A$1:$L$1300,35+AT$3,2+AT$2)&lt;&gt;"",INDEX('×入力'!$A$1:$L$1300,34,2+AT$2)&lt;&gt;"",INDEX('×入力'!$A$1:$L$1300,35+AT$3,1)&lt;&gt;""),1,0),0)</f>
        <v/>
      </c>
      <c r="AU11">
        <f>IF(AU$4=1,IF(OR(INDEX('×入力'!$A$1:$L$1300,35+AU$3,2+AU$2)&lt;&gt;"",INDEX('×入力'!$A$1:$L$1300,34,2+AU$2)&lt;&gt;"",INDEX('×入力'!$A$1:$L$1300,35+AU$3,1)&lt;&gt;""),1,0),0)</f>
        <v/>
      </c>
      <c r="AV11">
        <f>IF(AV$4=1,IF(OR(INDEX('×入力'!$A$1:$L$1300,35+AV$3,2+AV$2)&lt;&gt;"",INDEX('×入力'!$A$1:$L$1300,34,2+AV$2)&lt;&gt;"",INDEX('×入力'!$A$1:$L$1300,35+AV$3,1)&lt;&gt;""),1,0),0)</f>
        <v/>
      </c>
      <c r="AW11">
        <f>IF(AW$4=1,IF(OR(INDEX('×入力'!$A$1:$L$1300,35+AW$3,2+AW$2)&lt;&gt;"",INDEX('×入力'!$A$1:$L$1300,34,2+AW$2)&lt;&gt;"",INDEX('×入力'!$A$1:$L$1300,35+AW$3,1)&lt;&gt;""),1,0),0)</f>
        <v/>
      </c>
      <c r="AX11">
        <f>IF(AX$4=1,IF(OR(INDEX('×入力'!$A$1:$L$1300,35+AX$3,2+AX$2)&lt;&gt;"",INDEX('×入力'!$A$1:$L$1300,34,2+AX$2)&lt;&gt;"",INDEX('×入力'!$A$1:$L$1300,35+AX$3,1)&lt;&gt;""),1,0),0)</f>
        <v/>
      </c>
      <c r="AY11">
        <f>IF(AY$4=1,IF(OR(INDEX('×入力'!$A$1:$L$1300,35+AY$3,2+AY$2)&lt;&gt;"",INDEX('×入力'!$A$1:$L$1300,34,2+AY$2)&lt;&gt;"",INDEX('×入力'!$A$1:$L$1300,35+AY$3,1)&lt;&gt;""),1,0),0)</f>
        <v/>
      </c>
      <c r="AZ11">
        <f>IF(AZ$4=1,IF(OR(INDEX('×入力'!$A$1:$L$1300,35+AZ$3,2+AZ$2)&lt;&gt;"",INDEX('×入力'!$A$1:$L$1300,34,2+AZ$2)&lt;&gt;"",INDEX('×入力'!$A$1:$L$1300,35+AZ$3,1)&lt;&gt;""),1,0),0)</f>
        <v/>
      </c>
      <c r="BA11">
        <f>IF(BA$4=1,IF(OR(INDEX('×入力'!$A$1:$L$1300,35+BA$3,2+BA$2)&lt;&gt;"",INDEX('×入力'!$A$1:$L$1300,34,2+BA$2)&lt;&gt;"",INDEX('×入力'!$A$1:$L$1300,35+BA$3,1)&lt;&gt;""),1,0),0)</f>
        <v/>
      </c>
      <c r="BB11">
        <f>IF(BB$4=1,IF(OR(INDEX('×入力'!$A$1:$L$1300,35+BB$3,2+BB$2)&lt;&gt;"",INDEX('×入力'!$A$1:$L$1300,34,2+BB$2)&lt;&gt;"",INDEX('×入力'!$A$1:$L$1300,35+BB$3,1)&lt;&gt;""),1,0),0)</f>
        <v/>
      </c>
      <c r="BC11">
        <f>IF(BC$4=1,IF(OR(INDEX('×入力'!$A$1:$L$1300,35+BC$3,2+BC$2)&lt;&gt;"",INDEX('×入力'!$A$1:$L$1300,34,2+BC$2)&lt;&gt;"",INDEX('×入力'!$A$1:$L$1300,35+BC$3,1)&lt;&gt;""),1,0),0)</f>
        <v/>
      </c>
      <c r="BD11">
        <f>IF(BD$4=1,IF(OR(INDEX('×入力'!$A$1:$L$1300,35+BD$3,2+BD$2)&lt;&gt;"",INDEX('×入力'!$A$1:$L$1300,34,2+BD$2)&lt;&gt;"",INDEX('×入力'!$A$1:$L$1300,35+BD$3,1)&lt;&gt;""),1,0),0)</f>
        <v/>
      </c>
      <c r="BE11">
        <f>IF(BE$4=1,IF(OR(INDEX('×入力'!$A$1:$L$1300,35+BE$3,2+BE$2)&lt;&gt;"",INDEX('×入力'!$A$1:$L$1300,34,2+BE$2)&lt;&gt;"",INDEX('×入力'!$A$1:$L$1300,35+BE$3,1)&lt;&gt;""),1,0),0)</f>
        <v/>
      </c>
      <c r="BF11">
        <f>IF(BF$4=1,IF(OR(INDEX('×入力'!$A$1:$L$1300,35+BF$3,2+BF$2)&lt;&gt;"",INDEX('×入力'!$A$1:$L$1300,34,2+BF$2)&lt;&gt;"",INDEX('×入力'!$A$1:$L$1300,35+BF$3,1)&lt;&gt;""),1,0),0)</f>
        <v/>
      </c>
      <c r="BG11">
        <f>IF(BG$4=1,IF(OR(INDEX('×入力'!$A$1:$L$1300,35+BG$3,2+BG$2)&lt;&gt;"",INDEX('×入力'!$A$1:$L$1300,34,2+BG$2)&lt;&gt;"",INDEX('×入力'!$A$1:$L$1300,35+BG$3,1)&lt;&gt;""),1,0),0)</f>
        <v/>
      </c>
      <c r="BH11">
        <f>IF(BH$4=1,IF(OR(INDEX('×入力'!$A$1:$L$1300,35+BH$3,2+BH$2)&lt;&gt;"",INDEX('×入力'!$A$1:$L$1300,34,2+BH$2)&lt;&gt;"",INDEX('×入力'!$A$1:$L$1300,35+BH$3,1)&lt;&gt;""),1,0),0)</f>
        <v/>
      </c>
      <c r="BI11">
        <f>IF(BI$4=1,IF(OR(INDEX('×入力'!$A$1:$L$1300,35+BI$3,2+BI$2)&lt;&gt;"",INDEX('×入力'!$A$1:$L$1300,34,2+BI$2)&lt;&gt;"",INDEX('×入力'!$A$1:$L$1300,35+BI$3,1)&lt;&gt;""),1,0),0)</f>
        <v/>
      </c>
      <c r="BJ11">
        <f>IF(BJ$4=1,IF(OR(INDEX('×入力'!$A$1:$L$1300,35+BJ$3,2+BJ$2)&lt;&gt;"",INDEX('×入力'!$A$1:$L$1300,34,2+BJ$2)&lt;&gt;"",INDEX('×入力'!$A$1:$L$1300,35+BJ$3,1)&lt;&gt;""),1,0),0)</f>
        <v/>
      </c>
      <c r="BK11">
        <f>IF(BK$4=1,IF(OR(INDEX('×入力'!$A$1:$L$1300,35+BK$3,2+BK$2)&lt;&gt;"",INDEX('×入力'!$A$1:$L$1300,34,2+BK$2)&lt;&gt;"",INDEX('×入力'!$A$1:$L$1300,35+BK$3,1)&lt;&gt;""),1,0),0)</f>
        <v/>
      </c>
      <c r="BL11">
        <f>IF(BL$4=1,IF(OR(INDEX('×入力'!$A$1:$L$1300,35+BL$3,2+BL$2)&lt;&gt;"",INDEX('×入力'!$A$1:$L$1300,34,2+BL$2)&lt;&gt;"",INDEX('×入力'!$A$1:$L$1300,35+BL$3,1)&lt;&gt;""),1,0),0)</f>
        <v/>
      </c>
      <c r="BM11">
        <f>IF(BM$4=1,IF(OR(INDEX('×入力'!$A$1:$L$1300,35+BM$3,2+BM$2)&lt;&gt;"",INDEX('×入力'!$A$1:$L$1300,34,2+BM$2)&lt;&gt;"",INDEX('×入力'!$A$1:$L$1300,35+BM$3,1)&lt;&gt;""),1,0),0)</f>
        <v/>
      </c>
      <c r="BN11">
        <f>IF(BN$4=1,IF(OR(INDEX('×入力'!$A$1:$L$1300,35+BN$3,2+BN$2)&lt;&gt;"",INDEX('×入力'!$A$1:$L$1300,34,2+BN$2)&lt;&gt;"",INDEX('×入力'!$A$1:$L$1300,35+BN$3,1)&lt;&gt;""),1,0),0)</f>
        <v/>
      </c>
      <c r="BO11">
        <f>IF(BO$4=1,IF(OR(INDEX('×入力'!$A$1:$L$1300,35+BO$3,2+BO$2)&lt;&gt;"",INDEX('×入力'!$A$1:$L$1300,34,2+BO$2)&lt;&gt;"",INDEX('×入力'!$A$1:$L$1300,35+BO$3,1)&lt;&gt;""),1,0),0)</f>
        <v/>
      </c>
      <c r="BP11">
        <f>IF(BP$4=1,IF(OR(INDEX('×入力'!$A$1:$L$1300,35+BP$3,2+BP$2)&lt;&gt;"",INDEX('×入力'!$A$1:$L$1300,34,2+BP$2)&lt;&gt;"",INDEX('×入力'!$A$1:$L$1300,35+BP$3,1)&lt;&gt;""),1,0),0)</f>
        <v/>
      </c>
      <c r="BQ11">
        <f>IF(BQ$4=1,IF(OR(INDEX('×入力'!$A$1:$L$1300,35+BQ$3,2+BQ$2)&lt;&gt;"",INDEX('×入力'!$A$1:$L$1300,34,2+BQ$2)&lt;&gt;"",INDEX('×入力'!$A$1:$L$1300,35+BQ$3,1)&lt;&gt;""),1,0),0)</f>
        <v/>
      </c>
      <c r="BR11">
        <f>IF(BR$4=1,IF(OR(INDEX('×入力'!$A$1:$L$1300,35+BR$3,2+BR$2)&lt;&gt;"",INDEX('×入力'!$A$1:$L$1300,34,2+BR$2)&lt;&gt;"",INDEX('×入力'!$A$1:$L$1300,35+BR$3,1)&lt;&gt;""),1,0),0)</f>
        <v/>
      </c>
      <c r="BS11">
        <f>IF(BS$4=1,IF(OR(INDEX('×入力'!$A$1:$L$1300,35+BS$3,2+BS$2)&lt;&gt;"",INDEX('×入力'!$A$1:$L$1300,34,2+BS$2)&lt;&gt;"",INDEX('×入力'!$A$1:$L$1300,35+BS$3,1)&lt;&gt;""),1,0),0)</f>
        <v/>
      </c>
      <c r="BT11">
        <f>IF(BT$4=1,IF(OR(INDEX('×入力'!$A$1:$L$1300,35+BT$3,2+BT$2)&lt;&gt;"",INDEX('×入力'!$A$1:$L$1300,34,2+BT$2)&lt;&gt;"",INDEX('×入力'!$A$1:$L$1300,35+BT$3,1)&lt;&gt;""),1,0),0)</f>
        <v/>
      </c>
      <c r="BU11">
        <f>IF(BU$4=1,IF(OR(INDEX('×入力'!$A$1:$L$1300,35+BU$3,2+BU$2)&lt;&gt;"",INDEX('×入力'!$A$1:$L$1300,34,2+BU$2)&lt;&gt;"",INDEX('×入力'!$A$1:$L$1300,35+BU$3,1)&lt;&gt;""),1,0),0)</f>
        <v/>
      </c>
      <c r="BV11">
        <f>IF(BV$4=1,IF(OR(INDEX('×入力'!$A$1:$L$1300,35+BV$3,2+BV$2)&lt;&gt;"",INDEX('×入力'!$A$1:$L$1300,34,2+BV$2)&lt;&gt;"",INDEX('×入力'!$A$1:$L$1300,35+BV$3,1)&lt;&gt;""),1,0),0)</f>
        <v/>
      </c>
      <c r="BW11">
        <f>IF(BW$4=1,IF(OR(INDEX('×入力'!$A$1:$L$1300,35+BW$3,2+BW$2)&lt;&gt;"",INDEX('×入力'!$A$1:$L$1300,34,2+BW$2)&lt;&gt;"",INDEX('×入力'!$A$1:$L$1300,35+BW$3,1)&lt;&gt;""),1,0),0)</f>
        <v/>
      </c>
      <c r="BX11">
        <f>IF(BX$4=1,IF(OR(INDEX('×入力'!$A$1:$L$1300,35+BX$3,2+BX$2)&lt;&gt;"",INDEX('×入力'!$A$1:$L$1300,34,2+BX$2)&lt;&gt;"",INDEX('×入力'!$A$1:$L$1300,35+BX$3,1)&lt;&gt;""),1,0),0)</f>
        <v/>
      </c>
      <c r="BY11">
        <f>IF(BY$4=1,IF(OR(INDEX('×入力'!$A$1:$L$1300,35+BY$3,2+BY$2)&lt;&gt;"",INDEX('×入力'!$A$1:$L$1300,34,2+BY$2)&lt;&gt;"",INDEX('×入力'!$A$1:$L$1300,35+BY$3,1)&lt;&gt;""),1,0),0)</f>
        <v/>
      </c>
      <c r="BZ11">
        <f>IF(BZ$4=1,IF(OR(INDEX('×入力'!$A$1:$L$1300,35+BZ$3,2+BZ$2)&lt;&gt;"",INDEX('×入力'!$A$1:$L$1300,34,2+BZ$2)&lt;&gt;"",INDEX('×入力'!$A$1:$L$1300,35+BZ$3,1)&lt;&gt;""),1,0),0)</f>
        <v/>
      </c>
      <c r="CA11">
        <f>IF(CA$4=1,IF(OR(INDEX('×入力'!$A$1:$L$1300,35+CA$3,2+CA$2)&lt;&gt;"",INDEX('×入力'!$A$1:$L$1300,34,2+CA$2)&lt;&gt;"",INDEX('×入力'!$A$1:$L$1300,35+CA$3,1)&lt;&gt;""),1,0),0)</f>
        <v/>
      </c>
      <c r="CB11">
        <f>IF(CB$4=1,IF(OR(INDEX('×入力'!$A$1:$L$1300,35+CB$3,2+CB$2)&lt;&gt;"",INDEX('×入力'!$A$1:$L$1300,34,2+CB$2)&lt;&gt;"",INDEX('×入力'!$A$1:$L$1300,35+CB$3,1)&lt;&gt;""),1,0),0)</f>
        <v/>
      </c>
      <c r="CC11">
        <f>IF(CC$4=1,IF(OR(INDEX('×入力'!$A$1:$L$1300,35+CC$3,2+CC$2)&lt;&gt;"",INDEX('×入力'!$A$1:$L$1300,34,2+CC$2)&lt;&gt;"",INDEX('×入力'!$A$1:$L$1300,35+CC$3,1)&lt;&gt;""),1,0),0)</f>
        <v/>
      </c>
      <c r="CD11">
        <f>IF(CD$4=1,IF(OR(INDEX('×入力'!$A$1:$L$1300,35+CD$3,2+CD$2)&lt;&gt;"",INDEX('×入力'!$A$1:$L$1300,34,2+CD$2)&lt;&gt;"",INDEX('×入力'!$A$1:$L$1300,35+CD$3,1)&lt;&gt;""),1,0),0)</f>
        <v/>
      </c>
      <c r="CE11">
        <f>IF(CE$4=1,IF(OR(INDEX('×入力'!$A$1:$L$1300,35+CE$3,2+CE$2)&lt;&gt;"",INDEX('×入力'!$A$1:$L$1300,34,2+CE$2)&lt;&gt;"",INDEX('×入力'!$A$1:$L$1300,35+CE$3,1)&lt;&gt;""),1,0),0)</f>
        <v/>
      </c>
      <c r="CF11">
        <f>IF(CF$4=1,IF(OR(INDEX('×入力'!$A$1:$L$1300,35+CF$3,2+CF$2)&lt;&gt;"",INDEX('×入力'!$A$1:$L$1300,34,2+CF$2)&lt;&gt;"",INDEX('×入力'!$A$1:$L$1300,35+CF$3,1)&lt;&gt;""),1,0),0)</f>
        <v/>
      </c>
      <c r="CG11">
        <f>IF(CG$4=1,IF(OR(INDEX('×入力'!$A$1:$L$1300,35+CG$3,2+CG$2)&lt;&gt;"",INDEX('×入力'!$A$1:$L$1300,34,2+CG$2)&lt;&gt;"",INDEX('×入力'!$A$1:$L$1300,35+CG$3,1)&lt;&gt;""),1,0),0)</f>
        <v/>
      </c>
      <c r="CH11">
        <f>IF(CH$4=1,IF(OR(INDEX('×入力'!$A$1:$L$1300,35+CH$3,2+CH$2)&lt;&gt;"",INDEX('×入力'!$A$1:$L$1300,34,2+CH$2)&lt;&gt;"",INDEX('×入力'!$A$1:$L$1300,35+CH$3,1)&lt;&gt;""),1,0),0)</f>
        <v/>
      </c>
      <c r="CI11">
        <f>IF(CI$4=1,IF(OR(INDEX('×入力'!$A$1:$L$1300,35+CI$3,2+CI$2)&lt;&gt;"",INDEX('×入力'!$A$1:$L$1300,34,2+CI$2)&lt;&gt;"",INDEX('×入力'!$A$1:$L$1300,35+CI$3,1)&lt;&gt;""),1,0),0)</f>
        <v/>
      </c>
      <c r="CJ11">
        <f>IF(CJ$4=1,IF(OR(INDEX('×入力'!$A$1:$L$1300,35+CJ$3,2+CJ$2)&lt;&gt;"",INDEX('×入力'!$A$1:$L$1300,34,2+CJ$2)&lt;&gt;"",INDEX('×入力'!$A$1:$L$1300,35+CJ$3,1)&lt;&gt;""),1,0),0)</f>
        <v/>
      </c>
      <c r="CK11">
        <f>IF(CK$4=1,IF(OR(INDEX('×入力'!$A$1:$L$1300,35+CK$3,2+CK$2)&lt;&gt;"",INDEX('×入力'!$A$1:$L$1300,34,2+CK$2)&lt;&gt;"",INDEX('×入力'!$A$1:$L$1300,35+CK$3,1)&lt;&gt;""),1,0),0)</f>
        <v/>
      </c>
      <c r="CL11">
        <f>IF(CL$4=1,IF(OR(INDEX('×入力'!$A$1:$L$1300,35+CL$3,2+CL$2)&lt;&gt;"",INDEX('×入力'!$A$1:$L$1300,34,2+CL$2)&lt;&gt;"",INDEX('×入力'!$A$1:$L$1300,35+CL$3,1)&lt;&gt;""),1,0),0)</f>
        <v/>
      </c>
      <c r="CM11">
        <f>IF(CM$4=1,IF(OR(INDEX('×入力'!$A$1:$L$1300,35+CM$3,2+CM$2)&lt;&gt;"",INDEX('×入力'!$A$1:$L$1300,34,2+CM$2)&lt;&gt;"",INDEX('×入力'!$A$1:$L$1300,35+CM$3,1)&lt;&gt;""),1,0),0)</f>
        <v/>
      </c>
      <c r="CN11">
        <f>IF(CN$4=1,IF(OR(INDEX('×入力'!$A$1:$L$1300,35+CN$3,2+CN$2)&lt;&gt;"",INDEX('×入力'!$A$1:$L$1300,34,2+CN$2)&lt;&gt;"",INDEX('×入力'!$A$1:$L$1300,35+CN$3,1)&lt;&gt;""),1,0),0)</f>
        <v/>
      </c>
      <c r="CO11">
        <f>IF(CO$4=1,IF(OR(INDEX('×入力'!$A$1:$L$1300,35+CO$3,2+CO$2)&lt;&gt;"",INDEX('×入力'!$A$1:$L$1300,34,2+CO$2)&lt;&gt;"",INDEX('×入力'!$A$1:$L$1300,35+CO$3,1)&lt;&gt;""),1,0),0)</f>
        <v/>
      </c>
      <c r="CP11">
        <f>IF(CP$4=1,IF(OR(INDEX('×入力'!$A$1:$L$1300,35+CP$3,2+CP$2)&lt;&gt;"",INDEX('×入力'!$A$1:$L$1300,34,2+CP$2)&lt;&gt;"",INDEX('×入力'!$A$1:$L$1300,35+CP$3,1)&lt;&gt;""),1,0),0)</f>
        <v/>
      </c>
      <c r="CQ11">
        <f>IF(CQ$4=1,IF(OR(INDEX('×入力'!$A$1:$L$1300,35+CQ$3,2+CQ$2)&lt;&gt;"",INDEX('×入力'!$A$1:$L$1300,34,2+CQ$2)&lt;&gt;"",INDEX('×入力'!$A$1:$L$1300,35+CQ$3,1)&lt;&gt;""),1,0),0)</f>
        <v/>
      </c>
      <c r="CR11">
        <f>IF(CR$4=1,IF(OR(INDEX('×入力'!$A$1:$L$1300,35+CR$3,2+CR$2)&lt;&gt;"",INDEX('×入力'!$A$1:$L$1300,34,2+CR$2)&lt;&gt;"",INDEX('×入力'!$A$1:$L$1300,35+CR$3,1)&lt;&gt;""),1,0),0)</f>
        <v/>
      </c>
      <c r="CS11">
        <f>IF(CS$4=1,IF(OR(INDEX('×入力'!$A$1:$L$1300,35+CS$3,2+CS$2)&lt;&gt;"",INDEX('×入力'!$A$1:$L$1300,34,2+CS$2)&lt;&gt;"",INDEX('×入力'!$A$1:$L$1300,35+CS$3,1)&lt;&gt;""),1,0),0)</f>
        <v/>
      </c>
      <c r="CT11">
        <f>IF(CT$4=1,IF(OR(INDEX('×入力'!$A$1:$L$1300,35+CT$3,2+CT$2)&lt;&gt;"",INDEX('×入力'!$A$1:$L$1300,34,2+CT$2)&lt;&gt;"",INDEX('×入力'!$A$1:$L$1300,35+CT$3,1)&lt;&gt;""),1,0),0)</f>
        <v/>
      </c>
      <c r="CU11">
        <f>IF(CU$4=1,IF(OR(INDEX('×入力'!$A$1:$L$1300,35+CU$3,2+CU$2)&lt;&gt;"",INDEX('×入力'!$A$1:$L$1300,34,2+CU$2)&lt;&gt;"",INDEX('×入力'!$A$1:$L$1300,35+CU$3,1)&lt;&gt;""),1,0),0)</f>
        <v/>
      </c>
      <c r="CV11">
        <f>IF(CV$4=1,IF(OR(INDEX('×入力'!$A$1:$L$1300,35+CV$3,2+CV$2)&lt;&gt;"",INDEX('×入力'!$A$1:$L$1300,34,2+CV$2)&lt;&gt;"",INDEX('×入力'!$A$1:$L$1300,35+CV$3,1)&lt;&gt;""),1,0),0)</f>
        <v/>
      </c>
      <c r="CW11">
        <f>IF(CW$4=1,IF(OR(INDEX('×入力'!$A$1:$L$1300,35+CW$3,2+CW$2)&lt;&gt;"",INDEX('×入力'!$A$1:$L$1300,34,2+CW$2)&lt;&gt;"",INDEX('×入力'!$A$1:$L$1300,35+CW$3,1)&lt;&gt;""),1,0),0)</f>
        <v/>
      </c>
      <c r="CX11">
        <f>IF(CX$4=1,IF(OR(INDEX('×入力'!$A$1:$L$1300,35+CX$3,2+CX$2)&lt;&gt;"",INDEX('×入力'!$A$1:$L$1300,34,2+CX$2)&lt;&gt;"",INDEX('×入力'!$A$1:$L$1300,35+CX$3,1)&lt;&gt;""),1,0),0)</f>
        <v/>
      </c>
      <c r="CY11">
        <f>IF(CY$4=1,IF(OR(INDEX('×入力'!$A$1:$L$1300,35+CY$3,2+CY$2)&lt;&gt;"",INDEX('×入力'!$A$1:$L$1300,34,2+CY$2)&lt;&gt;"",INDEX('×入力'!$A$1:$L$1300,35+CY$3,1)&lt;&gt;""),1,0),0)</f>
        <v/>
      </c>
      <c r="CZ11">
        <f>IF(CZ$4=1,IF(OR(INDEX('×入力'!$A$1:$L$1300,35+CZ$3,2+CZ$2)&lt;&gt;"",INDEX('×入力'!$A$1:$L$1300,34,2+CZ$2)&lt;&gt;"",INDEX('×入力'!$A$1:$L$1300,35+CZ$3,1)&lt;&gt;""),1,0),0)</f>
        <v/>
      </c>
      <c r="DA11">
        <f>IF(DA$4=1,IF(OR(INDEX('×入力'!$A$1:$L$1300,35+DA$3,2+DA$2)&lt;&gt;"",INDEX('×入力'!$A$1:$L$1300,34,2+DA$2)&lt;&gt;"",INDEX('×入力'!$A$1:$L$1300,35+DA$3,1)&lt;&gt;""),1,0),0)</f>
        <v/>
      </c>
      <c r="DB11">
        <f>IF(DB$4=1,IF(OR(INDEX('×入力'!$A$1:$L$1300,35+DB$3,2+DB$2)&lt;&gt;"",INDEX('×入力'!$A$1:$L$1300,34,2+DB$2)&lt;&gt;"",INDEX('×入力'!$A$1:$L$1300,35+DB$3,1)&lt;&gt;""),1,0),0)</f>
        <v/>
      </c>
      <c r="DC11">
        <f>IF(DC$4=1,IF(OR(INDEX('×入力'!$A$1:$L$1300,35+DC$3,2+DC$2)&lt;&gt;"",INDEX('×入力'!$A$1:$L$1300,34,2+DC$2)&lt;&gt;"",INDEX('×入力'!$A$1:$L$1300,35+DC$3,1)&lt;&gt;""),1,0),0)</f>
        <v/>
      </c>
      <c r="DD11">
        <f>IF(DD$4=1,IF(OR(INDEX('×入力'!$A$1:$L$1300,35+DD$3,2+DD$2)&lt;&gt;"",INDEX('×入力'!$A$1:$L$1300,34,2+DD$2)&lt;&gt;"",INDEX('×入力'!$A$1:$L$1300,35+DD$3,1)&lt;&gt;""),1,0),0)</f>
        <v/>
      </c>
      <c r="DE11">
        <f>IF(DE$4=1,IF(OR(INDEX('×入力'!$A$1:$L$1300,35+DE$3,2+DE$2)&lt;&gt;"",INDEX('×入力'!$A$1:$L$1300,34,2+DE$2)&lt;&gt;"",INDEX('×入力'!$A$1:$L$1300,35+DE$3,1)&lt;&gt;""),1,0),0)</f>
        <v/>
      </c>
      <c r="DF11">
        <f>IF(DF$4=1,IF(OR(INDEX('×入力'!$A$1:$L$1300,35+DF$3,2+DF$2)&lt;&gt;"",INDEX('×入力'!$A$1:$L$1300,34,2+DF$2)&lt;&gt;"",INDEX('×入力'!$A$1:$L$1300,35+DF$3,1)&lt;&gt;""),1,0),0)</f>
        <v/>
      </c>
      <c r="DG11">
        <f>IF(DG$4=1,IF(OR(INDEX('×入力'!$A$1:$L$1300,35+DG$3,2+DG$2)&lt;&gt;"",INDEX('×入力'!$A$1:$L$1300,34,2+DG$2)&lt;&gt;"",INDEX('×入力'!$A$1:$L$1300,35+DG$3,1)&lt;&gt;""),1,0),0)</f>
        <v/>
      </c>
      <c r="DH11">
        <f>IF(DH$4=1,IF(OR(INDEX('×入力'!$A$1:$L$1300,35+DH$3,2+DH$2)&lt;&gt;"",INDEX('×入力'!$A$1:$L$1300,34,2+DH$2)&lt;&gt;"",INDEX('×入力'!$A$1:$L$1300,35+DH$3,1)&lt;&gt;""),1,0),0)</f>
        <v/>
      </c>
      <c r="DI11">
        <f>IF(DI$4=1,IF(OR(INDEX('×入力'!$A$1:$L$1300,35+DI$3,2+DI$2)&lt;&gt;"",INDEX('×入力'!$A$1:$L$1300,34,2+DI$2)&lt;&gt;"",INDEX('×入力'!$A$1:$L$1300,35+DI$3,1)&lt;&gt;""),1,0),0)</f>
        <v/>
      </c>
      <c r="DJ11">
        <f>IF(DJ$4=1,IF(OR(INDEX('×入力'!$A$1:$L$1300,35+DJ$3,2+DJ$2)&lt;&gt;"",INDEX('×入力'!$A$1:$L$1300,34,2+DJ$2)&lt;&gt;"",INDEX('×入力'!$A$1:$L$1300,35+DJ$3,1)&lt;&gt;""),1,0),0)</f>
        <v/>
      </c>
      <c r="DK11">
        <f>IF(DK$4=1,IF(OR(INDEX('×入力'!$A$1:$L$1300,35+DK$3,2+DK$2)&lt;&gt;"",INDEX('×入力'!$A$1:$L$1300,34,2+DK$2)&lt;&gt;"",INDEX('×入力'!$A$1:$L$1300,35+DK$3,1)&lt;&gt;""),1,0),0)</f>
        <v/>
      </c>
      <c r="DL11">
        <f>IF(DL$4=1,IF(OR(INDEX('×入力'!$A$1:$L$1300,35+DL$3,2+DL$2)&lt;&gt;"",INDEX('×入力'!$A$1:$L$1300,34,2+DL$2)&lt;&gt;"",INDEX('×入力'!$A$1:$L$1300,35+DL$3,1)&lt;&gt;""),1,0),0)</f>
        <v/>
      </c>
      <c r="DM11">
        <f>IF(DM$4=1,IF(OR(INDEX('×入力'!$A$1:$L$1300,35+DM$3,2+DM$2)&lt;&gt;"",INDEX('×入力'!$A$1:$L$1300,34,2+DM$2)&lt;&gt;"",INDEX('×入力'!$A$1:$L$1300,35+DM$3,1)&lt;&gt;""),1,0),0)</f>
        <v/>
      </c>
      <c r="DN11">
        <f>IF(DN$4=1,IF(OR(INDEX('×入力'!$A$1:$L$1300,35+DN$3,2+DN$2)&lt;&gt;"",INDEX('×入力'!$A$1:$L$1300,34,2+DN$2)&lt;&gt;"",INDEX('×入力'!$A$1:$L$1300,35+DN$3,1)&lt;&gt;""),1,0),0)</f>
        <v/>
      </c>
      <c r="DO11">
        <f>IF(DO$4=1,IF(OR(INDEX('×入力'!$A$1:$L$1300,35+DO$3,2+DO$2)&lt;&gt;"",INDEX('×入力'!$A$1:$L$1300,34,2+DO$2)&lt;&gt;"",INDEX('×入力'!$A$1:$L$1300,35+DO$3,1)&lt;&gt;""),1,0),0)</f>
        <v/>
      </c>
      <c r="DP11">
        <f>IF(DP$4=1,IF(OR(INDEX('×入力'!$A$1:$L$1300,35+DP$3,2+DP$2)&lt;&gt;"",INDEX('×入力'!$A$1:$L$1300,34,2+DP$2)&lt;&gt;"",INDEX('×入力'!$A$1:$L$1300,35+DP$3,1)&lt;&gt;""),1,0),0)</f>
        <v/>
      </c>
      <c r="DQ11">
        <f>IF(DQ$4=1,IF(OR(INDEX('×入力'!$A$1:$L$1300,35+DQ$3,2+DQ$2)&lt;&gt;"",INDEX('×入力'!$A$1:$L$1300,34,2+DQ$2)&lt;&gt;"",INDEX('×入力'!$A$1:$L$1300,35+DQ$3,1)&lt;&gt;""),1,0),0)</f>
        <v/>
      </c>
      <c r="DR11">
        <f>IF(DR$4=1,IF(OR(INDEX('×入力'!$A$1:$L$1300,35+DR$3,2+DR$2)&lt;&gt;"",INDEX('×入力'!$A$1:$L$1300,34,2+DR$2)&lt;&gt;"",INDEX('×入力'!$A$1:$L$1300,35+DR$3,1)&lt;&gt;""),1,0),0)</f>
        <v/>
      </c>
      <c r="DS11">
        <f>IF(DS$4=1,IF(OR(INDEX('×入力'!$A$1:$L$1300,35+DS$3,2+DS$2)&lt;&gt;"",INDEX('×入力'!$A$1:$L$1300,34,2+DS$2)&lt;&gt;"",INDEX('×入力'!$A$1:$L$1300,35+DS$3,1)&lt;&gt;""),1,0),0)</f>
        <v/>
      </c>
      <c r="DT11">
        <f>IF(DT$4=1,IF(OR(INDEX('×入力'!$A$1:$L$1300,35+DT$3,2+DT$2)&lt;&gt;"",INDEX('×入力'!$A$1:$L$1300,34,2+DT$2)&lt;&gt;"",INDEX('×入力'!$A$1:$L$1300,35+DT$3,1)&lt;&gt;""),1,0),0)</f>
        <v/>
      </c>
      <c r="DU11">
        <f>IF(DU$4=1,IF(OR(INDEX('×入力'!$A$1:$L$1300,35+DU$3,2+DU$2)&lt;&gt;"",INDEX('×入力'!$A$1:$L$1300,34,2+DU$2)&lt;&gt;"",INDEX('×入力'!$A$1:$L$1300,35+DU$3,1)&lt;&gt;""),1,0),0)</f>
        <v/>
      </c>
      <c r="DV11">
        <f>IF(DV$4=1,IF(OR(INDEX('×入力'!$A$1:$L$1300,35+DV$3,2+DV$2)&lt;&gt;"",INDEX('×入力'!$A$1:$L$1300,34,2+DV$2)&lt;&gt;"",INDEX('×入力'!$A$1:$L$1300,35+DV$3,1)&lt;&gt;""),1,0),0)</f>
        <v/>
      </c>
      <c r="DW11">
        <f>IF(DW$4=1,IF(OR(INDEX('×入力'!$A$1:$L$1300,35+DW$3,2+DW$2)&lt;&gt;"",INDEX('×入力'!$A$1:$L$1300,34,2+DW$2)&lt;&gt;"",INDEX('×入力'!$A$1:$L$1300,35+DW$3,1)&lt;&gt;""),1,0),0)</f>
        <v/>
      </c>
      <c r="DX11">
        <f>IF(DX$4=1,IF(OR(INDEX('×入力'!$A$1:$L$1300,35+DX$3,2+DX$2)&lt;&gt;"",INDEX('×入力'!$A$1:$L$1300,34,2+DX$2)&lt;&gt;"",INDEX('×入力'!$A$1:$L$1300,35+DX$3,1)&lt;&gt;""),1,0),0)</f>
        <v/>
      </c>
      <c r="DY11">
        <f>IF(DY$4=1,IF(OR(INDEX('×入力'!$A$1:$L$1300,35+DY$3,2+DY$2)&lt;&gt;"",INDEX('×入力'!$A$1:$L$1300,34,2+DY$2)&lt;&gt;"",INDEX('×入力'!$A$1:$L$1300,35+DY$3,1)&lt;&gt;""),1,0),0)</f>
        <v/>
      </c>
      <c r="DZ11">
        <f>IF(DZ$4=1,IF(OR(INDEX('×入力'!$A$1:$L$1300,35+DZ$3,2+DZ$2)&lt;&gt;"",INDEX('×入力'!$A$1:$L$1300,34,2+DZ$2)&lt;&gt;"",INDEX('×入力'!$A$1:$L$1300,35+DZ$3,1)&lt;&gt;""),1,0),0)</f>
        <v/>
      </c>
      <c r="EA11">
        <f>IF(EA$4=1,IF(OR(INDEX('×入力'!$A$1:$L$1300,35+EA$3,2+EA$2)&lt;&gt;"",INDEX('×入力'!$A$1:$L$1300,34,2+EA$2)&lt;&gt;"",INDEX('×入力'!$A$1:$L$1300,35+EA$3,1)&lt;&gt;""),1,0),0)</f>
        <v/>
      </c>
      <c r="EB11">
        <f>IF(EB$4=1,IF(OR(INDEX('×入力'!$A$1:$L$1300,35+EB$3,2+EB$2)&lt;&gt;"",INDEX('×入力'!$A$1:$L$1300,34,2+EB$2)&lt;&gt;"",INDEX('×入力'!$A$1:$L$1300,35+EB$3,1)&lt;&gt;""),1,0),0)</f>
        <v/>
      </c>
      <c r="EC11">
        <f>IF(EC$4=1,IF(OR(INDEX('×入力'!$A$1:$L$1300,35+EC$3,2+EC$2)&lt;&gt;"",INDEX('×入力'!$A$1:$L$1300,34,2+EC$2)&lt;&gt;"",INDEX('×入力'!$A$1:$L$1300,35+EC$3,1)&lt;&gt;""),1,0),0)</f>
        <v/>
      </c>
      <c r="ED11">
        <f>IF(ED$4=1,IF(OR(INDEX('×入力'!$A$1:$L$1300,35+ED$3,2+ED$2)&lt;&gt;"",INDEX('×入力'!$A$1:$L$1300,34,2+ED$2)&lt;&gt;"",INDEX('×入力'!$A$1:$L$1300,35+ED$3,1)&lt;&gt;""),1,0),0)</f>
        <v/>
      </c>
      <c r="EE11">
        <f>IF(EE$4=1,IF(OR(INDEX('×入力'!$A$1:$L$1300,35+EE$3,2+EE$2)&lt;&gt;"",INDEX('×入力'!$A$1:$L$1300,34,2+EE$2)&lt;&gt;"",INDEX('×入力'!$A$1:$L$1300,35+EE$3,1)&lt;&gt;""),1,0),0)</f>
        <v/>
      </c>
      <c r="EF11">
        <f>IF(EF$4=1,IF(OR(INDEX('×入力'!$A$1:$L$1300,35+EF$3,2+EF$2)&lt;&gt;"",INDEX('×入力'!$A$1:$L$1300,34,2+EF$2)&lt;&gt;"",INDEX('×入力'!$A$1:$L$1300,35+EF$3,1)&lt;&gt;""),1,0),0)</f>
        <v/>
      </c>
      <c r="EG11">
        <f>IF(EG$4=1,IF(OR(INDEX('×入力'!$A$1:$L$1300,35+EG$3,2+EG$2)&lt;&gt;"",INDEX('×入力'!$A$1:$L$1300,34,2+EG$2)&lt;&gt;"",INDEX('×入力'!$A$1:$L$1300,35+EG$3,1)&lt;&gt;""),1,0),0)</f>
        <v/>
      </c>
      <c r="EH11">
        <f>IF(EH$4=1,IF(OR(INDEX('×入力'!$A$1:$L$1300,35+EH$3,2+EH$2)&lt;&gt;"",INDEX('×入力'!$A$1:$L$1300,34,2+EH$2)&lt;&gt;"",INDEX('×入力'!$A$1:$L$1300,35+EH$3,1)&lt;&gt;""),1,0),0)</f>
        <v/>
      </c>
      <c r="EI11">
        <f>IF(EI$4=1,IF(OR(INDEX('×入力'!$A$1:$L$1300,35+EI$3,2+EI$2)&lt;&gt;"",INDEX('×入力'!$A$1:$L$1300,34,2+EI$2)&lt;&gt;"",INDEX('×入力'!$A$1:$L$1300,35+EI$3,1)&lt;&gt;""),1,0),0)</f>
        <v/>
      </c>
      <c r="EJ11">
        <f>IF(EJ$4=1,IF(OR(INDEX('×入力'!$A$1:$L$1300,35+EJ$3,2+EJ$2)&lt;&gt;"",INDEX('×入力'!$A$1:$L$1300,34,2+EJ$2)&lt;&gt;"",INDEX('×入力'!$A$1:$L$1300,35+EJ$3,1)&lt;&gt;""),1,0),0)</f>
        <v/>
      </c>
      <c r="EK11">
        <f>IF(EK$4=1,IF(OR(INDEX('×入力'!$A$1:$L$1300,35+EK$3,2+EK$2)&lt;&gt;"",INDEX('×入力'!$A$1:$L$1300,34,2+EK$2)&lt;&gt;"",INDEX('×入力'!$A$1:$L$1300,35+EK$3,1)&lt;&gt;""),1,0),0)</f>
        <v/>
      </c>
      <c r="EL11">
        <f>IF(EL$4=1,IF(OR(INDEX('×入力'!$A$1:$L$1300,35+EL$3,2+EL$2)&lt;&gt;"",INDEX('×入力'!$A$1:$L$1300,34,2+EL$2)&lt;&gt;"",INDEX('×入力'!$A$1:$L$1300,35+EL$3,1)&lt;&gt;""),1,0),0)</f>
        <v/>
      </c>
      <c r="EM11">
        <f>IF(EM$4=1,IF(OR(INDEX('×入力'!$A$1:$L$1300,35+EM$3,2+EM$2)&lt;&gt;"",INDEX('×入力'!$A$1:$L$1300,34,2+EM$2)&lt;&gt;"",INDEX('×入力'!$A$1:$L$1300,35+EM$3,1)&lt;&gt;""),1,0),0)</f>
        <v/>
      </c>
      <c r="EN11">
        <f>IF(EN$4=1,IF(OR(INDEX('×入力'!$A$1:$L$1300,35+EN$3,2+EN$2)&lt;&gt;"",INDEX('×入力'!$A$1:$L$1300,34,2+EN$2)&lt;&gt;"",INDEX('×入力'!$A$1:$L$1300,35+EN$3,1)&lt;&gt;""),1,0),0)</f>
        <v/>
      </c>
      <c r="EO11">
        <f>IF(EO$4=1,IF(OR(INDEX('×入力'!$A$1:$L$1300,35+EO$3,2+EO$2)&lt;&gt;"",INDEX('×入力'!$A$1:$L$1300,34,2+EO$2)&lt;&gt;"",INDEX('×入力'!$A$1:$L$1300,35+EO$3,1)&lt;&gt;""),1,0),0)</f>
        <v/>
      </c>
      <c r="EP11">
        <f>IF(EP$4=1,IF(OR(INDEX('×入力'!$A$1:$L$1300,35+EP$3,2+EP$2)&lt;&gt;"",INDEX('×入力'!$A$1:$L$1300,34,2+EP$2)&lt;&gt;"",INDEX('×入力'!$A$1:$L$1300,35+EP$3,1)&lt;&gt;""),1,0),0)</f>
        <v/>
      </c>
      <c r="EQ11">
        <f>IF(EQ$4=1,IF(OR(INDEX('×入力'!$A$1:$L$1300,35+EQ$3,2+EQ$2)&lt;&gt;"",INDEX('×入力'!$A$1:$L$1300,34,2+EQ$2)&lt;&gt;"",INDEX('×入力'!$A$1:$L$1300,35+EQ$3,1)&lt;&gt;""),1,0),0)</f>
        <v/>
      </c>
      <c r="HA11">
        <f>MAX(0,IT11)</f>
        <v/>
      </c>
      <c r="HB11">
        <f>IF(HA11=0,0,INDEX($D$2:$EQ$2,HA11))</f>
        <v/>
      </c>
      <c r="HC11">
        <f>IF(HA11=0,0,INDEX($D$3:$EQ$3,HA11))</f>
        <v/>
      </c>
      <c r="HD11">
        <f>MAX(0,IY11)</f>
        <v/>
      </c>
      <c r="HE11">
        <f>IF(HD11=0,0,INDEX($D$2:$EQ$2,HD11))</f>
        <v/>
      </c>
      <c r="HF11">
        <f>IF(HD11=0,0,INDEX($D$3:$EQ$3,HD11))</f>
        <v/>
      </c>
      <c r="HG11">
        <f>MAX(0,IZ11)</f>
        <v/>
      </c>
      <c r="HH11">
        <f>IF(HG11=0,0,INDEX($D$2:$EQ$2,HG11))</f>
        <v/>
      </c>
      <c r="HI11">
        <f>IF(HG11=0,0,INDEX($D$3:$EQ$3,HG11))</f>
        <v/>
      </c>
      <c r="HJ11">
        <f>IF(AND(HA11&gt;0,HC11&gt;1,OR(HC11-1&lt;&gt;$A$3,$A$4=0)),HA11-1,-1)</f>
        <v/>
      </c>
      <c r="HK11">
        <f>IF(AND(HA11&gt;0,HC11&lt;24,OR(HC11&lt;&gt;$A$3,$A$4=0)),HA11+1,-1)</f>
        <v/>
      </c>
      <c r="HL11">
        <f>IF(AND(HD11&gt;0,HF11&gt;1,OR(HF11-1&lt;&gt;$A$3,$A$4=0)),HD11-1,-1)</f>
        <v/>
      </c>
      <c r="HM11">
        <f>IF(AND(HD11&gt;0,HF11&lt;24,OR(HF11&lt;&gt;$A$3,$A$4=0)),HD11+1,-1)</f>
        <v/>
      </c>
      <c r="HN11">
        <f>IF(AND(HG11&gt;0,HI11&gt;1,OR(HI11-1&lt;&gt;$A$3,$A$4=0)),HG11-1,-1)</f>
        <v/>
      </c>
      <c r="HO11">
        <f>IF(AND(HG11&gt;0,HI11&lt;24,OR(HI11&lt;&gt;$A$3,$A$4=0)),HG11+1,-1)</f>
        <v/>
      </c>
      <c r="IK11">
        <f>IFERROR(INDEX('calcB'!$C$3:$C$47,MATCH(A11,'calcB'!$B$3:$B$47,0)),0)</f>
        <v/>
      </c>
      <c r="IL11">
        <f>IF(AND(C11=1,IK11=0,calcA!$A$6&gt;0),1,0)</f>
        <v/>
      </c>
      <c r="IM11">
        <f>SUMPRODUCT(D61:EQ61*(1-$D$7:$EQ$7))</f>
        <v/>
      </c>
      <c r="IN11">
        <f>SUM(D11:EQ11)</f>
        <v/>
      </c>
      <c r="IO11">
        <f>IF(B11="",0,IF(COUNTIF('調整・決定'!$C$6:$H$29,B11)=1,SUMPRODUCT(('調整・決定'!$C$6:$H$29=B11)*((COLUMN('調整・決定'!$C$6:$H$29)-3)*24+ROW('調整・決定'!$C$6:$H$29)-5)),0))</f>
        <v/>
      </c>
      <c r="IP11">
        <f>IFERROR(MATCH('名簿'!C6,{"早い時刻","遅い時刻","早い日","遅い日"},0),0)</f>
        <v/>
      </c>
      <c r="IQ11">
        <f>IF('名簿'!D6="必ず空けたい",2,IF('名簿'!D6="出来れば空けたい",1,0))</f>
        <v/>
      </c>
      <c r="IR11">
        <f>IFERROR(INDEX('calcC'!$C$3:$C$47,MATCH(A11,'calcC'!$B$3:$B$47,0)),0)</f>
        <v/>
      </c>
      <c r="IS11">
        <f>IF(AND(C11=1,IR11=0,calcA!$A$6&gt;0),1,0)</f>
        <v/>
      </c>
      <c r="IT11">
        <f>IF(OR('名簿'!G6="",'名簿'!H6=""),0,IFERROR((MATCH('名簿'!G6,'設定'!$E$11:$E$16,0)-1)*24+MATCH('名簿'!H6,'設定'!$I$11:$I$34,0),-1))</f>
        <v/>
      </c>
      <c r="IV11">
        <f>IF(OR(JF11=0,IO11=0),1,IF(OR(IF(IT11&gt;0,AND(INDEX($D$2:$EQ$2,IO11)=INDEX($D$2:$EQ$2,IT11),OR(AND(IO11=IT11+1,OR(INDEX($D$3:$EQ$3,IT11)&lt;&gt;$A$3,$A$4=0)),AND(IO11=IT11-1,OR(INDEX($D$3:$EQ$3,IO11)&lt;&gt;$A$3,$A$4=0)))),FALSE),IF(IY11&gt;0,AND(INDEX($D$2:$EQ$2,IO11)=INDEX($D$2:$EQ$2,IY11),OR(AND(IO11=IY11+1,OR(INDEX($D$3:$EQ$3,IY11)&lt;&gt;$A$3,$A$4=0)),AND(IO11=IY11-1,OR(INDEX($D$3:$EQ$3,IO11)&lt;&gt;$A$3,$A$4=0)))),FALSE),IF(IZ11&gt;0,AND(INDEX($D$2:$EQ$2,IO11)=INDEX($D$2:$EQ$2,IZ11),OR(AND(IO11=IZ11+1,OR(INDEX($D$3:$EQ$3,IZ11)&lt;&gt;$A$3,$A$4=0)),AND(IO11=IZ11-1,OR(INDEX($D$3:$EQ$3,IO11)&lt;&gt;$A$3,$A$4=0)))),FALSE)),1,0))</f>
        <v/>
      </c>
      <c r="IW11">
        <f>IF(AND('名簿'!E6&lt;&gt;"",JF11=0),1,0)</f>
        <v/>
      </c>
      <c r="IX11">
        <f>IF('名簿'!D6="空けない",1,0)</f>
        <v/>
      </c>
      <c r="IY11">
        <f>IF(OR('名簿'!J6="",'名簿'!K6=""),0,IFERROR((MATCH('名簿'!J6,'設定'!$E$11:$E$16,0)-1)*24+MATCH('名簿'!K6,'設定'!$I$11:$I$34,0),-1))</f>
        <v/>
      </c>
      <c r="IZ11">
        <f>IF(OR('名簿'!M6="",'名簿'!N6=""),0,IFERROR((MATCH('名簿'!M6,'設定'!$E$11:$E$16,0)-1)*24+MATCH('名簿'!N6,'設定'!$I$11:$I$34,0),-1))</f>
        <v/>
      </c>
      <c r="JC11">
        <f>IF(RIGHT('名簿'!I6,2)="の前",1,IF(RIGHT('名簿'!I6,2)="の後",2,0))</f>
        <v/>
      </c>
      <c r="JD11">
        <f>IF(RIGHT('名簿'!L6,2)="の前",1,IF(RIGHT('名簿'!L6,2)="の後",2,0))</f>
        <v/>
      </c>
      <c r="JE11">
        <f>IF(RIGHT('名簿'!O6,2)="の前",1,IF(RIGHT('名簿'!O6,2)="の後",2,0))</f>
        <v/>
      </c>
      <c r="JF11">
        <f>IF(OR(IT11&gt;0,IY11&gt;0,IZ11&gt;0),1,0)</f>
        <v/>
      </c>
      <c r="JG11">
        <f>IF(OR(IT11&lt;0,IY11&lt;0,IZ11&lt;0),1,0)</f>
        <v/>
      </c>
    </row>
    <row r="12">
      <c r="A12" t="n">
        <v>3</v>
      </c>
      <c r="B12">
        <f>'名簿'!P7</f>
        <v/>
      </c>
      <c r="C12">
        <f>IF(AND(B12&lt;&gt;"",OR('名簿'!Q7="入力済み",'名簿'!Q7="×なし"),IO12=0,COUNTIF('調整・決定'!$C$6:$H$29,B12)=0),1,0)</f>
        <v/>
      </c>
      <c r="D12">
        <f>IF(D$4=1,IF(OR(INDEX('×入力'!$A$1:$L$1300,63+D$3,2+D$2)&lt;&gt;"",INDEX('×入力'!$A$1:$L$1300,62,2+D$2)&lt;&gt;"",INDEX('×入力'!$A$1:$L$1300,63+D$3,1)&lt;&gt;""),1,0),0)</f>
        <v/>
      </c>
      <c r="E12">
        <f>IF(E$4=1,IF(OR(INDEX('×入力'!$A$1:$L$1300,63+E$3,2+E$2)&lt;&gt;"",INDEX('×入力'!$A$1:$L$1300,62,2+E$2)&lt;&gt;"",INDEX('×入力'!$A$1:$L$1300,63+E$3,1)&lt;&gt;""),1,0),0)</f>
        <v/>
      </c>
      <c r="F12">
        <f>IF(F$4=1,IF(OR(INDEX('×入力'!$A$1:$L$1300,63+F$3,2+F$2)&lt;&gt;"",INDEX('×入力'!$A$1:$L$1300,62,2+F$2)&lt;&gt;"",INDEX('×入力'!$A$1:$L$1300,63+F$3,1)&lt;&gt;""),1,0),0)</f>
        <v/>
      </c>
      <c r="G12">
        <f>IF(G$4=1,IF(OR(INDEX('×入力'!$A$1:$L$1300,63+G$3,2+G$2)&lt;&gt;"",INDEX('×入力'!$A$1:$L$1300,62,2+G$2)&lt;&gt;"",INDEX('×入力'!$A$1:$L$1300,63+G$3,1)&lt;&gt;""),1,0),0)</f>
        <v/>
      </c>
      <c r="H12">
        <f>IF(H$4=1,IF(OR(INDEX('×入力'!$A$1:$L$1300,63+H$3,2+H$2)&lt;&gt;"",INDEX('×入力'!$A$1:$L$1300,62,2+H$2)&lt;&gt;"",INDEX('×入力'!$A$1:$L$1300,63+H$3,1)&lt;&gt;""),1,0),0)</f>
        <v/>
      </c>
      <c r="I12">
        <f>IF(I$4=1,IF(OR(INDEX('×入力'!$A$1:$L$1300,63+I$3,2+I$2)&lt;&gt;"",INDEX('×入力'!$A$1:$L$1300,62,2+I$2)&lt;&gt;"",INDEX('×入力'!$A$1:$L$1300,63+I$3,1)&lt;&gt;""),1,0),0)</f>
        <v/>
      </c>
      <c r="J12">
        <f>IF(J$4=1,IF(OR(INDEX('×入力'!$A$1:$L$1300,63+J$3,2+J$2)&lt;&gt;"",INDEX('×入力'!$A$1:$L$1300,62,2+J$2)&lt;&gt;"",INDEX('×入力'!$A$1:$L$1300,63+J$3,1)&lt;&gt;""),1,0),0)</f>
        <v/>
      </c>
      <c r="K12">
        <f>IF(K$4=1,IF(OR(INDEX('×入力'!$A$1:$L$1300,63+K$3,2+K$2)&lt;&gt;"",INDEX('×入力'!$A$1:$L$1300,62,2+K$2)&lt;&gt;"",INDEX('×入力'!$A$1:$L$1300,63+K$3,1)&lt;&gt;""),1,0),0)</f>
        <v/>
      </c>
      <c r="L12">
        <f>IF(L$4=1,IF(OR(INDEX('×入力'!$A$1:$L$1300,63+L$3,2+L$2)&lt;&gt;"",INDEX('×入力'!$A$1:$L$1300,62,2+L$2)&lt;&gt;"",INDEX('×入力'!$A$1:$L$1300,63+L$3,1)&lt;&gt;""),1,0),0)</f>
        <v/>
      </c>
      <c r="M12">
        <f>IF(M$4=1,IF(OR(INDEX('×入力'!$A$1:$L$1300,63+M$3,2+M$2)&lt;&gt;"",INDEX('×入力'!$A$1:$L$1300,62,2+M$2)&lt;&gt;"",INDEX('×入力'!$A$1:$L$1300,63+M$3,1)&lt;&gt;""),1,0),0)</f>
        <v/>
      </c>
      <c r="N12">
        <f>IF(N$4=1,IF(OR(INDEX('×入力'!$A$1:$L$1300,63+N$3,2+N$2)&lt;&gt;"",INDEX('×入力'!$A$1:$L$1300,62,2+N$2)&lt;&gt;"",INDEX('×入力'!$A$1:$L$1300,63+N$3,1)&lt;&gt;""),1,0),0)</f>
        <v/>
      </c>
      <c r="O12">
        <f>IF(O$4=1,IF(OR(INDEX('×入力'!$A$1:$L$1300,63+O$3,2+O$2)&lt;&gt;"",INDEX('×入力'!$A$1:$L$1300,62,2+O$2)&lt;&gt;"",INDEX('×入力'!$A$1:$L$1300,63+O$3,1)&lt;&gt;""),1,0),0)</f>
        <v/>
      </c>
      <c r="P12">
        <f>IF(P$4=1,IF(OR(INDEX('×入力'!$A$1:$L$1300,63+P$3,2+P$2)&lt;&gt;"",INDEX('×入力'!$A$1:$L$1300,62,2+P$2)&lt;&gt;"",INDEX('×入力'!$A$1:$L$1300,63+P$3,1)&lt;&gt;""),1,0),0)</f>
        <v/>
      </c>
      <c r="Q12">
        <f>IF(Q$4=1,IF(OR(INDEX('×入力'!$A$1:$L$1300,63+Q$3,2+Q$2)&lt;&gt;"",INDEX('×入力'!$A$1:$L$1300,62,2+Q$2)&lt;&gt;"",INDEX('×入力'!$A$1:$L$1300,63+Q$3,1)&lt;&gt;""),1,0),0)</f>
        <v/>
      </c>
      <c r="R12">
        <f>IF(R$4=1,IF(OR(INDEX('×入力'!$A$1:$L$1300,63+R$3,2+R$2)&lt;&gt;"",INDEX('×入力'!$A$1:$L$1300,62,2+R$2)&lt;&gt;"",INDEX('×入力'!$A$1:$L$1300,63+R$3,1)&lt;&gt;""),1,0),0)</f>
        <v/>
      </c>
      <c r="S12">
        <f>IF(S$4=1,IF(OR(INDEX('×入力'!$A$1:$L$1300,63+S$3,2+S$2)&lt;&gt;"",INDEX('×入力'!$A$1:$L$1300,62,2+S$2)&lt;&gt;"",INDEX('×入力'!$A$1:$L$1300,63+S$3,1)&lt;&gt;""),1,0),0)</f>
        <v/>
      </c>
      <c r="T12">
        <f>IF(T$4=1,IF(OR(INDEX('×入力'!$A$1:$L$1300,63+T$3,2+T$2)&lt;&gt;"",INDEX('×入力'!$A$1:$L$1300,62,2+T$2)&lt;&gt;"",INDEX('×入力'!$A$1:$L$1300,63+T$3,1)&lt;&gt;""),1,0),0)</f>
        <v/>
      </c>
      <c r="U12">
        <f>IF(U$4=1,IF(OR(INDEX('×入力'!$A$1:$L$1300,63+U$3,2+U$2)&lt;&gt;"",INDEX('×入力'!$A$1:$L$1300,62,2+U$2)&lt;&gt;"",INDEX('×入力'!$A$1:$L$1300,63+U$3,1)&lt;&gt;""),1,0),0)</f>
        <v/>
      </c>
      <c r="V12">
        <f>IF(V$4=1,IF(OR(INDEX('×入力'!$A$1:$L$1300,63+V$3,2+V$2)&lt;&gt;"",INDEX('×入力'!$A$1:$L$1300,62,2+V$2)&lt;&gt;"",INDEX('×入力'!$A$1:$L$1300,63+V$3,1)&lt;&gt;""),1,0),0)</f>
        <v/>
      </c>
      <c r="W12">
        <f>IF(W$4=1,IF(OR(INDEX('×入力'!$A$1:$L$1300,63+W$3,2+W$2)&lt;&gt;"",INDEX('×入力'!$A$1:$L$1300,62,2+W$2)&lt;&gt;"",INDEX('×入力'!$A$1:$L$1300,63+W$3,1)&lt;&gt;""),1,0),0)</f>
        <v/>
      </c>
      <c r="X12">
        <f>IF(X$4=1,IF(OR(INDEX('×入力'!$A$1:$L$1300,63+X$3,2+X$2)&lt;&gt;"",INDEX('×入力'!$A$1:$L$1300,62,2+X$2)&lt;&gt;"",INDEX('×入力'!$A$1:$L$1300,63+X$3,1)&lt;&gt;""),1,0),0)</f>
        <v/>
      </c>
      <c r="Y12">
        <f>IF(Y$4=1,IF(OR(INDEX('×入力'!$A$1:$L$1300,63+Y$3,2+Y$2)&lt;&gt;"",INDEX('×入力'!$A$1:$L$1300,62,2+Y$2)&lt;&gt;"",INDEX('×入力'!$A$1:$L$1300,63+Y$3,1)&lt;&gt;""),1,0),0)</f>
        <v/>
      </c>
      <c r="Z12">
        <f>IF(Z$4=1,IF(OR(INDEX('×入力'!$A$1:$L$1300,63+Z$3,2+Z$2)&lt;&gt;"",INDEX('×入力'!$A$1:$L$1300,62,2+Z$2)&lt;&gt;"",INDEX('×入力'!$A$1:$L$1300,63+Z$3,1)&lt;&gt;""),1,0),0)</f>
        <v/>
      </c>
      <c r="AA12">
        <f>IF(AA$4=1,IF(OR(INDEX('×入力'!$A$1:$L$1300,63+AA$3,2+AA$2)&lt;&gt;"",INDEX('×入力'!$A$1:$L$1300,62,2+AA$2)&lt;&gt;"",INDEX('×入力'!$A$1:$L$1300,63+AA$3,1)&lt;&gt;""),1,0),0)</f>
        <v/>
      </c>
      <c r="AB12">
        <f>IF(AB$4=1,IF(OR(INDEX('×入力'!$A$1:$L$1300,63+AB$3,2+AB$2)&lt;&gt;"",INDEX('×入力'!$A$1:$L$1300,62,2+AB$2)&lt;&gt;"",INDEX('×入力'!$A$1:$L$1300,63+AB$3,1)&lt;&gt;""),1,0),0)</f>
        <v/>
      </c>
      <c r="AC12">
        <f>IF(AC$4=1,IF(OR(INDEX('×入力'!$A$1:$L$1300,63+AC$3,2+AC$2)&lt;&gt;"",INDEX('×入力'!$A$1:$L$1300,62,2+AC$2)&lt;&gt;"",INDEX('×入力'!$A$1:$L$1300,63+AC$3,1)&lt;&gt;""),1,0),0)</f>
        <v/>
      </c>
      <c r="AD12">
        <f>IF(AD$4=1,IF(OR(INDEX('×入力'!$A$1:$L$1300,63+AD$3,2+AD$2)&lt;&gt;"",INDEX('×入力'!$A$1:$L$1300,62,2+AD$2)&lt;&gt;"",INDEX('×入力'!$A$1:$L$1300,63+AD$3,1)&lt;&gt;""),1,0),0)</f>
        <v/>
      </c>
      <c r="AE12">
        <f>IF(AE$4=1,IF(OR(INDEX('×入力'!$A$1:$L$1300,63+AE$3,2+AE$2)&lt;&gt;"",INDEX('×入力'!$A$1:$L$1300,62,2+AE$2)&lt;&gt;"",INDEX('×入力'!$A$1:$L$1300,63+AE$3,1)&lt;&gt;""),1,0),0)</f>
        <v/>
      </c>
      <c r="AF12">
        <f>IF(AF$4=1,IF(OR(INDEX('×入力'!$A$1:$L$1300,63+AF$3,2+AF$2)&lt;&gt;"",INDEX('×入力'!$A$1:$L$1300,62,2+AF$2)&lt;&gt;"",INDEX('×入力'!$A$1:$L$1300,63+AF$3,1)&lt;&gt;""),1,0),0)</f>
        <v/>
      </c>
      <c r="AG12">
        <f>IF(AG$4=1,IF(OR(INDEX('×入力'!$A$1:$L$1300,63+AG$3,2+AG$2)&lt;&gt;"",INDEX('×入力'!$A$1:$L$1300,62,2+AG$2)&lt;&gt;"",INDEX('×入力'!$A$1:$L$1300,63+AG$3,1)&lt;&gt;""),1,0),0)</f>
        <v/>
      </c>
      <c r="AH12">
        <f>IF(AH$4=1,IF(OR(INDEX('×入力'!$A$1:$L$1300,63+AH$3,2+AH$2)&lt;&gt;"",INDEX('×入力'!$A$1:$L$1300,62,2+AH$2)&lt;&gt;"",INDEX('×入力'!$A$1:$L$1300,63+AH$3,1)&lt;&gt;""),1,0),0)</f>
        <v/>
      </c>
      <c r="AI12">
        <f>IF(AI$4=1,IF(OR(INDEX('×入力'!$A$1:$L$1300,63+AI$3,2+AI$2)&lt;&gt;"",INDEX('×入力'!$A$1:$L$1300,62,2+AI$2)&lt;&gt;"",INDEX('×入力'!$A$1:$L$1300,63+AI$3,1)&lt;&gt;""),1,0),0)</f>
        <v/>
      </c>
      <c r="AJ12">
        <f>IF(AJ$4=1,IF(OR(INDEX('×入力'!$A$1:$L$1300,63+AJ$3,2+AJ$2)&lt;&gt;"",INDEX('×入力'!$A$1:$L$1300,62,2+AJ$2)&lt;&gt;"",INDEX('×入力'!$A$1:$L$1300,63+AJ$3,1)&lt;&gt;""),1,0),0)</f>
        <v/>
      </c>
      <c r="AK12">
        <f>IF(AK$4=1,IF(OR(INDEX('×入力'!$A$1:$L$1300,63+AK$3,2+AK$2)&lt;&gt;"",INDEX('×入力'!$A$1:$L$1300,62,2+AK$2)&lt;&gt;"",INDEX('×入力'!$A$1:$L$1300,63+AK$3,1)&lt;&gt;""),1,0),0)</f>
        <v/>
      </c>
      <c r="AL12">
        <f>IF(AL$4=1,IF(OR(INDEX('×入力'!$A$1:$L$1300,63+AL$3,2+AL$2)&lt;&gt;"",INDEX('×入力'!$A$1:$L$1300,62,2+AL$2)&lt;&gt;"",INDEX('×入力'!$A$1:$L$1300,63+AL$3,1)&lt;&gt;""),1,0),0)</f>
        <v/>
      </c>
      <c r="AM12">
        <f>IF(AM$4=1,IF(OR(INDEX('×入力'!$A$1:$L$1300,63+AM$3,2+AM$2)&lt;&gt;"",INDEX('×入力'!$A$1:$L$1300,62,2+AM$2)&lt;&gt;"",INDEX('×入力'!$A$1:$L$1300,63+AM$3,1)&lt;&gt;""),1,0),0)</f>
        <v/>
      </c>
      <c r="AN12">
        <f>IF(AN$4=1,IF(OR(INDEX('×入力'!$A$1:$L$1300,63+AN$3,2+AN$2)&lt;&gt;"",INDEX('×入力'!$A$1:$L$1300,62,2+AN$2)&lt;&gt;"",INDEX('×入力'!$A$1:$L$1300,63+AN$3,1)&lt;&gt;""),1,0),0)</f>
        <v/>
      </c>
      <c r="AO12">
        <f>IF(AO$4=1,IF(OR(INDEX('×入力'!$A$1:$L$1300,63+AO$3,2+AO$2)&lt;&gt;"",INDEX('×入力'!$A$1:$L$1300,62,2+AO$2)&lt;&gt;"",INDEX('×入力'!$A$1:$L$1300,63+AO$3,1)&lt;&gt;""),1,0),0)</f>
        <v/>
      </c>
      <c r="AP12">
        <f>IF(AP$4=1,IF(OR(INDEX('×入力'!$A$1:$L$1300,63+AP$3,2+AP$2)&lt;&gt;"",INDEX('×入力'!$A$1:$L$1300,62,2+AP$2)&lt;&gt;"",INDEX('×入力'!$A$1:$L$1300,63+AP$3,1)&lt;&gt;""),1,0),0)</f>
        <v/>
      </c>
      <c r="AQ12">
        <f>IF(AQ$4=1,IF(OR(INDEX('×入力'!$A$1:$L$1300,63+AQ$3,2+AQ$2)&lt;&gt;"",INDEX('×入力'!$A$1:$L$1300,62,2+AQ$2)&lt;&gt;"",INDEX('×入力'!$A$1:$L$1300,63+AQ$3,1)&lt;&gt;""),1,0),0)</f>
        <v/>
      </c>
      <c r="AR12">
        <f>IF(AR$4=1,IF(OR(INDEX('×入力'!$A$1:$L$1300,63+AR$3,2+AR$2)&lt;&gt;"",INDEX('×入力'!$A$1:$L$1300,62,2+AR$2)&lt;&gt;"",INDEX('×入力'!$A$1:$L$1300,63+AR$3,1)&lt;&gt;""),1,0),0)</f>
        <v/>
      </c>
      <c r="AS12">
        <f>IF(AS$4=1,IF(OR(INDEX('×入力'!$A$1:$L$1300,63+AS$3,2+AS$2)&lt;&gt;"",INDEX('×入力'!$A$1:$L$1300,62,2+AS$2)&lt;&gt;"",INDEX('×入力'!$A$1:$L$1300,63+AS$3,1)&lt;&gt;""),1,0),0)</f>
        <v/>
      </c>
      <c r="AT12">
        <f>IF(AT$4=1,IF(OR(INDEX('×入力'!$A$1:$L$1300,63+AT$3,2+AT$2)&lt;&gt;"",INDEX('×入力'!$A$1:$L$1300,62,2+AT$2)&lt;&gt;"",INDEX('×入力'!$A$1:$L$1300,63+AT$3,1)&lt;&gt;""),1,0),0)</f>
        <v/>
      </c>
      <c r="AU12">
        <f>IF(AU$4=1,IF(OR(INDEX('×入力'!$A$1:$L$1300,63+AU$3,2+AU$2)&lt;&gt;"",INDEX('×入力'!$A$1:$L$1300,62,2+AU$2)&lt;&gt;"",INDEX('×入力'!$A$1:$L$1300,63+AU$3,1)&lt;&gt;""),1,0),0)</f>
        <v/>
      </c>
      <c r="AV12">
        <f>IF(AV$4=1,IF(OR(INDEX('×入力'!$A$1:$L$1300,63+AV$3,2+AV$2)&lt;&gt;"",INDEX('×入力'!$A$1:$L$1300,62,2+AV$2)&lt;&gt;"",INDEX('×入力'!$A$1:$L$1300,63+AV$3,1)&lt;&gt;""),1,0),0)</f>
        <v/>
      </c>
      <c r="AW12">
        <f>IF(AW$4=1,IF(OR(INDEX('×入力'!$A$1:$L$1300,63+AW$3,2+AW$2)&lt;&gt;"",INDEX('×入力'!$A$1:$L$1300,62,2+AW$2)&lt;&gt;"",INDEX('×入力'!$A$1:$L$1300,63+AW$3,1)&lt;&gt;""),1,0),0)</f>
        <v/>
      </c>
      <c r="AX12">
        <f>IF(AX$4=1,IF(OR(INDEX('×入力'!$A$1:$L$1300,63+AX$3,2+AX$2)&lt;&gt;"",INDEX('×入力'!$A$1:$L$1300,62,2+AX$2)&lt;&gt;"",INDEX('×入力'!$A$1:$L$1300,63+AX$3,1)&lt;&gt;""),1,0),0)</f>
        <v/>
      </c>
      <c r="AY12">
        <f>IF(AY$4=1,IF(OR(INDEX('×入力'!$A$1:$L$1300,63+AY$3,2+AY$2)&lt;&gt;"",INDEX('×入力'!$A$1:$L$1300,62,2+AY$2)&lt;&gt;"",INDEX('×入力'!$A$1:$L$1300,63+AY$3,1)&lt;&gt;""),1,0),0)</f>
        <v/>
      </c>
      <c r="AZ12">
        <f>IF(AZ$4=1,IF(OR(INDEX('×入力'!$A$1:$L$1300,63+AZ$3,2+AZ$2)&lt;&gt;"",INDEX('×入力'!$A$1:$L$1300,62,2+AZ$2)&lt;&gt;"",INDEX('×入力'!$A$1:$L$1300,63+AZ$3,1)&lt;&gt;""),1,0),0)</f>
        <v/>
      </c>
      <c r="BA12">
        <f>IF(BA$4=1,IF(OR(INDEX('×入力'!$A$1:$L$1300,63+BA$3,2+BA$2)&lt;&gt;"",INDEX('×入力'!$A$1:$L$1300,62,2+BA$2)&lt;&gt;"",INDEX('×入力'!$A$1:$L$1300,63+BA$3,1)&lt;&gt;""),1,0),0)</f>
        <v/>
      </c>
      <c r="BB12">
        <f>IF(BB$4=1,IF(OR(INDEX('×入力'!$A$1:$L$1300,63+BB$3,2+BB$2)&lt;&gt;"",INDEX('×入力'!$A$1:$L$1300,62,2+BB$2)&lt;&gt;"",INDEX('×入力'!$A$1:$L$1300,63+BB$3,1)&lt;&gt;""),1,0),0)</f>
        <v/>
      </c>
      <c r="BC12">
        <f>IF(BC$4=1,IF(OR(INDEX('×入力'!$A$1:$L$1300,63+BC$3,2+BC$2)&lt;&gt;"",INDEX('×入力'!$A$1:$L$1300,62,2+BC$2)&lt;&gt;"",INDEX('×入力'!$A$1:$L$1300,63+BC$3,1)&lt;&gt;""),1,0),0)</f>
        <v/>
      </c>
      <c r="BD12">
        <f>IF(BD$4=1,IF(OR(INDEX('×入力'!$A$1:$L$1300,63+BD$3,2+BD$2)&lt;&gt;"",INDEX('×入力'!$A$1:$L$1300,62,2+BD$2)&lt;&gt;"",INDEX('×入力'!$A$1:$L$1300,63+BD$3,1)&lt;&gt;""),1,0),0)</f>
        <v/>
      </c>
      <c r="BE12">
        <f>IF(BE$4=1,IF(OR(INDEX('×入力'!$A$1:$L$1300,63+BE$3,2+BE$2)&lt;&gt;"",INDEX('×入力'!$A$1:$L$1300,62,2+BE$2)&lt;&gt;"",INDEX('×入力'!$A$1:$L$1300,63+BE$3,1)&lt;&gt;""),1,0),0)</f>
        <v/>
      </c>
      <c r="BF12">
        <f>IF(BF$4=1,IF(OR(INDEX('×入力'!$A$1:$L$1300,63+BF$3,2+BF$2)&lt;&gt;"",INDEX('×入力'!$A$1:$L$1300,62,2+BF$2)&lt;&gt;"",INDEX('×入力'!$A$1:$L$1300,63+BF$3,1)&lt;&gt;""),1,0),0)</f>
        <v/>
      </c>
      <c r="BG12">
        <f>IF(BG$4=1,IF(OR(INDEX('×入力'!$A$1:$L$1300,63+BG$3,2+BG$2)&lt;&gt;"",INDEX('×入力'!$A$1:$L$1300,62,2+BG$2)&lt;&gt;"",INDEX('×入力'!$A$1:$L$1300,63+BG$3,1)&lt;&gt;""),1,0),0)</f>
        <v/>
      </c>
      <c r="BH12">
        <f>IF(BH$4=1,IF(OR(INDEX('×入力'!$A$1:$L$1300,63+BH$3,2+BH$2)&lt;&gt;"",INDEX('×入力'!$A$1:$L$1300,62,2+BH$2)&lt;&gt;"",INDEX('×入力'!$A$1:$L$1300,63+BH$3,1)&lt;&gt;""),1,0),0)</f>
        <v/>
      </c>
      <c r="BI12">
        <f>IF(BI$4=1,IF(OR(INDEX('×入力'!$A$1:$L$1300,63+BI$3,2+BI$2)&lt;&gt;"",INDEX('×入力'!$A$1:$L$1300,62,2+BI$2)&lt;&gt;"",INDEX('×入力'!$A$1:$L$1300,63+BI$3,1)&lt;&gt;""),1,0),0)</f>
        <v/>
      </c>
      <c r="BJ12">
        <f>IF(BJ$4=1,IF(OR(INDEX('×入力'!$A$1:$L$1300,63+BJ$3,2+BJ$2)&lt;&gt;"",INDEX('×入力'!$A$1:$L$1300,62,2+BJ$2)&lt;&gt;"",INDEX('×入力'!$A$1:$L$1300,63+BJ$3,1)&lt;&gt;""),1,0),0)</f>
        <v/>
      </c>
      <c r="BK12">
        <f>IF(BK$4=1,IF(OR(INDEX('×入力'!$A$1:$L$1300,63+BK$3,2+BK$2)&lt;&gt;"",INDEX('×入力'!$A$1:$L$1300,62,2+BK$2)&lt;&gt;"",INDEX('×入力'!$A$1:$L$1300,63+BK$3,1)&lt;&gt;""),1,0),0)</f>
        <v/>
      </c>
      <c r="BL12">
        <f>IF(BL$4=1,IF(OR(INDEX('×入力'!$A$1:$L$1300,63+BL$3,2+BL$2)&lt;&gt;"",INDEX('×入力'!$A$1:$L$1300,62,2+BL$2)&lt;&gt;"",INDEX('×入力'!$A$1:$L$1300,63+BL$3,1)&lt;&gt;""),1,0),0)</f>
        <v/>
      </c>
      <c r="BM12">
        <f>IF(BM$4=1,IF(OR(INDEX('×入力'!$A$1:$L$1300,63+BM$3,2+BM$2)&lt;&gt;"",INDEX('×入力'!$A$1:$L$1300,62,2+BM$2)&lt;&gt;"",INDEX('×入力'!$A$1:$L$1300,63+BM$3,1)&lt;&gt;""),1,0),0)</f>
        <v/>
      </c>
      <c r="BN12">
        <f>IF(BN$4=1,IF(OR(INDEX('×入力'!$A$1:$L$1300,63+BN$3,2+BN$2)&lt;&gt;"",INDEX('×入力'!$A$1:$L$1300,62,2+BN$2)&lt;&gt;"",INDEX('×入力'!$A$1:$L$1300,63+BN$3,1)&lt;&gt;""),1,0),0)</f>
        <v/>
      </c>
      <c r="BO12">
        <f>IF(BO$4=1,IF(OR(INDEX('×入力'!$A$1:$L$1300,63+BO$3,2+BO$2)&lt;&gt;"",INDEX('×入力'!$A$1:$L$1300,62,2+BO$2)&lt;&gt;"",INDEX('×入力'!$A$1:$L$1300,63+BO$3,1)&lt;&gt;""),1,0),0)</f>
        <v/>
      </c>
      <c r="BP12">
        <f>IF(BP$4=1,IF(OR(INDEX('×入力'!$A$1:$L$1300,63+BP$3,2+BP$2)&lt;&gt;"",INDEX('×入力'!$A$1:$L$1300,62,2+BP$2)&lt;&gt;"",INDEX('×入力'!$A$1:$L$1300,63+BP$3,1)&lt;&gt;""),1,0),0)</f>
        <v/>
      </c>
      <c r="BQ12">
        <f>IF(BQ$4=1,IF(OR(INDEX('×入力'!$A$1:$L$1300,63+BQ$3,2+BQ$2)&lt;&gt;"",INDEX('×入力'!$A$1:$L$1300,62,2+BQ$2)&lt;&gt;"",INDEX('×入力'!$A$1:$L$1300,63+BQ$3,1)&lt;&gt;""),1,0),0)</f>
        <v/>
      </c>
      <c r="BR12">
        <f>IF(BR$4=1,IF(OR(INDEX('×入力'!$A$1:$L$1300,63+BR$3,2+BR$2)&lt;&gt;"",INDEX('×入力'!$A$1:$L$1300,62,2+BR$2)&lt;&gt;"",INDEX('×入力'!$A$1:$L$1300,63+BR$3,1)&lt;&gt;""),1,0),0)</f>
        <v/>
      </c>
      <c r="BS12">
        <f>IF(BS$4=1,IF(OR(INDEX('×入力'!$A$1:$L$1300,63+BS$3,2+BS$2)&lt;&gt;"",INDEX('×入力'!$A$1:$L$1300,62,2+BS$2)&lt;&gt;"",INDEX('×入力'!$A$1:$L$1300,63+BS$3,1)&lt;&gt;""),1,0),0)</f>
        <v/>
      </c>
      <c r="BT12">
        <f>IF(BT$4=1,IF(OR(INDEX('×入力'!$A$1:$L$1300,63+BT$3,2+BT$2)&lt;&gt;"",INDEX('×入力'!$A$1:$L$1300,62,2+BT$2)&lt;&gt;"",INDEX('×入力'!$A$1:$L$1300,63+BT$3,1)&lt;&gt;""),1,0),0)</f>
        <v/>
      </c>
      <c r="BU12">
        <f>IF(BU$4=1,IF(OR(INDEX('×入力'!$A$1:$L$1300,63+BU$3,2+BU$2)&lt;&gt;"",INDEX('×入力'!$A$1:$L$1300,62,2+BU$2)&lt;&gt;"",INDEX('×入力'!$A$1:$L$1300,63+BU$3,1)&lt;&gt;""),1,0),0)</f>
        <v/>
      </c>
      <c r="BV12">
        <f>IF(BV$4=1,IF(OR(INDEX('×入力'!$A$1:$L$1300,63+BV$3,2+BV$2)&lt;&gt;"",INDEX('×入力'!$A$1:$L$1300,62,2+BV$2)&lt;&gt;"",INDEX('×入力'!$A$1:$L$1300,63+BV$3,1)&lt;&gt;""),1,0),0)</f>
        <v/>
      </c>
      <c r="BW12">
        <f>IF(BW$4=1,IF(OR(INDEX('×入力'!$A$1:$L$1300,63+BW$3,2+BW$2)&lt;&gt;"",INDEX('×入力'!$A$1:$L$1300,62,2+BW$2)&lt;&gt;"",INDEX('×入力'!$A$1:$L$1300,63+BW$3,1)&lt;&gt;""),1,0),0)</f>
        <v/>
      </c>
      <c r="BX12">
        <f>IF(BX$4=1,IF(OR(INDEX('×入力'!$A$1:$L$1300,63+BX$3,2+BX$2)&lt;&gt;"",INDEX('×入力'!$A$1:$L$1300,62,2+BX$2)&lt;&gt;"",INDEX('×入力'!$A$1:$L$1300,63+BX$3,1)&lt;&gt;""),1,0),0)</f>
        <v/>
      </c>
      <c r="BY12">
        <f>IF(BY$4=1,IF(OR(INDEX('×入力'!$A$1:$L$1300,63+BY$3,2+BY$2)&lt;&gt;"",INDEX('×入力'!$A$1:$L$1300,62,2+BY$2)&lt;&gt;"",INDEX('×入力'!$A$1:$L$1300,63+BY$3,1)&lt;&gt;""),1,0),0)</f>
        <v/>
      </c>
      <c r="BZ12">
        <f>IF(BZ$4=1,IF(OR(INDEX('×入力'!$A$1:$L$1300,63+BZ$3,2+BZ$2)&lt;&gt;"",INDEX('×入力'!$A$1:$L$1300,62,2+BZ$2)&lt;&gt;"",INDEX('×入力'!$A$1:$L$1300,63+BZ$3,1)&lt;&gt;""),1,0),0)</f>
        <v/>
      </c>
      <c r="CA12">
        <f>IF(CA$4=1,IF(OR(INDEX('×入力'!$A$1:$L$1300,63+CA$3,2+CA$2)&lt;&gt;"",INDEX('×入力'!$A$1:$L$1300,62,2+CA$2)&lt;&gt;"",INDEX('×入力'!$A$1:$L$1300,63+CA$3,1)&lt;&gt;""),1,0),0)</f>
        <v/>
      </c>
      <c r="CB12">
        <f>IF(CB$4=1,IF(OR(INDEX('×入力'!$A$1:$L$1300,63+CB$3,2+CB$2)&lt;&gt;"",INDEX('×入力'!$A$1:$L$1300,62,2+CB$2)&lt;&gt;"",INDEX('×入力'!$A$1:$L$1300,63+CB$3,1)&lt;&gt;""),1,0),0)</f>
        <v/>
      </c>
      <c r="CC12">
        <f>IF(CC$4=1,IF(OR(INDEX('×入力'!$A$1:$L$1300,63+CC$3,2+CC$2)&lt;&gt;"",INDEX('×入力'!$A$1:$L$1300,62,2+CC$2)&lt;&gt;"",INDEX('×入力'!$A$1:$L$1300,63+CC$3,1)&lt;&gt;""),1,0),0)</f>
        <v/>
      </c>
      <c r="CD12">
        <f>IF(CD$4=1,IF(OR(INDEX('×入力'!$A$1:$L$1300,63+CD$3,2+CD$2)&lt;&gt;"",INDEX('×入力'!$A$1:$L$1300,62,2+CD$2)&lt;&gt;"",INDEX('×入力'!$A$1:$L$1300,63+CD$3,1)&lt;&gt;""),1,0),0)</f>
        <v/>
      </c>
      <c r="CE12">
        <f>IF(CE$4=1,IF(OR(INDEX('×入力'!$A$1:$L$1300,63+CE$3,2+CE$2)&lt;&gt;"",INDEX('×入力'!$A$1:$L$1300,62,2+CE$2)&lt;&gt;"",INDEX('×入力'!$A$1:$L$1300,63+CE$3,1)&lt;&gt;""),1,0),0)</f>
        <v/>
      </c>
      <c r="CF12">
        <f>IF(CF$4=1,IF(OR(INDEX('×入力'!$A$1:$L$1300,63+CF$3,2+CF$2)&lt;&gt;"",INDEX('×入力'!$A$1:$L$1300,62,2+CF$2)&lt;&gt;"",INDEX('×入力'!$A$1:$L$1300,63+CF$3,1)&lt;&gt;""),1,0),0)</f>
        <v/>
      </c>
      <c r="CG12">
        <f>IF(CG$4=1,IF(OR(INDEX('×入力'!$A$1:$L$1300,63+CG$3,2+CG$2)&lt;&gt;"",INDEX('×入力'!$A$1:$L$1300,62,2+CG$2)&lt;&gt;"",INDEX('×入力'!$A$1:$L$1300,63+CG$3,1)&lt;&gt;""),1,0),0)</f>
        <v/>
      </c>
      <c r="CH12">
        <f>IF(CH$4=1,IF(OR(INDEX('×入力'!$A$1:$L$1300,63+CH$3,2+CH$2)&lt;&gt;"",INDEX('×入力'!$A$1:$L$1300,62,2+CH$2)&lt;&gt;"",INDEX('×入力'!$A$1:$L$1300,63+CH$3,1)&lt;&gt;""),1,0),0)</f>
        <v/>
      </c>
      <c r="CI12">
        <f>IF(CI$4=1,IF(OR(INDEX('×入力'!$A$1:$L$1300,63+CI$3,2+CI$2)&lt;&gt;"",INDEX('×入力'!$A$1:$L$1300,62,2+CI$2)&lt;&gt;"",INDEX('×入力'!$A$1:$L$1300,63+CI$3,1)&lt;&gt;""),1,0),0)</f>
        <v/>
      </c>
      <c r="CJ12">
        <f>IF(CJ$4=1,IF(OR(INDEX('×入力'!$A$1:$L$1300,63+CJ$3,2+CJ$2)&lt;&gt;"",INDEX('×入力'!$A$1:$L$1300,62,2+CJ$2)&lt;&gt;"",INDEX('×入力'!$A$1:$L$1300,63+CJ$3,1)&lt;&gt;""),1,0),0)</f>
        <v/>
      </c>
      <c r="CK12">
        <f>IF(CK$4=1,IF(OR(INDEX('×入力'!$A$1:$L$1300,63+CK$3,2+CK$2)&lt;&gt;"",INDEX('×入力'!$A$1:$L$1300,62,2+CK$2)&lt;&gt;"",INDEX('×入力'!$A$1:$L$1300,63+CK$3,1)&lt;&gt;""),1,0),0)</f>
        <v/>
      </c>
      <c r="CL12">
        <f>IF(CL$4=1,IF(OR(INDEX('×入力'!$A$1:$L$1300,63+CL$3,2+CL$2)&lt;&gt;"",INDEX('×入力'!$A$1:$L$1300,62,2+CL$2)&lt;&gt;"",INDEX('×入力'!$A$1:$L$1300,63+CL$3,1)&lt;&gt;""),1,0),0)</f>
        <v/>
      </c>
      <c r="CM12">
        <f>IF(CM$4=1,IF(OR(INDEX('×入力'!$A$1:$L$1300,63+CM$3,2+CM$2)&lt;&gt;"",INDEX('×入力'!$A$1:$L$1300,62,2+CM$2)&lt;&gt;"",INDEX('×入力'!$A$1:$L$1300,63+CM$3,1)&lt;&gt;""),1,0),0)</f>
        <v/>
      </c>
      <c r="CN12">
        <f>IF(CN$4=1,IF(OR(INDEX('×入力'!$A$1:$L$1300,63+CN$3,2+CN$2)&lt;&gt;"",INDEX('×入力'!$A$1:$L$1300,62,2+CN$2)&lt;&gt;"",INDEX('×入力'!$A$1:$L$1300,63+CN$3,1)&lt;&gt;""),1,0),0)</f>
        <v/>
      </c>
      <c r="CO12">
        <f>IF(CO$4=1,IF(OR(INDEX('×入力'!$A$1:$L$1300,63+CO$3,2+CO$2)&lt;&gt;"",INDEX('×入力'!$A$1:$L$1300,62,2+CO$2)&lt;&gt;"",INDEX('×入力'!$A$1:$L$1300,63+CO$3,1)&lt;&gt;""),1,0),0)</f>
        <v/>
      </c>
      <c r="CP12">
        <f>IF(CP$4=1,IF(OR(INDEX('×入力'!$A$1:$L$1300,63+CP$3,2+CP$2)&lt;&gt;"",INDEX('×入力'!$A$1:$L$1300,62,2+CP$2)&lt;&gt;"",INDEX('×入力'!$A$1:$L$1300,63+CP$3,1)&lt;&gt;""),1,0),0)</f>
        <v/>
      </c>
      <c r="CQ12">
        <f>IF(CQ$4=1,IF(OR(INDEX('×入力'!$A$1:$L$1300,63+CQ$3,2+CQ$2)&lt;&gt;"",INDEX('×入力'!$A$1:$L$1300,62,2+CQ$2)&lt;&gt;"",INDEX('×入力'!$A$1:$L$1300,63+CQ$3,1)&lt;&gt;""),1,0),0)</f>
        <v/>
      </c>
      <c r="CR12">
        <f>IF(CR$4=1,IF(OR(INDEX('×入力'!$A$1:$L$1300,63+CR$3,2+CR$2)&lt;&gt;"",INDEX('×入力'!$A$1:$L$1300,62,2+CR$2)&lt;&gt;"",INDEX('×入力'!$A$1:$L$1300,63+CR$3,1)&lt;&gt;""),1,0),0)</f>
        <v/>
      </c>
      <c r="CS12">
        <f>IF(CS$4=1,IF(OR(INDEX('×入力'!$A$1:$L$1300,63+CS$3,2+CS$2)&lt;&gt;"",INDEX('×入力'!$A$1:$L$1300,62,2+CS$2)&lt;&gt;"",INDEX('×入力'!$A$1:$L$1300,63+CS$3,1)&lt;&gt;""),1,0),0)</f>
        <v/>
      </c>
      <c r="CT12">
        <f>IF(CT$4=1,IF(OR(INDEX('×入力'!$A$1:$L$1300,63+CT$3,2+CT$2)&lt;&gt;"",INDEX('×入力'!$A$1:$L$1300,62,2+CT$2)&lt;&gt;"",INDEX('×入力'!$A$1:$L$1300,63+CT$3,1)&lt;&gt;""),1,0),0)</f>
        <v/>
      </c>
      <c r="CU12">
        <f>IF(CU$4=1,IF(OR(INDEX('×入力'!$A$1:$L$1300,63+CU$3,2+CU$2)&lt;&gt;"",INDEX('×入力'!$A$1:$L$1300,62,2+CU$2)&lt;&gt;"",INDEX('×入力'!$A$1:$L$1300,63+CU$3,1)&lt;&gt;""),1,0),0)</f>
        <v/>
      </c>
      <c r="CV12">
        <f>IF(CV$4=1,IF(OR(INDEX('×入力'!$A$1:$L$1300,63+CV$3,2+CV$2)&lt;&gt;"",INDEX('×入力'!$A$1:$L$1300,62,2+CV$2)&lt;&gt;"",INDEX('×入力'!$A$1:$L$1300,63+CV$3,1)&lt;&gt;""),1,0),0)</f>
        <v/>
      </c>
      <c r="CW12">
        <f>IF(CW$4=1,IF(OR(INDEX('×入力'!$A$1:$L$1300,63+CW$3,2+CW$2)&lt;&gt;"",INDEX('×入力'!$A$1:$L$1300,62,2+CW$2)&lt;&gt;"",INDEX('×入力'!$A$1:$L$1300,63+CW$3,1)&lt;&gt;""),1,0),0)</f>
        <v/>
      </c>
      <c r="CX12">
        <f>IF(CX$4=1,IF(OR(INDEX('×入力'!$A$1:$L$1300,63+CX$3,2+CX$2)&lt;&gt;"",INDEX('×入力'!$A$1:$L$1300,62,2+CX$2)&lt;&gt;"",INDEX('×入力'!$A$1:$L$1300,63+CX$3,1)&lt;&gt;""),1,0),0)</f>
        <v/>
      </c>
      <c r="CY12">
        <f>IF(CY$4=1,IF(OR(INDEX('×入力'!$A$1:$L$1300,63+CY$3,2+CY$2)&lt;&gt;"",INDEX('×入力'!$A$1:$L$1300,62,2+CY$2)&lt;&gt;"",INDEX('×入力'!$A$1:$L$1300,63+CY$3,1)&lt;&gt;""),1,0),0)</f>
        <v/>
      </c>
      <c r="CZ12">
        <f>IF(CZ$4=1,IF(OR(INDEX('×入力'!$A$1:$L$1300,63+CZ$3,2+CZ$2)&lt;&gt;"",INDEX('×入力'!$A$1:$L$1300,62,2+CZ$2)&lt;&gt;"",INDEX('×入力'!$A$1:$L$1300,63+CZ$3,1)&lt;&gt;""),1,0),0)</f>
        <v/>
      </c>
      <c r="DA12">
        <f>IF(DA$4=1,IF(OR(INDEX('×入力'!$A$1:$L$1300,63+DA$3,2+DA$2)&lt;&gt;"",INDEX('×入力'!$A$1:$L$1300,62,2+DA$2)&lt;&gt;"",INDEX('×入力'!$A$1:$L$1300,63+DA$3,1)&lt;&gt;""),1,0),0)</f>
        <v/>
      </c>
      <c r="DB12">
        <f>IF(DB$4=1,IF(OR(INDEX('×入力'!$A$1:$L$1300,63+DB$3,2+DB$2)&lt;&gt;"",INDEX('×入力'!$A$1:$L$1300,62,2+DB$2)&lt;&gt;"",INDEX('×入力'!$A$1:$L$1300,63+DB$3,1)&lt;&gt;""),1,0),0)</f>
        <v/>
      </c>
      <c r="DC12">
        <f>IF(DC$4=1,IF(OR(INDEX('×入力'!$A$1:$L$1300,63+DC$3,2+DC$2)&lt;&gt;"",INDEX('×入力'!$A$1:$L$1300,62,2+DC$2)&lt;&gt;"",INDEX('×入力'!$A$1:$L$1300,63+DC$3,1)&lt;&gt;""),1,0),0)</f>
        <v/>
      </c>
      <c r="DD12">
        <f>IF(DD$4=1,IF(OR(INDEX('×入力'!$A$1:$L$1300,63+DD$3,2+DD$2)&lt;&gt;"",INDEX('×入力'!$A$1:$L$1300,62,2+DD$2)&lt;&gt;"",INDEX('×入力'!$A$1:$L$1300,63+DD$3,1)&lt;&gt;""),1,0),0)</f>
        <v/>
      </c>
      <c r="DE12">
        <f>IF(DE$4=1,IF(OR(INDEX('×入力'!$A$1:$L$1300,63+DE$3,2+DE$2)&lt;&gt;"",INDEX('×入力'!$A$1:$L$1300,62,2+DE$2)&lt;&gt;"",INDEX('×入力'!$A$1:$L$1300,63+DE$3,1)&lt;&gt;""),1,0),0)</f>
        <v/>
      </c>
      <c r="DF12">
        <f>IF(DF$4=1,IF(OR(INDEX('×入力'!$A$1:$L$1300,63+DF$3,2+DF$2)&lt;&gt;"",INDEX('×入力'!$A$1:$L$1300,62,2+DF$2)&lt;&gt;"",INDEX('×入力'!$A$1:$L$1300,63+DF$3,1)&lt;&gt;""),1,0),0)</f>
        <v/>
      </c>
      <c r="DG12">
        <f>IF(DG$4=1,IF(OR(INDEX('×入力'!$A$1:$L$1300,63+DG$3,2+DG$2)&lt;&gt;"",INDEX('×入力'!$A$1:$L$1300,62,2+DG$2)&lt;&gt;"",INDEX('×入力'!$A$1:$L$1300,63+DG$3,1)&lt;&gt;""),1,0),0)</f>
        <v/>
      </c>
      <c r="DH12">
        <f>IF(DH$4=1,IF(OR(INDEX('×入力'!$A$1:$L$1300,63+DH$3,2+DH$2)&lt;&gt;"",INDEX('×入力'!$A$1:$L$1300,62,2+DH$2)&lt;&gt;"",INDEX('×入力'!$A$1:$L$1300,63+DH$3,1)&lt;&gt;""),1,0),0)</f>
        <v/>
      </c>
      <c r="DI12">
        <f>IF(DI$4=1,IF(OR(INDEX('×入力'!$A$1:$L$1300,63+DI$3,2+DI$2)&lt;&gt;"",INDEX('×入力'!$A$1:$L$1300,62,2+DI$2)&lt;&gt;"",INDEX('×入力'!$A$1:$L$1300,63+DI$3,1)&lt;&gt;""),1,0),0)</f>
        <v/>
      </c>
      <c r="DJ12">
        <f>IF(DJ$4=1,IF(OR(INDEX('×入力'!$A$1:$L$1300,63+DJ$3,2+DJ$2)&lt;&gt;"",INDEX('×入力'!$A$1:$L$1300,62,2+DJ$2)&lt;&gt;"",INDEX('×入力'!$A$1:$L$1300,63+DJ$3,1)&lt;&gt;""),1,0),0)</f>
        <v/>
      </c>
      <c r="DK12">
        <f>IF(DK$4=1,IF(OR(INDEX('×入力'!$A$1:$L$1300,63+DK$3,2+DK$2)&lt;&gt;"",INDEX('×入力'!$A$1:$L$1300,62,2+DK$2)&lt;&gt;"",INDEX('×入力'!$A$1:$L$1300,63+DK$3,1)&lt;&gt;""),1,0),0)</f>
        <v/>
      </c>
      <c r="DL12">
        <f>IF(DL$4=1,IF(OR(INDEX('×入力'!$A$1:$L$1300,63+DL$3,2+DL$2)&lt;&gt;"",INDEX('×入力'!$A$1:$L$1300,62,2+DL$2)&lt;&gt;"",INDEX('×入力'!$A$1:$L$1300,63+DL$3,1)&lt;&gt;""),1,0),0)</f>
        <v/>
      </c>
      <c r="DM12">
        <f>IF(DM$4=1,IF(OR(INDEX('×入力'!$A$1:$L$1300,63+DM$3,2+DM$2)&lt;&gt;"",INDEX('×入力'!$A$1:$L$1300,62,2+DM$2)&lt;&gt;"",INDEX('×入力'!$A$1:$L$1300,63+DM$3,1)&lt;&gt;""),1,0),0)</f>
        <v/>
      </c>
      <c r="DN12">
        <f>IF(DN$4=1,IF(OR(INDEX('×入力'!$A$1:$L$1300,63+DN$3,2+DN$2)&lt;&gt;"",INDEX('×入力'!$A$1:$L$1300,62,2+DN$2)&lt;&gt;"",INDEX('×入力'!$A$1:$L$1300,63+DN$3,1)&lt;&gt;""),1,0),0)</f>
        <v/>
      </c>
      <c r="DO12">
        <f>IF(DO$4=1,IF(OR(INDEX('×入力'!$A$1:$L$1300,63+DO$3,2+DO$2)&lt;&gt;"",INDEX('×入力'!$A$1:$L$1300,62,2+DO$2)&lt;&gt;"",INDEX('×入力'!$A$1:$L$1300,63+DO$3,1)&lt;&gt;""),1,0),0)</f>
        <v/>
      </c>
      <c r="DP12">
        <f>IF(DP$4=1,IF(OR(INDEX('×入力'!$A$1:$L$1300,63+DP$3,2+DP$2)&lt;&gt;"",INDEX('×入力'!$A$1:$L$1300,62,2+DP$2)&lt;&gt;"",INDEX('×入力'!$A$1:$L$1300,63+DP$3,1)&lt;&gt;""),1,0),0)</f>
        <v/>
      </c>
      <c r="DQ12">
        <f>IF(DQ$4=1,IF(OR(INDEX('×入力'!$A$1:$L$1300,63+DQ$3,2+DQ$2)&lt;&gt;"",INDEX('×入力'!$A$1:$L$1300,62,2+DQ$2)&lt;&gt;"",INDEX('×入力'!$A$1:$L$1300,63+DQ$3,1)&lt;&gt;""),1,0),0)</f>
        <v/>
      </c>
      <c r="DR12">
        <f>IF(DR$4=1,IF(OR(INDEX('×入力'!$A$1:$L$1300,63+DR$3,2+DR$2)&lt;&gt;"",INDEX('×入力'!$A$1:$L$1300,62,2+DR$2)&lt;&gt;"",INDEX('×入力'!$A$1:$L$1300,63+DR$3,1)&lt;&gt;""),1,0),0)</f>
        <v/>
      </c>
      <c r="DS12">
        <f>IF(DS$4=1,IF(OR(INDEX('×入力'!$A$1:$L$1300,63+DS$3,2+DS$2)&lt;&gt;"",INDEX('×入力'!$A$1:$L$1300,62,2+DS$2)&lt;&gt;"",INDEX('×入力'!$A$1:$L$1300,63+DS$3,1)&lt;&gt;""),1,0),0)</f>
        <v/>
      </c>
      <c r="DT12">
        <f>IF(DT$4=1,IF(OR(INDEX('×入力'!$A$1:$L$1300,63+DT$3,2+DT$2)&lt;&gt;"",INDEX('×入力'!$A$1:$L$1300,62,2+DT$2)&lt;&gt;"",INDEX('×入力'!$A$1:$L$1300,63+DT$3,1)&lt;&gt;""),1,0),0)</f>
        <v/>
      </c>
      <c r="DU12">
        <f>IF(DU$4=1,IF(OR(INDEX('×入力'!$A$1:$L$1300,63+DU$3,2+DU$2)&lt;&gt;"",INDEX('×入力'!$A$1:$L$1300,62,2+DU$2)&lt;&gt;"",INDEX('×入力'!$A$1:$L$1300,63+DU$3,1)&lt;&gt;""),1,0),0)</f>
        <v/>
      </c>
      <c r="DV12">
        <f>IF(DV$4=1,IF(OR(INDEX('×入力'!$A$1:$L$1300,63+DV$3,2+DV$2)&lt;&gt;"",INDEX('×入力'!$A$1:$L$1300,62,2+DV$2)&lt;&gt;"",INDEX('×入力'!$A$1:$L$1300,63+DV$3,1)&lt;&gt;""),1,0),0)</f>
        <v/>
      </c>
      <c r="DW12">
        <f>IF(DW$4=1,IF(OR(INDEX('×入力'!$A$1:$L$1300,63+DW$3,2+DW$2)&lt;&gt;"",INDEX('×入力'!$A$1:$L$1300,62,2+DW$2)&lt;&gt;"",INDEX('×入力'!$A$1:$L$1300,63+DW$3,1)&lt;&gt;""),1,0),0)</f>
        <v/>
      </c>
      <c r="DX12">
        <f>IF(DX$4=1,IF(OR(INDEX('×入力'!$A$1:$L$1300,63+DX$3,2+DX$2)&lt;&gt;"",INDEX('×入力'!$A$1:$L$1300,62,2+DX$2)&lt;&gt;"",INDEX('×入力'!$A$1:$L$1300,63+DX$3,1)&lt;&gt;""),1,0),0)</f>
        <v/>
      </c>
      <c r="DY12">
        <f>IF(DY$4=1,IF(OR(INDEX('×入力'!$A$1:$L$1300,63+DY$3,2+DY$2)&lt;&gt;"",INDEX('×入力'!$A$1:$L$1300,62,2+DY$2)&lt;&gt;"",INDEX('×入力'!$A$1:$L$1300,63+DY$3,1)&lt;&gt;""),1,0),0)</f>
        <v/>
      </c>
      <c r="DZ12">
        <f>IF(DZ$4=1,IF(OR(INDEX('×入力'!$A$1:$L$1300,63+DZ$3,2+DZ$2)&lt;&gt;"",INDEX('×入力'!$A$1:$L$1300,62,2+DZ$2)&lt;&gt;"",INDEX('×入力'!$A$1:$L$1300,63+DZ$3,1)&lt;&gt;""),1,0),0)</f>
        <v/>
      </c>
      <c r="EA12">
        <f>IF(EA$4=1,IF(OR(INDEX('×入力'!$A$1:$L$1300,63+EA$3,2+EA$2)&lt;&gt;"",INDEX('×入力'!$A$1:$L$1300,62,2+EA$2)&lt;&gt;"",INDEX('×入力'!$A$1:$L$1300,63+EA$3,1)&lt;&gt;""),1,0),0)</f>
        <v/>
      </c>
      <c r="EB12">
        <f>IF(EB$4=1,IF(OR(INDEX('×入力'!$A$1:$L$1300,63+EB$3,2+EB$2)&lt;&gt;"",INDEX('×入力'!$A$1:$L$1300,62,2+EB$2)&lt;&gt;"",INDEX('×入力'!$A$1:$L$1300,63+EB$3,1)&lt;&gt;""),1,0),0)</f>
        <v/>
      </c>
      <c r="EC12">
        <f>IF(EC$4=1,IF(OR(INDEX('×入力'!$A$1:$L$1300,63+EC$3,2+EC$2)&lt;&gt;"",INDEX('×入力'!$A$1:$L$1300,62,2+EC$2)&lt;&gt;"",INDEX('×入力'!$A$1:$L$1300,63+EC$3,1)&lt;&gt;""),1,0),0)</f>
        <v/>
      </c>
      <c r="ED12">
        <f>IF(ED$4=1,IF(OR(INDEX('×入力'!$A$1:$L$1300,63+ED$3,2+ED$2)&lt;&gt;"",INDEX('×入力'!$A$1:$L$1300,62,2+ED$2)&lt;&gt;"",INDEX('×入力'!$A$1:$L$1300,63+ED$3,1)&lt;&gt;""),1,0),0)</f>
        <v/>
      </c>
      <c r="EE12">
        <f>IF(EE$4=1,IF(OR(INDEX('×入力'!$A$1:$L$1300,63+EE$3,2+EE$2)&lt;&gt;"",INDEX('×入力'!$A$1:$L$1300,62,2+EE$2)&lt;&gt;"",INDEX('×入力'!$A$1:$L$1300,63+EE$3,1)&lt;&gt;""),1,0),0)</f>
        <v/>
      </c>
      <c r="EF12">
        <f>IF(EF$4=1,IF(OR(INDEX('×入力'!$A$1:$L$1300,63+EF$3,2+EF$2)&lt;&gt;"",INDEX('×入力'!$A$1:$L$1300,62,2+EF$2)&lt;&gt;"",INDEX('×入力'!$A$1:$L$1300,63+EF$3,1)&lt;&gt;""),1,0),0)</f>
        <v/>
      </c>
      <c r="EG12">
        <f>IF(EG$4=1,IF(OR(INDEX('×入力'!$A$1:$L$1300,63+EG$3,2+EG$2)&lt;&gt;"",INDEX('×入力'!$A$1:$L$1300,62,2+EG$2)&lt;&gt;"",INDEX('×入力'!$A$1:$L$1300,63+EG$3,1)&lt;&gt;""),1,0),0)</f>
        <v/>
      </c>
      <c r="EH12">
        <f>IF(EH$4=1,IF(OR(INDEX('×入力'!$A$1:$L$1300,63+EH$3,2+EH$2)&lt;&gt;"",INDEX('×入力'!$A$1:$L$1300,62,2+EH$2)&lt;&gt;"",INDEX('×入力'!$A$1:$L$1300,63+EH$3,1)&lt;&gt;""),1,0),0)</f>
        <v/>
      </c>
      <c r="EI12">
        <f>IF(EI$4=1,IF(OR(INDEX('×入力'!$A$1:$L$1300,63+EI$3,2+EI$2)&lt;&gt;"",INDEX('×入力'!$A$1:$L$1300,62,2+EI$2)&lt;&gt;"",INDEX('×入力'!$A$1:$L$1300,63+EI$3,1)&lt;&gt;""),1,0),0)</f>
        <v/>
      </c>
      <c r="EJ12">
        <f>IF(EJ$4=1,IF(OR(INDEX('×入力'!$A$1:$L$1300,63+EJ$3,2+EJ$2)&lt;&gt;"",INDEX('×入力'!$A$1:$L$1300,62,2+EJ$2)&lt;&gt;"",INDEX('×入力'!$A$1:$L$1300,63+EJ$3,1)&lt;&gt;""),1,0),0)</f>
        <v/>
      </c>
      <c r="EK12">
        <f>IF(EK$4=1,IF(OR(INDEX('×入力'!$A$1:$L$1300,63+EK$3,2+EK$2)&lt;&gt;"",INDEX('×入力'!$A$1:$L$1300,62,2+EK$2)&lt;&gt;"",INDEX('×入力'!$A$1:$L$1300,63+EK$3,1)&lt;&gt;""),1,0),0)</f>
        <v/>
      </c>
      <c r="EL12">
        <f>IF(EL$4=1,IF(OR(INDEX('×入力'!$A$1:$L$1300,63+EL$3,2+EL$2)&lt;&gt;"",INDEX('×入力'!$A$1:$L$1300,62,2+EL$2)&lt;&gt;"",INDEX('×入力'!$A$1:$L$1300,63+EL$3,1)&lt;&gt;""),1,0),0)</f>
        <v/>
      </c>
      <c r="EM12">
        <f>IF(EM$4=1,IF(OR(INDEX('×入力'!$A$1:$L$1300,63+EM$3,2+EM$2)&lt;&gt;"",INDEX('×入力'!$A$1:$L$1300,62,2+EM$2)&lt;&gt;"",INDEX('×入力'!$A$1:$L$1300,63+EM$3,1)&lt;&gt;""),1,0),0)</f>
        <v/>
      </c>
      <c r="EN12">
        <f>IF(EN$4=1,IF(OR(INDEX('×入力'!$A$1:$L$1300,63+EN$3,2+EN$2)&lt;&gt;"",INDEX('×入力'!$A$1:$L$1300,62,2+EN$2)&lt;&gt;"",INDEX('×入力'!$A$1:$L$1300,63+EN$3,1)&lt;&gt;""),1,0),0)</f>
        <v/>
      </c>
      <c r="EO12">
        <f>IF(EO$4=1,IF(OR(INDEX('×入力'!$A$1:$L$1300,63+EO$3,2+EO$2)&lt;&gt;"",INDEX('×入力'!$A$1:$L$1300,62,2+EO$2)&lt;&gt;"",INDEX('×入力'!$A$1:$L$1300,63+EO$3,1)&lt;&gt;""),1,0),0)</f>
        <v/>
      </c>
      <c r="EP12">
        <f>IF(EP$4=1,IF(OR(INDEX('×入力'!$A$1:$L$1300,63+EP$3,2+EP$2)&lt;&gt;"",INDEX('×入力'!$A$1:$L$1300,62,2+EP$2)&lt;&gt;"",INDEX('×入力'!$A$1:$L$1300,63+EP$3,1)&lt;&gt;""),1,0),0)</f>
        <v/>
      </c>
      <c r="EQ12">
        <f>IF(EQ$4=1,IF(OR(INDEX('×入力'!$A$1:$L$1300,63+EQ$3,2+EQ$2)&lt;&gt;"",INDEX('×入力'!$A$1:$L$1300,62,2+EQ$2)&lt;&gt;"",INDEX('×入力'!$A$1:$L$1300,63+EQ$3,1)&lt;&gt;""),1,0),0)</f>
        <v/>
      </c>
      <c r="HA12">
        <f>MAX(0,IT12)</f>
        <v/>
      </c>
      <c r="HB12">
        <f>IF(HA12=0,0,INDEX($D$2:$EQ$2,HA12))</f>
        <v/>
      </c>
      <c r="HC12">
        <f>IF(HA12=0,0,INDEX($D$3:$EQ$3,HA12))</f>
        <v/>
      </c>
      <c r="HD12">
        <f>MAX(0,IY12)</f>
        <v/>
      </c>
      <c r="HE12">
        <f>IF(HD12=0,0,INDEX($D$2:$EQ$2,HD12))</f>
        <v/>
      </c>
      <c r="HF12">
        <f>IF(HD12=0,0,INDEX($D$3:$EQ$3,HD12))</f>
        <v/>
      </c>
      <c r="HG12">
        <f>MAX(0,IZ12)</f>
        <v/>
      </c>
      <c r="HH12">
        <f>IF(HG12=0,0,INDEX($D$2:$EQ$2,HG12))</f>
        <v/>
      </c>
      <c r="HI12">
        <f>IF(HG12=0,0,INDEX($D$3:$EQ$3,HG12))</f>
        <v/>
      </c>
      <c r="HJ12">
        <f>IF(AND(HA12&gt;0,HC12&gt;1,OR(HC12-1&lt;&gt;$A$3,$A$4=0)),HA12-1,-1)</f>
        <v/>
      </c>
      <c r="HK12">
        <f>IF(AND(HA12&gt;0,HC12&lt;24,OR(HC12&lt;&gt;$A$3,$A$4=0)),HA12+1,-1)</f>
        <v/>
      </c>
      <c r="HL12">
        <f>IF(AND(HD12&gt;0,HF12&gt;1,OR(HF12-1&lt;&gt;$A$3,$A$4=0)),HD12-1,-1)</f>
        <v/>
      </c>
      <c r="HM12">
        <f>IF(AND(HD12&gt;0,HF12&lt;24,OR(HF12&lt;&gt;$A$3,$A$4=0)),HD12+1,-1)</f>
        <v/>
      </c>
      <c r="HN12">
        <f>IF(AND(HG12&gt;0,HI12&gt;1,OR(HI12-1&lt;&gt;$A$3,$A$4=0)),HG12-1,-1)</f>
        <v/>
      </c>
      <c r="HO12">
        <f>IF(AND(HG12&gt;0,HI12&lt;24,OR(HI12&lt;&gt;$A$3,$A$4=0)),HG12+1,-1)</f>
        <v/>
      </c>
      <c r="IK12">
        <f>IFERROR(INDEX('calcB'!$C$3:$C$47,MATCH(A12,'calcB'!$B$3:$B$47,0)),0)</f>
        <v/>
      </c>
      <c r="IL12">
        <f>IF(AND(C12=1,IK12=0,calcA!$A$6&gt;0),1,0)</f>
        <v/>
      </c>
      <c r="IM12">
        <f>SUMPRODUCT(D62:EQ62*(1-$D$7:$EQ$7))</f>
        <v/>
      </c>
      <c r="IN12">
        <f>SUM(D12:EQ12)</f>
        <v/>
      </c>
      <c r="IO12">
        <f>IF(B12="",0,IF(COUNTIF('調整・決定'!$C$6:$H$29,B12)=1,SUMPRODUCT(('調整・決定'!$C$6:$H$29=B12)*((COLUMN('調整・決定'!$C$6:$H$29)-3)*24+ROW('調整・決定'!$C$6:$H$29)-5)),0))</f>
        <v/>
      </c>
      <c r="IP12">
        <f>IFERROR(MATCH('名簿'!C7,{"早い時刻","遅い時刻","早い日","遅い日"},0),0)</f>
        <v/>
      </c>
      <c r="IQ12">
        <f>IF('名簿'!D7="必ず空けたい",2,IF('名簿'!D7="出来れば空けたい",1,0))</f>
        <v/>
      </c>
      <c r="IR12">
        <f>IFERROR(INDEX('calcC'!$C$3:$C$47,MATCH(A12,'calcC'!$B$3:$B$47,0)),0)</f>
        <v/>
      </c>
      <c r="IS12">
        <f>IF(AND(C12=1,IR12=0,calcA!$A$6&gt;0),1,0)</f>
        <v/>
      </c>
      <c r="IT12">
        <f>IF(OR('名簿'!G7="",'名簿'!H7=""),0,IFERROR((MATCH('名簿'!G7,'設定'!$E$11:$E$16,0)-1)*24+MATCH('名簿'!H7,'設定'!$I$11:$I$34,0),-1))</f>
        <v/>
      </c>
      <c r="IV12">
        <f>IF(OR(JF12=0,IO12=0),1,IF(OR(IF(IT12&gt;0,AND(INDEX($D$2:$EQ$2,IO12)=INDEX($D$2:$EQ$2,IT12),OR(AND(IO12=IT12+1,OR(INDEX($D$3:$EQ$3,IT12)&lt;&gt;$A$3,$A$4=0)),AND(IO12=IT12-1,OR(INDEX($D$3:$EQ$3,IO12)&lt;&gt;$A$3,$A$4=0)))),FALSE),IF(IY12&gt;0,AND(INDEX($D$2:$EQ$2,IO12)=INDEX($D$2:$EQ$2,IY12),OR(AND(IO12=IY12+1,OR(INDEX($D$3:$EQ$3,IY12)&lt;&gt;$A$3,$A$4=0)),AND(IO12=IY12-1,OR(INDEX($D$3:$EQ$3,IO12)&lt;&gt;$A$3,$A$4=0)))),FALSE),IF(IZ12&gt;0,AND(INDEX($D$2:$EQ$2,IO12)=INDEX($D$2:$EQ$2,IZ12),OR(AND(IO12=IZ12+1,OR(INDEX($D$3:$EQ$3,IZ12)&lt;&gt;$A$3,$A$4=0)),AND(IO12=IZ12-1,OR(INDEX($D$3:$EQ$3,IO12)&lt;&gt;$A$3,$A$4=0)))),FALSE)),1,0))</f>
        <v/>
      </c>
      <c r="IW12">
        <f>IF(AND('名簿'!E7&lt;&gt;"",JF12=0),1,0)</f>
        <v/>
      </c>
      <c r="IX12">
        <f>IF('名簿'!D7="空けない",1,0)</f>
        <v/>
      </c>
      <c r="IY12">
        <f>IF(OR('名簿'!J7="",'名簿'!K7=""),0,IFERROR((MATCH('名簿'!J7,'設定'!$E$11:$E$16,0)-1)*24+MATCH('名簿'!K7,'設定'!$I$11:$I$34,0),-1))</f>
        <v/>
      </c>
      <c r="IZ12">
        <f>IF(OR('名簿'!M7="",'名簿'!N7=""),0,IFERROR((MATCH('名簿'!M7,'設定'!$E$11:$E$16,0)-1)*24+MATCH('名簿'!N7,'設定'!$I$11:$I$34,0),-1))</f>
        <v/>
      </c>
      <c r="JC12">
        <f>IF(RIGHT('名簿'!I7,2)="の前",1,IF(RIGHT('名簿'!I7,2)="の後",2,0))</f>
        <v/>
      </c>
      <c r="JD12">
        <f>IF(RIGHT('名簿'!L7,2)="の前",1,IF(RIGHT('名簿'!L7,2)="の後",2,0))</f>
        <v/>
      </c>
      <c r="JE12">
        <f>IF(RIGHT('名簿'!O7,2)="の前",1,IF(RIGHT('名簿'!O7,2)="の後",2,0))</f>
        <v/>
      </c>
      <c r="JF12">
        <f>IF(OR(IT12&gt;0,IY12&gt;0,IZ12&gt;0),1,0)</f>
        <v/>
      </c>
      <c r="JG12">
        <f>IF(OR(IT12&lt;0,IY12&lt;0,IZ12&lt;0),1,0)</f>
        <v/>
      </c>
    </row>
    <row r="13">
      <c r="A13" t="n">
        <v>4</v>
      </c>
      <c r="B13">
        <f>'名簿'!P8</f>
        <v/>
      </c>
      <c r="C13">
        <f>IF(AND(B13&lt;&gt;"",OR('名簿'!Q8="入力済み",'名簿'!Q8="×なし"),IO13=0,COUNTIF('調整・決定'!$C$6:$H$29,B13)=0),1,0)</f>
        <v/>
      </c>
      <c r="D13">
        <f>IF(D$4=1,IF(OR(INDEX('×入力'!$A$1:$L$1300,91+D$3,2+D$2)&lt;&gt;"",INDEX('×入力'!$A$1:$L$1300,90,2+D$2)&lt;&gt;"",INDEX('×入力'!$A$1:$L$1300,91+D$3,1)&lt;&gt;""),1,0),0)</f>
        <v/>
      </c>
      <c r="E13">
        <f>IF(E$4=1,IF(OR(INDEX('×入力'!$A$1:$L$1300,91+E$3,2+E$2)&lt;&gt;"",INDEX('×入力'!$A$1:$L$1300,90,2+E$2)&lt;&gt;"",INDEX('×入力'!$A$1:$L$1300,91+E$3,1)&lt;&gt;""),1,0),0)</f>
        <v/>
      </c>
      <c r="F13">
        <f>IF(F$4=1,IF(OR(INDEX('×入力'!$A$1:$L$1300,91+F$3,2+F$2)&lt;&gt;"",INDEX('×入力'!$A$1:$L$1300,90,2+F$2)&lt;&gt;"",INDEX('×入力'!$A$1:$L$1300,91+F$3,1)&lt;&gt;""),1,0),0)</f>
        <v/>
      </c>
      <c r="G13">
        <f>IF(G$4=1,IF(OR(INDEX('×入力'!$A$1:$L$1300,91+G$3,2+G$2)&lt;&gt;"",INDEX('×入力'!$A$1:$L$1300,90,2+G$2)&lt;&gt;"",INDEX('×入力'!$A$1:$L$1300,91+G$3,1)&lt;&gt;""),1,0),0)</f>
        <v/>
      </c>
      <c r="H13">
        <f>IF(H$4=1,IF(OR(INDEX('×入力'!$A$1:$L$1300,91+H$3,2+H$2)&lt;&gt;"",INDEX('×入力'!$A$1:$L$1300,90,2+H$2)&lt;&gt;"",INDEX('×入力'!$A$1:$L$1300,91+H$3,1)&lt;&gt;""),1,0),0)</f>
        <v/>
      </c>
      <c r="I13">
        <f>IF(I$4=1,IF(OR(INDEX('×入力'!$A$1:$L$1300,91+I$3,2+I$2)&lt;&gt;"",INDEX('×入力'!$A$1:$L$1300,90,2+I$2)&lt;&gt;"",INDEX('×入力'!$A$1:$L$1300,91+I$3,1)&lt;&gt;""),1,0),0)</f>
        <v/>
      </c>
      <c r="J13">
        <f>IF(J$4=1,IF(OR(INDEX('×入力'!$A$1:$L$1300,91+J$3,2+J$2)&lt;&gt;"",INDEX('×入力'!$A$1:$L$1300,90,2+J$2)&lt;&gt;"",INDEX('×入力'!$A$1:$L$1300,91+J$3,1)&lt;&gt;""),1,0),0)</f>
        <v/>
      </c>
      <c r="K13">
        <f>IF(K$4=1,IF(OR(INDEX('×入力'!$A$1:$L$1300,91+K$3,2+K$2)&lt;&gt;"",INDEX('×入力'!$A$1:$L$1300,90,2+K$2)&lt;&gt;"",INDEX('×入力'!$A$1:$L$1300,91+K$3,1)&lt;&gt;""),1,0),0)</f>
        <v/>
      </c>
      <c r="L13">
        <f>IF(L$4=1,IF(OR(INDEX('×入力'!$A$1:$L$1300,91+L$3,2+L$2)&lt;&gt;"",INDEX('×入力'!$A$1:$L$1300,90,2+L$2)&lt;&gt;"",INDEX('×入力'!$A$1:$L$1300,91+L$3,1)&lt;&gt;""),1,0),0)</f>
        <v/>
      </c>
      <c r="M13">
        <f>IF(M$4=1,IF(OR(INDEX('×入力'!$A$1:$L$1300,91+M$3,2+M$2)&lt;&gt;"",INDEX('×入力'!$A$1:$L$1300,90,2+M$2)&lt;&gt;"",INDEX('×入力'!$A$1:$L$1300,91+M$3,1)&lt;&gt;""),1,0),0)</f>
        <v/>
      </c>
      <c r="N13">
        <f>IF(N$4=1,IF(OR(INDEX('×入力'!$A$1:$L$1300,91+N$3,2+N$2)&lt;&gt;"",INDEX('×入力'!$A$1:$L$1300,90,2+N$2)&lt;&gt;"",INDEX('×入力'!$A$1:$L$1300,91+N$3,1)&lt;&gt;""),1,0),0)</f>
        <v/>
      </c>
      <c r="O13">
        <f>IF(O$4=1,IF(OR(INDEX('×入力'!$A$1:$L$1300,91+O$3,2+O$2)&lt;&gt;"",INDEX('×入力'!$A$1:$L$1300,90,2+O$2)&lt;&gt;"",INDEX('×入力'!$A$1:$L$1300,91+O$3,1)&lt;&gt;""),1,0),0)</f>
        <v/>
      </c>
      <c r="P13">
        <f>IF(P$4=1,IF(OR(INDEX('×入力'!$A$1:$L$1300,91+P$3,2+P$2)&lt;&gt;"",INDEX('×入力'!$A$1:$L$1300,90,2+P$2)&lt;&gt;"",INDEX('×入力'!$A$1:$L$1300,91+P$3,1)&lt;&gt;""),1,0),0)</f>
        <v/>
      </c>
      <c r="Q13">
        <f>IF(Q$4=1,IF(OR(INDEX('×入力'!$A$1:$L$1300,91+Q$3,2+Q$2)&lt;&gt;"",INDEX('×入力'!$A$1:$L$1300,90,2+Q$2)&lt;&gt;"",INDEX('×入力'!$A$1:$L$1300,91+Q$3,1)&lt;&gt;""),1,0),0)</f>
        <v/>
      </c>
      <c r="R13">
        <f>IF(R$4=1,IF(OR(INDEX('×入力'!$A$1:$L$1300,91+R$3,2+R$2)&lt;&gt;"",INDEX('×入力'!$A$1:$L$1300,90,2+R$2)&lt;&gt;"",INDEX('×入力'!$A$1:$L$1300,91+R$3,1)&lt;&gt;""),1,0),0)</f>
        <v/>
      </c>
      <c r="S13">
        <f>IF(S$4=1,IF(OR(INDEX('×入力'!$A$1:$L$1300,91+S$3,2+S$2)&lt;&gt;"",INDEX('×入力'!$A$1:$L$1300,90,2+S$2)&lt;&gt;"",INDEX('×入力'!$A$1:$L$1300,91+S$3,1)&lt;&gt;""),1,0),0)</f>
        <v/>
      </c>
      <c r="T13">
        <f>IF(T$4=1,IF(OR(INDEX('×入力'!$A$1:$L$1300,91+T$3,2+T$2)&lt;&gt;"",INDEX('×入力'!$A$1:$L$1300,90,2+T$2)&lt;&gt;"",INDEX('×入力'!$A$1:$L$1300,91+T$3,1)&lt;&gt;""),1,0),0)</f>
        <v/>
      </c>
      <c r="U13">
        <f>IF(U$4=1,IF(OR(INDEX('×入力'!$A$1:$L$1300,91+U$3,2+U$2)&lt;&gt;"",INDEX('×入力'!$A$1:$L$1300,90,2+U$2)&lt;&gt;"",INDEX('×入力'!$A$1:$L$1300,91+U$3,1)&lt;&gt;""),1,0),0)</f>
        <v/>
      </c>
      <c r="V13">
        <f>IF(V$4=1,IF(OR(INDEX('×入力'!$A$1:$L$1300,91+V$3,2+V$2)&lt;&gt;"",INDEX('×入力'!$A$1:$L$1300,90,2+V$2)&lt;&gt;"",INDEX('×入力'!$A$1:$L$1300,91+V$3,1)&lt;&gt;""),1,0),0)</f>
        <v/>
      </c>
      <c r="W13">
        <f>IF(W$4=1,IF(OR(INDEX('×入力'!$A$1:$L$1300,91+W$3,2+W$2)&lt;&gt;"",INDEX('×入力'!$A$1:$L$1300,90,2+W$2)&lt;&gt;"",INDEX('×入力'!$A$1:$L$1300,91+W$3,1)&lt;&gt;""),1,0),0)</f>
        <v/>
      </c>
      <c r="X13">
        <f>IF(X$4=1,IF(OR(INDEX('×入力'!$A$1:$L$1300,91+X$3,2+X$2)&lt;&gt;"",INDEX('×入力'!$A$1:$L$1300,90,2+X$2)&lt;&gt;"",INDEX('×入力'!$A$1:$L$1300,91+X$3,1)&lt;&gt;""),1,0),0)</f>
        <v/>
      </c>
      <c r="Y13">
        <f>IF(Y$4=1,IF(OR(INDEX('×入力'!$A$1:$L$1300,91+Y$3,2+Y$2)&lt;&gt;"",INDEX('×入力'!$A$1:$L$1300,90,2+Y$2)&lt;&gt;"",INDEX('×入力'!$A$1:$L$1300,91+Y$3,1)&lt;&gt;""),1,0),0)</f>
        <v/>
      </c>
      <c r="Z13">
        <f>IF(Z$4=1,IF(OR(INDEX('×入力'!$A$1:$L$1300,91+Z$3,2+Z$2)&lt;&gt;"",INDEX('×入力'!$A$1:$L$1300,90,2+Z$2)&lt;&gt;"",INDEX('×入力'!$A$1:$L$1300,91+Z$3,1)&lt;&gt;""),1,0),0)</f>
        <v/>
      </c>
      <c r="AA13">
        <f>IF(AA$4=1,IF(OR(INDEX('×入力'!$A$1:$L$1300,91+AA$3,2+AA$2)&lt;&gt;"",INDEX('×入力'!$A$1:$L$1300,90,2+AA$2)&lt;&gt;"",INDEX('×入力'!$A$1:$L$1300,91+AA$3,1)&lt;&gt;""),1,0),0)</f>
        <v/>
      </c>
      <c r="AB13">
        <f>IF(AB$4=1,IF(OR(INDEX('×入力'!$A$1:$L$1300,91+AB$3,2+AB$2)&lt;&gt;"",INDEX('×入力'!$A$1:$L$1300,90,2+AB$2)&lt;&gt;"",INDEX('×入力'!$A$1:$L$1300,91+AB$3,1)&lt;&gt;""),1,0),0)</f>
        <v/>
      </c>
      <c r="AC13">
        <f>IF(AC$4=1,IF(OR(INDEX('×入力'!$A$1:$L$1300,91+AC$3,2+AC$2)&lt;&gt;"",INDEX('×入力'!$A$1:$L$1300,90,2+AC$2)&lt;&gt;"",INDEX('×入力'!$A$1:$L$1300,91+AC$3,1)&lt;&gt;""),1,0),0)</f>
        <v/>
      </c>
      <c r="AD13">
        <f>IF(AD$4=1,IF(OR(INDEX('×入力'!$A$1:$L$1300,91+AD$3,2+AD$2)&lt;&gt;"",INDEX('×入力'!$A$1:$L$1300,90,2+AD$2)&lt;&gt;"",INDEX('×入力'!$A$1:$L$1300,91+AD$3,1)&lt;&gt;""),1,0),0)</f>
        <v/>
      </c>
      <c r="AE13">
        <f>IF(AE$4=1,IF(OR(INDEX('×入力'!$A$1:$L$1300,91+AE$3,2+AE$2)&lt;&gt;"",INDEX('×入力'!$A$1:$L$1300,90,2+AE$2)&lt;&gt;"",INDEX('×入力'!$A$1:$L$1300,91+AE$3,1)&lt;&gt;""),1,0),0)</f>
        <v/>
      </c>
      <c r="AF13">
        <f>IF(AF$4=1,IF(OR(INDEX('×入力'!$A$1:$L$1300,91+AF$3,2+AF$2)&lt;&gt;"",INDEX('×入力'!$A$1:$L$1300,90,2+AF$2)&lt;&gt;"",INDEX('×入力'!$A$1:$L$1300,91+AF$3,1)&lt;&gt;""),1,0),0)</f>
        <v/>
      </c>
      <c r="AG13">
        <f>IF(AG$4=1,IF(OR(INDEX('×入力'!$A$1:$L$1300,91+AG$3,2+AG$2)&lt;&gt;"",INDEX('×入力'!$A$1:$L$1300,90,2+AG$2)&lt;&gt;"",INDEX('×入力'!$A$1:$L$1300,91+AG$3,1)&lt;&gt;""),1,0),0)</f>
        <v/>
      </c>
      <c r="AH13">
        <f>IF(AH$4=1,IF(OR(INDEX('×入力'!$A$1:$L$1300,91+AH$3,2+AH$2)&lt;&gt;"",INDEX('×入力'!$A$1:$L$1300,90,2+AH$2)&lt;&gt;"",INDEX('×入力'!$A$1:$L$1300,91+AH$3,1)&lt;&gt;""),1,0),0)</f>
        <v/>
      </c>
      <c r="AI13">
        <f>IF(AI$4=1,IF(OR(INDEX('×入力'!$A$1:$L$1300,91+AI$3,2+AI$2)&lt;&gt;"",INDEX('×入力'!$A$1:$L$1300,90,2+AI$2)&lt;&gt;"",INDEX('×入力'!$A$1:$L$1300,91+AI$3,1)&lt;&gt;""),1,0),0)</f>
        <v/>
      </c>
      <c r="AJ13">
        <f>IF(AJ$4=1,IF(OR(INDEX('×入力'!$A$1:$L$1300,91+AJ$3,2+AJ$2)&lt;&gt;"",INDEX('×入力'!$A$1:$L$1300,90,2+AJ$2)&lt;&gt;"",INDEX('×入力'!$A$1:$L$1300,91+AJ$3,1)&lt;&gt;""),1,0),0)</f>
        <v/>
      </c>
      <c r="AK13">
        <f>IF(AK$4=1,IF(OR(INDEX('×入力'!$A$1:$L$1300,91+AK$3,2+AK$2)&lt;&gt;"",INDEX('×入力'!$A$1:$L$1300,90,2+AK$2)&lt;&gt;"",INDEX('×入力'!$A$1:$L$1300,91+AK$3,1)&lt;&gt;""),1,0),0)</f>
        <v/>
      </c>
      <c r="AL13">
        <f>IF(AL$4=1,IF(OR(INDEX('×入力'!$A$1:$L$1300,91+AL$3,2+AL$2)&lt;&gt;"",INDEX('×入力'!$A$1:$L$1300,90,2+AL$2)&lt;&gt;"",INDEX('×入力'!$A$1:$L$1300,91+AL$3,1)&lt;&gt;""),1,0),0)</f>
        <v/>
      </c>
      <c r="AM13">
        <f>IF(AM$4=1,IF(OR(INDEX('×入力'!$A$1:$L$1300,91+AM$3,2+AM$2)&lt;&gt;"",INDEX('×入力'!$A$1:$L$1300,90,2+AM$2)&lt;&gt;"",INDEX('×入力'!$A$1:$L$1300,91+AM$3,1)&lt;&gt;""),1,0),0)</f>
        <v/>
      </c>
      <c r="AN13">
        <f>IF(AN$4=1,IF(OR(INDEX('×入力'!$A$1:$L$1300,91+AN$3,2+AN$2)&lt;&gt;"",INDEX('×入力'!$A$1:$L$1300,90,2+AN$2)&lt;&gt;"",INDEX('×入力'!$A$1:$L$1300,91+AN$3,1)&lt;&gt;""),1,0),0)</f>
        <v/>
      </c>
      <c r="AO13">
        <f>IF(AO$4=1,IF(OR(INDEX('×入力'!$A$1:$L$1300,91+AO$3,2+AO$2)&lt;&gt;"",INDEX('×入力'!$A$1:$L$1300,90,2+AO$2)&lt;&gt;"",INDEX('×入力'!$A$1:$L$1300,91+AO$3,1)&lt;&gt;""),1,0),0)</f>
        <v/>
      </c>
      <c r="AP13">
        <f>IF(AP$4=1,IF(OR(INDEX('×入力'!$A$1:$L$1300,91+AP$3,2+AP$2)&lt;&gt;"",INDEX('×入力'!$A$1:$L$1300,90,2+AP$2)&lt;&gt;"",INDEX('×入力'!$A$1:$L$1300,91+AP$3,1)&lt;&gt;""),1,0),0)</f>
        <v/>
      </c>
      <c r="AQ13">
        <f>IF(AQ$4=1,IF(OR(INDEX('×入力'!$A$1:$L$1300,91+AQ$3,2+AQ$2)&lt;&gt;"",INDEX('×入力'!$A$1:$L$1300,90,2+AQ$2)&lt;&gt;"",INDEX('×入力'!$A$1:$L$1300,91+AQ$3,1)&lt;&gt;""),1,0),0)</f>
        <v/>
      </c>
      <c r="AR13">
        <f>IF(AR$4=1,IF(OR(INDEX('×入力'!$A$1:$L$1300,91+AR$3,2+AR$2)&lt;&gt;"",INDEX('×入力'!$A$1:$L$1300,90,2+AR$2)&lt;&gt;"",INDEX('×入力'!$A$1:$L$1300,91+AR$3,1)&lt;&gt;""),1,0),0)</f>
        <v/>
      </c>
      <c r="AS13">
        <f>IF(AS$4=1,IF(OR(INDEX('×入力'!$A$1:$L$1300,91+AS$3,2+AS$2)&lt;&gt;"",INDEX('×入力'!$A$1:$L$1300,90,2+AS$2)&lt;&gt;"",INDEX('×入力'!$A$1:$L$1300,91+AS$3,1)&lt;&gt;""),1,0),0)</f>
        <v/>
      </c>
      <c r="AT13">
        <f>IF(AT$4=1,IF(OR(INDEX('×入力'!$A$1:$L$1300,91+AT$3,2+AT$2)&lt;&gt;"",INDEX('×入力'!$A$1:$L$1300,90,2+AT$2)&lt;&gt;"",INDEX('×入力'!$A$1:$L$1300,91+AT$3,1)&lt;&gt;""),1,0),0)</f>
        <v/>
      </c>
      <c r="AU13">
        <f>IF(AU$4=1,IF(OR(INDEX('×入力'!$A$1:$L$1300,91+AU$3,2+AU$2)&lt;&gt;"",INDEX('×入力'!$A$1:$L$1300,90,2+AU$2)&lt;&gt;"",INDEX('×入力'!$A$1:$L$1300,91+AU$3,1)&lt;&gt;""),1,0),0)</f>
        <v/>
      </c>
      <c r="AV13">
        <f>IF(AV$4=1,IF(OR(INDEX('×入力'!$A$1:$L$1300,91+AV$3,2+AV$2)&lt;&gt;"",INDEX('×入力'!$A$1:$L$1300,90,2+AV$2)&lt;&gt;"",INDEX('×入力'!$A$1:$L$1300,91+AV$3,1)&lt;&gt;""),1,0),0)</f>
        <v/>
      </c>
      <c r="AW13">
        <f>IF(AW$4=1,IF(OR(INDEX('×入力'!$A$1:$L$1300,91+AW$3,2+AW$2)&lt;&gt;"",INDEX('×入力'!$A$1:$L$1300,90,2+AW$2)&lt;&gt;"",INDEX('×入力'!$A$1:$L$1300,91+AW$3,1)&lt;&gt;""),1,0),0)</f>
        <v/>
      </c>
      <c r="AX13">
        <f>IF(AX$4=1,IF(OR(INDEX('×入力'!$A$1:$L$1300,91+AX$3,2+AX$2)&lt;&gt;"",INDEX('×入力'!$A$1:$L$1300,90,2+AX$2)&lt;&gt;"",INDEX('×入力'!$A$1:$L$1300,91+AX$3,1)&lt;&gt;""),1,0),0)</f>
        <v/>
      </c>
      <c r="AY13">
        <f>IF(AY$4=1,IF(OR(INDEX('×入力'!$A$1:$L$1300,91+AY$3,2+AY$2)&lt;&gt;"",INDEX('×入力'!$A$1:$L$1300,90,2+AY$2)&lt;&gt;"",INDEX('×入力'!$A$1:$L$1300,91+AY$3,1)&lt;&gt;""),1,0),0)</f>
        <v/>
      </c>
      <c r="AZ13">
        <f>IF(AZ$4=1,IF(OR(INDEX('×入力'!$A$1:$L$1300,91+AZ$3,2+AZ$2)&lt;&gt;"",INDEX('×入力'!$A$1:$L$1300,90,2+AZ$2)&lt;&gt;"",INDEX('×入力'!$A$1:$L$1300,91+AZ$3,1)&lt;&gt;""),1,0),0)</f>
        <v/>
      </c>
      <c r="BA13">
        <f>IF(BA$4=1,IF(OR(INDEX('×入力'!$A$1:$L$1300,91+BA$3,2+BA$2)&lt;&gt;"",INDEX('×入力'!$A$1:$L$1300,90,2+BA$2)&lt;&gt;"",INDEX('×入力'!$A$1:$L$1300,91+BA$3,1)&lt;&gt;""),1,0),0)</f>
        <v/>
      </c>
      <c r="BB13">
        <f>IF(BB$4=1,IF(OR(INDEX('×入力'!$A$1:$L$1300,91+BB$3,2+BB$2)&lt;&gt;"",INDEX('×入力'!$A$1:$L$1300,90,2+BB$2)&lt;&gt;"",INDEX('×入力'!$A$1:$L$1300,91+BB$3,1)&lt;&gt;""),1,0),0)</f>
        <v/>
      </c>
      <c r="BC13">
        <f>IF(BC$4=1,IF(OR(INDEX('×入力'!$A$1:$L$1300,91+BC$3,2+BC$2)&lt;&gt;"",INDEX('×入力'!$A$1:$L$1300,90,2+BC$2)&lt;&gt;"",INDEX('×入力'!$A$1:$L$1300,91+BC$3,1)&lt;&gt;""),1,0),0)</f>
        <v/>
      </c>
      <c r="BD13">
        <f>IF(BD$4=1,IF(OR(INDEX('×入力'!$A$1:$L$1300,91+BD$3,2+BD$2)&lt;&gt;"",INDEX('×入力'!$A$1:$L$1300,90,2+BD$2)&lt;&gt;"",INDEX('×入力'!$A$1:$L$1300,91+BD$3,1)&lt;&gt;""),1,0),0)</f>
        <v/>
      </c>
      <c r="BE13">
        <f>IF(BE$4=1,IF(OR(INDEX('×入力'!$A$1:$L$1300,91+BE$3,2+BE$2)&lt;&gt;"",INDEX('×入力'!$A$1:$L$1300,90,2+BE$2)&lt;&gt;"",INDEX('×入力'!$A$1:$L$1300,91+BE$3,1)&lt;&gt;""),1,0),0)</f>
        <v/>
      </c>
      <c r="BF13">
        <f>IF(BF$4=1,IF(OR(INDEX('×入力'!$A$1:$L$1300,91+BF$3,2+BF$2)&lt;&gt;"",INDEX('×入力'!$A$1:$L$1300,90,2+BF$2)&lt;&gt;"",INDEX('×入力'!$A$1:$L$1300,91+BF$3,1)&lt;&gt;""),1,0),0)</f>
        <v/>
      </c>
      <c r="BG13">
        <f>IF(BG$4=1,IF(OR(INDEX('×入力'!$A$1:$L$1300,91+BG$3,2+BG$2)&lt;&gt;"",INDEX('×入力'!$A$1:$L$1300,90,2+BG$2)&lt;&gt;"",INDEX('×入力'!$A$1:$L$1300,91+BG$3,1)&lt;&gt;""),1,0),0)</f>
        <v/>
      </c>
      <c r="BH13">
        <f>IF(BH$4=1,IF(OR(INDEX('×入力'!$A$1:$L$1300,91+BH$3,2+BH$2)&lt;&gt;"",INDEX('×入力'!$A$1:$L$1300,90,2+BH$2)&lt;&gt;"",INDEX('×入力'!$A$1:$L$1300,91+BH$3,1)&lt;&gt;""),1,0),0)</f>
        <v/>
      </c>
      <c r="BI13">
        <f>IF(BI$4=1,IF(OR(INDEX('×入力'!$A$1:$L$1300,91+BI$3,2+BI$2)&lt;&gt;"",INDEX('×入力'!$A$1:$L$1300,90,2+BI$2)&lt;&gt;"",INDEX('×入力'!$A$1:$L$1300,91+BI$3,1)&lt;&gt;""),1,0),0)</f>
        <v/>
      </c>
      <c r="BJ13">
        <f>IF(BJ$4=1,IF(OR(INDEX('×入力'!$A$1:$L$1300,91+BJ$3,2+BJ$2)&lt;&gt;"",INDEX('×入力'!$A$1:$L$1300,90,2+BJ$2)&lt;&gt;"",INDEX('×入力'!$A$1:$L$1300,91+BJ$3,1)&lt;&gt;""),1,0),0)</f>
        <v/>
      </c>
      <c r="BK13">
        <f>IF(BK$4=1,IF(OR(INDEX('×入力'!$A$1:$L$1300,91+BK$3,2+BK$2)&lt;&gt;"",INDEX('×入力'!$A$1:$L$1300,90,2+BK$2)&lt;&gt;"",INDEX('×入力'!$A$1:$L$1300,91+BK$3,1)&lt;&gt;""),1,0),0)</f>
        <v/>
      </c>
      <c r="BL13">
        <f>IF(BL$4=1,IF(OR(INDEX('×入力'!$A$1:$L$1300,91+BL$3,2+BL$2)&lt;&gt;"",INDEX('×入力'!$A$1:$L$1300,90,2+BL$2)&lt;&gt;"",INDEX('×入力'!$A$1:$L$1300,91+BL$3,1)&lt;&gt;""),1,0),0)</f>
        <v/>
      </c>
      <c r="BM13">
        <f>IF(BM$4=1,IF(OR(INDEX('×入力'!$A$1:$L$1300,91+BM$3,2+BM$2)&lt;&gt;"",INDEX('×入力'!$A$1:$L$1300,90,2+BM$2)&lt;&gt;"",INDEX('×入力'!$A$1:$L$1300,91+BM$3,1)&lt;&gt;""),1,0),0)</f>
        <v/>
      </c>
      <c r="BN13">
        <f>IF(BN$4=1,IF(OR(INDEX('×入力'!$A$1:$L$1300,91+BN$3,2+BN$2)&lt;&gt;"",INDEX('×入力'!$A$1:$L$1300,90,2+BN$2)&lt;&gt;"",INDEX('×入力'!$A$1:$L$1300,91+BN$3,1)&lt;&gt;""),1,0),0)</f>
        <v/>
      </c>
      <c r="BO13">
        <f>IF(BO$4=1,IF(OR(INDEX('×入力'!$A$1:$L$1300,91+BO$3,2+BO$2)&lt;&gt;"",INDEX('×入力'!$A$1:$L$1300,90,2+BO$2)&lt;&gt;"",INDEX('×入力'!$A$1:$L$1300,91+BO$3,1)&lt;&gt;""),1,0),0)</f>
        <v/>
      </c>
      <c r="BP13">
        <f>IF(BP$4=1,IF(OR(INDEX('×入力'!$A$1:$L$1300,91+BP$3,2+BP$2)&lt;&gt;"",INDEX('×入力'!$A$1:$L$1300,90,2+BP$2)&lt;&gt;"",INDEX('×入力'!$A$1:$L$1300,91+BP$3,1)&lt;&gt;""),1,0),0)</f>
        <v/>
      </c>
      <c r="BQ13">
        <f>IF(BQ$4=1,IF(OR(INDEX('×入力'!$A$1:$L$1300,91+BQ$3,2+BQ$2)&lt;&gt;"",INDEX('×入力'!$A$1:$L$1300,90,2+BQ$2)&lt;&gt;"",INDEX('×入力'!$A$1:$L$1300,91+BQ$3,1)&lt;&gt;""),1,0),0)</f>
        <v/>
      </c>
      <c r="BR13">
        <f>IF(BR$4=1,IF(OR(INDEX('×入力'!$A$1:$L$1300,91+BR$3,2+BR$2)&lt;&gt;"",INDEX('×入力'!$A$1:$L$1300,90,2+BR$2)&lt;&gt;"",INDEX('×入力'!$A$1:$L$1300,91+BR$3,1)&lt;&gt;""),1,0),0)</f>
        <v/>
      </c>
      <c r="BS13">
        <f>IF(BS$4=1,IF(OR(INDEX('×入力'!$A$1:$L$1300,91+BS$3,2+BS$2)&lt;&gt;"",INDEX('×入力'!$A$1:$L$1300,90,2+BS$2)&lt;&gt;"",INDEX('×入力'!$A$1:$L$1300,91+BS$3,1)&lt;&gt;""),1,0),0)</f>
        <v/>
      </c>
      <c r="BT13">
        <f>IF(BT$4=1,IF(OR(INDEX('×入力'!$A$1:$L$1300,91+BT$3,2+BT$2)&lt;&gt;"",INDEX('×入力'!$A$1:$L$1300,90,2+BT$2)&lt;&gt;"",INDEX('×入力'!$A$1:$L$1300,91+BT$3,1)&lt;&gt;""),1,0),0)</f>
        <v/>
      </c>
      <c r="BU13">
        <f>IF(BU$4=1,IF(OR(INDEX('×入力'!$A$1:$L$1300,91+BU$3,2+BU$2)&lt;&gt;"",INDEX('×入力'!$A$1:$L$1300,90,2+BU$2)&lt;&gt;"",INDEX('×入力'!$A$1:$L$1300,91+BU$3,1)&lt;&gt;""),1,0),0)</f>
        <v/>
      </c>
      <c r="BV13">
        <f>IF(BV$4=1,IF(OR(INDEX('×入力'!$A$1:$L$1300,91+BV$3,2+BV$2)&lt;&gt;"",INDEX('×入力'!$A$1:$L$1300,90,2+BV$2)&lt;&gt;"",INDEX('×入力'!$A$1:$L$1300,91+BV$3,1)&lt;&gt;""),1,0),0)</f>
        <v/>
      </c>
      <c r="BW13">
        <f>IF(BW$4=1,IF(OR(INDEX('×入力'!$A$1:$L$1300,91+BW$3,2+BW$2)&lt;&gt;"",INDEX('×入力'!$A$1:$L$1300,90,2+BW$2)&lt;&gt;"",INDEX('×入力'!$A$1:$L$1300,91+BW$3,1)&lt;&gt;""),1,0),0)</f>
        <v/>
      </c>
      <c r="BX13">
        <f>IF(BX$4=1,IF(OR(INDEX('×入力'!$A$1:$L$1300,91+BX$3,2+BX$2)&lt;&gt;"",INDEX('×入力'!$A$1:$L$1300,90,2+BX$2)&lt;&gt;"",INDEX('×入力'!$A$1:$L$1300,91+BX$3,1)&lt;&gt;""),1,0),0)</f>
        <v/>
      </c>
      <c r="BY13">
        <f>IF(BY$4=1,IF(OR(INDEX('×入力'!$A$1:$L$1300,91+BY$3,2+BY$2)&lt;&gt;"",INDEX('×入力'!$A$1:$L$1300,90,2+BY$2)&lt;&gt;"",INDEX('×入力'!$A$1:$L$1300,91+BY$3,1)&lt;&gt;""),1,0),0)</f>
        <v/>
      </c>
      <c r="BZ13">
        <f>IF(BZ$4=1,IF(OR(INDEX('×入力'!$A$1:$L$1300,91+BZ$3,2+BZ$2)&lt;&gt;"",INDEX('×入力'!$A$1:$L$1300,90,2+BZ$2)&lt;&gt;"",INDEX('×入力'!$A$1:$L$1300,91+BZ$3,1)&lt;&gt;""),1,0),0)</f>
        <v/>
      </c>
      <c r="CA13">
        <f>IF(CA$4=1,IF(OR(INDEX('×入力'!$A$1:$L$1300,91+CA$3,2+CA$2)&lt;&gt;"",INDEX('×入力'!$A$1:$L$1300,90,2+CA$2)&lt;&gt;"",INDEX('×入力'!$A$1:$L$1300,91+CA$3,1)&lt;&gt;""),1,0),0)</f>
        <v/>
      </c>
      <c r="CB13">
        <f>IF(CB$4=1,IF(OR(INDEX('×入力'!$A$1:$L$1300,91+CB$3,2+CB$2)&lt;&gt;"",INDEX('×入力'!$A$1:$L$1300,90,2+CB$2)&lt;&gt;"",INDEX('×入力'!$A$1:$L$1300,91+CB$3,1)&lt;&gt;""),1,0),0)</f>
        <v/>
      </c>
      <c r="CC13">
        <f>IF(CC$4=1,IF(OR(INDEX('×入力'!$A$1:$L$1300,91+CC$3,2+CC$2)&lt;&gt;"",INDEX('×入力'!$A$1:$L$1300,90,2+CC$2)&lt;&gt;"",INDEX('×入力'!$A$1:$L$1300,91+CC$3,1)&lt;&gt;""),1,0),0)</f>
        <v/>
      </c>
      <c r="CD13">
        <f>IF(CD$4=1,IF(OR(INDEX('×入力'!$A$1:$L$1300,91+CD$3,2+CD$2)&lt;&gt;"",INDEX('×入力'!$A$1:$L$1300,90,2+CD$2)&lt;&gt;"",INDEX('×入力'!$A$1:$L$1300,91+CD$3,1)&lt;&gt;""),1,0),0)</f>
        <v/>
      </c>
      <c r="CE13">
        <f>IF(CE$4=1,IF(OR(INDEX('×入力'!$A$1:$L$1300,91+CE$3,2+CE$2)&lt;&gt;"",INDEX('×入力'!$A$1:$L$1300,90,2+CE$2)&lt;&gt;"",INDEX('×入力'!$A$1:$L$1300,91+CE$3,1)&lt;&gt;""),1,0),0)</f>
        <v/>
      </c>
      <c r="CF13">
        <f>IF(CF$4=1,IF(OR(INDEX('×入力'!$A$1:$L$1300,91+CF$3,2+CF$2)&lt;&gt;"",INDEX('×入力'!$A$1:$L$1300,90,2+CF$2)&lt;&gt;"",INDEX('×入力'!$A$1:$L$1300,91+CF$3,1)&lt;&gt;""),1,0),0)</f>
        <v/>
      </c>
      <c r="CG13">
        <f>IF(CG$4=1,IF(OR(INDEX('×入力'!$A$1:$L$1300,91+CG$3,2+CG$2)&lt;&gt;"",INDEX('×入力'!$A$1:$L$1300,90,2+CG$2)&lt;&gt;"",INDEX('×入力'!$A$1:$L$1300,91+CG$3,1)&lt;&gt;""),1,0),0)</f>
        <v/>
      </c>
      <c r="CH13">
        <f>IF(CH$4=1,IF(OR(INDEX('×入力'!$A$1:$L$1300,91+CH$3,2+CH$2)&lt;&gt;"",INDEX('×入力'!$A$1:$L$1300,90,2+CH$2)&lt;&gt;"",INDEX('×入力'!$A$1:$L$1300,91+CH$3,1)&lt;&gt;""),1,0),0)</f>
        <v/>
      </c>
      <c r="CI13">
        <f>IF(CI$4=1,IF(OR(INDEX('×入力'!$A$1:$L$1300,91+CI$3,2+CI$2)&lt;&gt;"",INDEX('×入力'!$A$1:$L$1300,90,2+CI$2)&lt;&gt;"",INDEX('×入力'!$A$1:$L$1300,91+CI$3,1)&lt;&gt;""),1,0),0)</f>
        <v/>
      </c>
      <c r="CJ13">
        <f>IF(CJ$4=1,IF(OR(INDEX('×入力'!$A$1:$L$1300,91+CJ$3,2+CJ$2)&lt;&gt;"",INDEX('×入力'!$A$1:$L$1300,90,2+CJ$2)&lt;&gt;"",INDEX('×入力'!$A$1:$L$1300,91+CJ$3,1)&lt;&gt;""),1,0),0)</f>
        <v/>
      </c>
      <c r="CK13">
        <f>IF(CK$4=1,IF(OR(INDEX('×入力'!$A$1:$L$1300,91+CK$3,2+CK$2)&lt;&gt;"",INDEX('×入力'!$A$1:$L$1300,90,2+CK$2)&lt;&gt;"",INDEX('×入力'!$A$1:$L$1300,91+CK$3,1)&lt;&gt;""),1,0),0)</f>
        <v/>
      </c>
      <c r="CL13">
        <f>IF(CL$4=1,IF(OR(INDEX('×入力'!$A$1:$L$1300,91+CL$3,2+CL$2)&lt;&gt;"",INDEX('×入力'!$A$1:$L$1300,90,2+CL$2)&lt;&gt;"",INDEX('×入力'!$A$1:$L$1300,91+CL$3,1)&lt;&gt;""),1,0),0)</f>
        <v/>
      </c>
      <c r="CM13">
        <f>IF(CM$4=1,IF(OR(INDEX('×入力'!$A$1:$L$1300,91+CM$3,2+CM$2)&lt;&gt;"",INDEX('×入力'!$A$1:$L$1300,90,2+CM$2)&lt;&gt;"",INDEX('×入力'!$A$1:$L$1300,91+CM$3,1)&lt;&gt;""),1,0),0)</f>
        <v/>
      </c>
      <c r="CN13">
        <f>IF(CN$4=1,IF(OR(INDEX('×入力'!$A$1:$L$1300,91+CN$3,2+CN$2)&lt;&gt;"",INDEX('×入力'!$A$1:$L$1300,90,2+CN$2)&lt;&gt;"",INDEX('×入力'!$A$1:$L$1300,91+CN$3,1)&lt;&gt;""),1,0),0)</f>
        <v/>
      </c>
      <c r="CO13">
        <f>IF(CO$4=1,IF(OR(INDEX('×入力'!$A$1:$L$1300,91+CO$3,2+CO$2)&lt;&gt;"",INDEX('×入力'!$A$1:$L$1300,90,2+CO$2)&lt;&gt;"",INDEX('×入力'!$A$1:$L$1300,91+CO$3,1)&lt;&gt;""),1,0),0)</f>
        <v/>
      </c>
      <c r="CP13">
        <f>IF(CP$4=1,IF(OR(INDEX('×入力'!$A$1:$L$1300,91+CP$3,2+CP$2)&lt;&gt;"",INDEX('×入力'!$A$1:$L$1300,90,2+CP$2)&lt;&gt;"",INDEX('×入力'!$A$1:$L$1300,91+CP$3,1)&lt;&gt;""),1,0),0)</f>
        <v/>
      </c>
      <c r="CQ13">
        <f>IF(CQ$4=1,IF(OR(INDEX('×入力'!$A$1:$L$1300,91+CQ$3,2+CQ$2)&lt;&gt;"",INDEX('×入力'!$A$1:$L$1300,90,2+CQ$2)&lt;&gt;"",INDEX('×入力'!$A$1:$L$1300,91+CQ$3,1)&lt;&gt;""),1,0),0)</f>
        <v/>
      </c>
      <c r="CR13">
        <f>IF(CR$4=1,IF(OR(INDEX('×入力'!$A$1:$L$1300,91+CR$3,2+CR$2)&lt;&gt;"",INDEX('×入力'!$A$1:$L$1300,90,2+CR$2)&lt;&gt;"",INDEX('×入力'!$A$1:$L$1300,91+CR$3,1)&lt;&gt;""),1,0),0)</f>
        <v/>
      </c>
      <c r="CS13">
        <f>IF(CS$4=1,IF(OR(INDEX('×入力'!$A$1:$L$1300,91+CS$3,2+CS$2)&lt;&gt;"",INDEX('×入力'!$A$1:$L$1300,90,2+CS$2)&lt;&gt;"",INDEX('×入力'!$A$1:$L$1300,91+CS$3,1)&lt;&gt;""),1,0),0)</f>
        <v/>
      </c>
      <c r="CT13">
        <f>IF(CT$4=1,IF(OR(INDEX('×入力'!$A$1:$L$1300,91+CT$3,2+CT$2)&lt;&gt;"",INDEX('×入力'!$A$1:$L$1300,90,2+CT$2)&lt;&gt;"",INDEX('×入力'!$A$1:$L$1300,91+CT$3,1)&lt;&gt;""),1,0),0)</f>
        <v/>
      </c>
      <c r="CU13">
        <f>IF(CU$4=1,IF(OR(INDEX('×入力'!$A$1:$L$1300,91+CU$3,2+CU$2)&lt;&gt;"",INDEX('×入力'!$A$1:$L$1300,90,2+CU$2)&lt;&gt;"",INDEX('×入力'!$A$1:$L$1300,91+CU$3,1)&lt;&gt;""),1,0),0)</f>
        <v/>
      </c>
      <c r="CV13">
        <f>IF(CV$4=1,IF(OR(INDEX('×入力'!$A$1:$L$1300,91+CV$3,2+CV$2)&lt;&gt;"",INDEX('×入力'!$A$1:$L$1300,90,2+CV$2)&lt;&gt;"",INDEX('×入力'!$A$1:$L$1300,91+CV$3,1)&lt;&gt;""),1,0),0)</f>
        <v/>
      </c>
      <c r="CW13">
        <f>IF(CW$4=1,IF(OR(INDEX('×入力'!$A$1:$L$1300,91+CW$3,2+CW$2)&lt;&gt;"",INDEX('×入力'!$A$1:$L$1300,90,2+CW$2)&lt;&gt;"",INDEX('×入力'!$A$1:$L$1300,91+CW$3,1)&lt;&gt;""),1,0),0)</f>
        <v/>
      </c>
      <c r="CX13">
        <f>IF(CX$4=1,IF(OR(INDEX('×入力'!$A$1:$L$1300,91+CX$3,2+CX$2)&lt;&gt;"",INDEX('×入力'!$A$1:$L$1300,90,2+CX$2)&lt;&gt;"",INDEX('×入力'!$A$1:$L$1300,91+CX$3,1)&lt;&gt;""),1,0),0)</f>
        <v/>
      </c>
      <c r="CY13">
        <f>IF(CY$4=1,IF(OR(INDEX('×入力'!$A$1:$L$1300,91+CY$3,2+CY$2)&lt;&gt;"",INDEX('×入力'!$A$1:$L$1300,90,2+CY$2)&lt;&gt;"",INDEX('×入力'!$A$1:$L$1300,91+CY$3,1)&lt;&gt;""),1,0),0)</f>
        <v/>
      </c>
      <c r="CZ13">
        <f>IF(CZ$4=1,IF(OR(INDEX('×入力'!$A$1:$L$1300,91+CZ$3,2+CZ$2)&lt;&gt;"",INDEX('×入力'!$A$1:$L$1300,90,2+CZ$2)&lt;&gt;"",INDEX('×入力'!$A$1:$L$1300,91+CZ$3,1)&lt;&gt;""),1,0),0)</f>
        <v/>
      </c>
      <c r="DA13">
        <f>IF(DA$4=1,IF(OR(INDEX('×入力'!$A$1:$L$1300,91+DA$3,2+DA$2)&lt;&gt;"",INDEX('×入力'!$A$1:$L$1300,90,2+DA$2)&lt;&gt;"",INDEX('×入力'!$A$1:$L$1300,91+DA$3,1)&lt;&gt;""),1,0),0)</f>
        <v/>
      </c>
      <c r="DB13">
        <f>IF(DB$4=1,IF(OR(INDEX('×入力'!$A$1:$L$1300,91+DB$3,2+DB$2)&lt;&gt;"",INDEX('×入力'!$A$1:$L$1300,90,2+DB$2)&lt;&gt;"",INDEX('×入力'!$A$1:$L$1300,91+DB$3,1)&lt;&gt;""),1,0),0)</f>
        <v/>
      </c>
      <c r="DC13">
        <f>IF(DC$4=1,IF(OR(INDEX('×入力'!$A$1:$L$1300,91+DC$3,2+DC$2)&lt;&gt;"",INDEX('×入力'!$A$1:$L$1300,90,2+DC$2)&lt;&gt;"",INDEX('×入力'!$A$1:$L$1300,91+DC$3,1)&lt;&gt;""),1,0),0)</f>
        <v/>
      </c>
      <c r="DD13">
        <f>IF(DD$4=1,IF(OR(INDEX('×入力'!$A$1:$L$1300,91+DD$3,2+DD$2)&lt;&gt;"",INDEX('×入力'!$A$1:$L$1300,90,2+DD$2)&lt;&gt;"",INDEX('×入力'!$A$1:$L$1300,91+DD$3,1)&lt;&gt;""),1,0),0)</f>
        <v/>
      </c>
      <c r="DE13">
        <f>IF(DE$4=1,IF(OR(INDEX('×入力'!$A$1:$L$1300,91+DE$3,2+DE$2)&lt;&gt;"",INDEX('×入力'!$A$1:$L$1300,90,2+DE$2)&lt;&gt;"",INDEX('×入力'!$A$1:$L$1300,91+DE$3,1)&lt;&gt;""),1,0),0)</f>
        <v/>
      </c>
      <c r="DF13">
        <f>IF(DF$4=1,IF(OR(INDEX('×入力'!$A$1:$L$1300,91+DF$3,2+DF$2)&lt;&gt;"",INDEX('×入力'!$A$1:$L$1300,90,2+DF$2)&lt;&gt;"",INDEX('×入力'!$A$1:$L$1300,91+DF$3,1)&lt;&gt;""),1,0),0)</f>
        <v/>
      </c>
      <c r="DG13">
        <f>IF(DG$4=1,IF(OR(INDEX('×入力'!$A$1:$L$1300,91+DG$3,2+DG$2)&lt;&gt;"",INDEX('×入力'!$A$1:$L$1300,90,2+DG$2)&lt;&gt;"",INDEX('×入力'!$A$1:$L$1300,91+DG$3,1)&lt;&gt;""),1,0),0)</f>
        <v/>
      </c>
      <c r="DH13">
        <f>IF(DH$4=1,IF(OR(INDEX('×入力'!$A$1:$L$1300,91+DH$3,2+DH$2)&lt;&gt;"",INDEX('×入力'!$A$1:$L$1300,90,2+DH$2)&lt;&gt;"",INDEX('×入力'!$A$1:$L$1300,91+DH$3,1)&lt;&gt;""),1,0),0)</f>
        <v/>
      </c>
      <c r="DI13">
        <f>IF(DI$4=1,IF(OR(INDEX('×入力'!$A$1:$L$1300,91+DI$3,2+DI$2)&lt;&gt;"",INDEX('×入力'!$A$1:$L$1300,90,2+DI$2)&lt;&gt;"",INDEX('×入力'!$A$1:$L$1300,91+DI$3,1)&lt;&gt;""),1,0),0)</f>
        <v/>
      </c>
      <c r="DJ13">
        <f>IF(DJ$4=1,IF(OR(INDEX('×入力'!$A$1:$L$1300,91+DJ$3,2+DJ$2)&lt;&gt;"",INDEX('×入力'!$A$1:$L$1300,90,2+DJ$2)&lt;&gt;"",INDEX('×入力'!$A$1:$L$1300,91+DJ$3,1)&lt;&gt;""),1,0),0)</f>
        <v/>
      </c>
      <c r="DK13">
        <f>IF(DK$4=1,IF(OR(INDEX('×入力'!$A$1:$L$1300,91+DK$3,2+DK$2)&lt;&gt;"",INDEX('×入力'!$A$1:$L$1300,90,2+DK$2)&lt;&gt;"",INDEX('×入力'!$A$1:$L$1300,91+DK$3,1)&lt;&gt;""),1,0),0)</f>
        <v/>
      </c>
      <c r="DL13">
        <f>IF(DL$4=1,IF(OR(INDEX('×入力'!$A$1:$L$1300,91+DL$3,2+DL$2)&lt;&gt;"",INDEX('×入力'!$A$1:$L$1300,90,2+DL$2)&lt;&gt;"",INDEX('×入力'!$A$1:$L$1300,91+DL$3,1)&lt;&gt;""),1,0),0)</f>
        <v/>
      </c>
      <c r="DM13">
        <f>IF(DM$4=1,IF(OR(INDEX('×入力'!$A$1:$L$1300,91+DM$3,2+DM$2)&lt;&gt;"",INDEX('×入力'!$A$1:$L$1300,90,2+DM$2)&lt;&gt;"",INDEX('×入力'!$A$1:$L$1300,91+DM$3,1)&lt;&gt;""),1,0),0)</f>
        <v/>
      </c>
      <c r="DN13">
        <f>IF(DN$4=1,IF(OR(INDEX('×入力'!$A$1:$L$1300,91+DN$3,2+DN$2)&lt;&gt;"",INDEX('×入力'!$A$1:$L$1300,90,2+DN$2)&lt;&gt;"",INDEX('×入力'!$A$1:$L$1300,91+DN$3,1)&lt;&gt;""),1,0),0)</f>
        <v/>
      </c>
      <c r="DO13">
        <f>IF(DO$4=1,IF(OR(INDEX('×入力'!$A$1:$L$1300,91+DO$3,2+DO$2)&lt;&gt;"",INDEX('×入力'!$A$1:$L$1300,90,2+DO$2)&lt;&gt;"",INDEX('×入力'!$A$1:$L$1300,91+DO$3,1)&lt;&gt;""),1,0),0)</f>
        <v/>
      </c>
      <c r="DP13">
        <f>IF(DP$4=1,IF(OR(INDEX('×入力'!$A$1:$L$1300,91+DP$3,2+DP$2)&lt;&gt;"",INDEX('×入力'!$A$1:$L$1300,90,2+DP$2)&lt;&gt;"",INDEX('×入力'!$A$1:$L$1300,91+DP$3,1)&lt;&gt;""),1,0),0)</f>
        <v/>
      </c>
      <c r="DQ13">
        <f>IF(DQ$4=1,IF(OR(INDEX('×入力'!$A$1:$L$1300,91+DQ$3,2+DQ$2)&lt;&gt;"",INDEX('×入力'!$A$1:$L$1300,90,2+DQ$2)&lt;&gt;"",INDEX('×入力'!$A$1:$L$1300,91+DQ$3,1)&lt;&gt;""),1,0),0)</f>
        <v/>
      </c>
      <c r="DR13">
        <f>IF(DR$4=1,IF(OR(INDEX('×入力'!$A$1:$L$1300,91+DR$3,2+DR$2)&lt;&gt;"",INDEX('×入力'!$A$1:$L$1300,90,2+DR$2)&lt;&gt;"",INDEX('×入力'!$A$1:$L$1300,91+DR$3,1)&lt;&gt;""),1,0),0)</f>
        <v/>
      </c>
      <c r="DS13">
        <f>IF(DS$4=1,IF(OR(INDEX('×入力'!$A$1:$L$1300,91+DS$3,2+DS$2)&lt;&gt;"",INDEX('×入力'!$A$1:$L$1300,90,2+DS$2)&lt;&gt;"",INDEX('×入力'!$A$1:$L$1300,91+DS$3,1)&lt;&gt;""),1,0),0)</f>
        <v/>
      </c>
      <c r="DT13">
        <f>IF(DT$4=1,IF(OR(INDEX('×入力'!$A$1:$L$1300,91+DT$3,2+DT$2)&lt;&gt;"",INDEX('×入力'!$A$1:$L$1300,90,2+DT$2)&lt;&gt;"",INDEX('×入力'!$A$1:$L$1300,91+DT$3,1)&lt;&gt;""),1,0),0)</f>
        <v/>
      </c>
      <c r="DU13">
        <f>IF(DU$4=1,IF(OR(INDEX('×入力'!$A$1:$L$1300,91+DU$3,2+DU$2)&lt;&gt;"",INDEX('×入力'!$A$1:$L$1300,90,2+DU$2)&lt;&gt;"",INDEX('×入力'!$A$1:$L$1300,91+DU$3,1)&lt;&gt;""),1,0),0)</f>
        <v/>
      </c>
      <c r="DV13">
        <f>IF(DV$4=1,IF(OR(INDEX('×入力'!$A$1:$L$1300,91+DV$3,2+DV$2)&lt;&gt;"",INDEX('×入力'!$A$1:$L$1300,90,2+DV$2)&lt;&gt;"",INDEX('×入力'!$A$1:$L$1300,91+DV$3,1)&lt;&gt;""),1,0),0)</f>
        <v/>
      </c>
      <c r="DW13">
        <f>IF(DW$4=1,IF(OR(INDEX('×入力'!$A$1:$L$1300,91+DW$3,2+DW$2)&lt;&gt;"",INDEX('×入力'!$A$1:$L$1300,90,2+DW$2)&lt;&gt;"",INDEX('×入力'!$A$1:$L$1300,91+DW$3,1)&lt;&gt;""),1,0),0)</f>
        <v/>
      </c>
      <c r="DX13">
        <f>IF(DX$4=1,IF(OR(INDEX('×入力'!$A$1:$L$1300,91+DX$3,2+DX$2)&lt;&gt;"",INDEX('×入力'!$A$1:$L$1300,90,2+DX$2)&lt;&gt;"",INDEX('×入力'!$A$1:$L$1300,91+DX$3,1)&lt;&gt;""),1,0),0)</f>
        <v/>
      </c>
      <c r="DY13">
        <f>IF(DY$4=1,IF(OR(INDEX('×入力'!$A$1:$L$1300,91+DY$3,2+DY$2)&lt;&gt;"",INDEX('×入力'!$A$1:$L$1300,90,2+DY$2)&lt;&gt;"",INDEX('×入力'!$A$1:$L$1300,91+DY$3,1)&lt;&gt;""),1,0),0)</f>
        <v/>
      </c>
      <c r="DZ13">
        <f>IF(DZ$4=1,IF(OR(INDEX('×入力'!$A$1:$L$1300,91+DZ$3,2+DZ$2)&lt;&gt;"",INDEX('×入力'!$A$1:$L$1300,90,2+DZ$2)&lt;&gt;"",INDEX('×入力'!$A$1:$L$1300,91+DZ$3,1)&lt;&gt;""),1,0),0)</f>
        <v/>
      </c>
      <c r="EA13">
        <f>IF(EA$4=1,IF(OR(INDEX('×入力'!$A$1:$L$1300,91+EA$3,2+EA$2)&lt;&gt;"",INDEX('×入力'!$A$1:$L$1300,90,2+EA$2)&lt;&gt;"",INDEX('×入力'!$A$1:$L$1300,91+EA$3,1)&lt;&gt;""),1,0),0)</f>
        <v/>
      </c>
      <c r="EB13">
        <f>IF(EB$4=1,IF(OR(INDEX('×入力'!$A$1:$L$1300,91+EB$3,2+EB$2)&lt;&gt;"",INDEX('×入力'!$A$1:$L$1300,90,2+EB$2)&lt;&gt;"",INDEX('×入力'!$A$1:$L$1300,91+EB$3,1)&lt;&gt;""),1,0),0)</f>
        <v/>
      </c>
      <c r="EC13">
        <f>IF(EC$4=1,IF(OR(INDEX('×入力'!$A$1:$L$1300,91+EC$3,2+EC$2)&lt;&gt;"",INDEX('×入力'!$A$1:$L$1300,90,2+EC$2)&lt;&gt;"",INDEX('×入力'!$A$1:$L$1300,91+EC$3,1)&lt;&gt;""),1,0),0)</f>
        <v/>
      </c>
      <c r="ED13">
        <f>IF(ED$4=1,IF(OR(INDEX('×入力'!$A$1:$L$1300,91+ED$3,2+ED$2)&lt;&gt;"",INDEX('×入力'!$A$1:$L$1300,90,2+ED$2)&lt;&gt;"",INDEX('×入力'!$A$1:$L$1300,91+ED$3,1)&lt;&gt;""),1,0),0)</f>
        <v/>
      </c>
      <c r="EE13">
        <f>IF(EE$4=1,IF(OR(INDEX('×入力'!$A$1:$L$1300,91+EE$3,2+EE$2)&lt;&gt;"",INDEX('×入力'!$A$1:$L$1300,90,2+EE$2)&lt;&gt;"",INDEX('×入力'!$A$1:$L$1300,91+EE$3,1)&lt;&gt;""),1,0),0)</f>
        <v/>
      </c>
      <c r="EF13">
        <f>IF(EF$4=1,IF(OR(INDEX('×入力'!$A$1:$L$1300,91+EF$3,2+EF$2)&lt;&gt;"",INDEX('×入力'!$A$1:$L$1300,90,2+EF$2)&lt;&gt;"",INDEX('×入力'!$A$1:$L$1300,91+EF$3,1)&lt;&gt;""),1,0),0)</f>
        <v/>
      </c>
      <c r="EG13">
        <f>IF(EG$4=1,IF(OR(INDEX('×入力'!$A$1:$L$1300,91+EG$3,2+EG$2)&lt;&gt;"",INDEX('×入力'!$A$1:$L$1300,90,2+EG$2)&lt;&gt;"",INDEX('×入力'!$A$1:$L$1300,91+EG$3,1)&lt;&gt;""),1,0),0)</f>
        <v/>
      </c>
      <c r="EH13">
        <f>IF(EH$4=1,IF(OR(INDEX('×入力'!$A$1:$L$1300,91+EH$3,2+EH$2)&lt;&gt;"",INDEX('×入力'!$A$1:$L$1300,90,2+EH$2)&lt;&gt;"",INDEX('×入力'!$A$1:$L$1300,91+EH$3,1)&lt;&gt;""),1,0),0)</f>
        <v/>
      </c>
      <c r="EI13">
        <f>IF(EI$4=1,IF(OR(INDEX('×入力'!$A$1:$L$1300,91+EI$3,2+EI$2)&lt;&gt;"",INDEX('×入力'!$A$1:$L$1300,90,2+EI$2)&lt;&gt;"",INDEX('×入力'!$A$1:$L$1300,91+EI$3,1)&lt;&gt;""),1,0),0)</f>
        <v/>
      </c>
      <c r="EJ13">
        <f>IF(EJ$4=1,IF(OR(INDEX('×入力'!$A$1:$L$1300,91+EJ$3,2+EJ$2)&lt;&gt;"",INDEX('×入力'!$A$1:$L$1300,90,2+EJ$2)&lt;&gt;"",INDEX('×入力'!$A$1:$L$1300,91+EJ$3,1)&lt;&gt;""),1,0),0)</f>
        <v/>
      </c>
      <c r="EK13">
        <f>IF(EK$4=1,IF(OR(INDEX('×入力'!$A$1:$L$1300,91+EK$3,2+EK$2)&lt;&gt;"",INDEX('×入力'!$A$1:$L$1300,90,2+EK$2)&lt;&gt;"",INDEX('×入力'!$A$1:$L$1300,91+EK$3,1)&lt;&gt;""),1,0),0)</f>
        <v/>
      </c>
      <c r="EL13">
        <f>IF(EL$4=1,IF(OR(INDEX('×入力'!$A$1:$L$1300,91+EL$3,2+EL$2)&lt;&gt;"",INDEX('×入力'!$A$1:$L$1300,90,2+EL$2)&lt;&gt;"",INDEX('×入力'!$A$1:$L$1300,91+EL$3,1)&lt;&gt;""),1,0),0)</f>
        <v/>
      </c>
      <c r="EM13">
        <f>IF(EM$4=1,IF(OR(INDEX('×入力'!$A$1:$L$1300,91+EM$3,2+EM$2)&lt;&gt;"",INDEX('×入力'!$A$1:$L$1300,90,2+EM$2)&lt;&gt;"",INDEX('×入力'!$A$1:$L$1300,91+EM$3,1)&lt;&gt;""),1,0),0)</f>
        <v/>
      </c>
      <c r="EN13">
        <f>IF(EN$4=1,IF(OR(INDEX('×入力'!$A$1:$L$1300,91+EN$3,2+EN$2)&lt;&gt;"",INDEX('×入力'!$A$1:$L$1300,90,2+EN$2)&lt;&gt;"",INDEX('×入力'!$A$1:$L$1300,91+EN$3,1)&lt;&gt;""),1,0),0)</f>
        <v/>
      </c>
      <c r="EO13">
        <f>IF(EO$4=1,IF(OR(INDEX('×入力'!$A$1:$L$1300,91+EO$3,2+EO$2)&lt;&gt;"",INDEX('×入力'!$A$1:$L$1300,90,2+EO$2)&lt;&gt;"",INDEX('×入力'!$A$1:$L$1300,91+EO$3,1)&lt;&gt;""),1,0),0)</f>
        <v/>
      </c>
      <c r="EP13">
        <f>IF(EP$4=1,IF(OR(INDEX('×入力'!$A$1:$L$1300,91+EP$3,2+EP$2)&lt;&gt;"",INDEX('×入力'!$A$1:$L$1300,90,2+EP$2)&lt;&gt;"",INDEX('×入力'!$A$1:$L$1300,91+EP$3,1)&lt;&gt;""),1,0),0)</f>
        <v/>
      </c>
      <c r="EQ13">
        <f>IF(EQ$4=1,IF(OR(INDEX('×入力'!$A$1:$L$1300,91+EQ$3,2+EQ$2)&lt;&gt;"",INDEX('×入力'!$A$1:$L$1300,90,2+EQ$2)&lt;&gt;"",INDEX('×入力'!$A$1:$L$1300,91+EQ$3,1)&lt;&gt;""),1,0),0)</f>
        <v/>
      </c>
      <c r="HA13">
        <f>MAX(0,IT13)</f>
        <v/>
      </c>
      <c r="HB13">
        <f>IF(HA13=0,0,INDEX($D$2:$EQ$2,HA13))</f>
        <v/>
      </c>
      <c r="HC13">
        <f>IF(HA13=0,0,INDEX($D$3:$EQ$3,HA13))</f>
        <v/>
      </c>
      <c r="HD13">
        <f>MAX(0,IY13)</f>
        <v/>
      </c>
      <c r="HE13">
        <f>IF(HD13=0,0,INDEX($D$2:$EQ$2,HD13))</f>
        <v/>
      </c>
      <c r="HF13">
        <f>IF(HD13=0,0,INDEX($D$3:$EQ$3,HD13))</f>
        <v/>
      </c>
      <c r="HG13">
        <f>MAX(0,IZ13)</f>
        <v/>
      </c>
      <c r="HH13">
        <f>IF(HG13=0,0,INDEX($D$2:$EQ$2,HG13))</f>
        <v/>
      </c>
      <c r="HI13">
        <f>IF(HG13=0,0,INDEX($D$3:$EQ$3,HG13))</f>
        <v/>
      </c>
      <c r="HJ13">
        <f>IF(AND(HA13&gt;0,HC13&gt;1,OR(HC13-1&lt;&gt;$A$3,$A$4=0)),HA13-1,-1)</f>
        <v/>
      </c>
      <c r="HK13">
        <f>IF(AND(HA13&gt;0,HC13&lt;24,OR(HC13&lt;&gt;$A$3,$A$4=0)),HA13+1,-1)</f>
        <v/>
      </c>
      <c r="HL13">
        <f>IF(AND(HD13&gt;0,HF13&gt;1,OR(HF13-1&lt;&gt;$A$3,$A$4=0)),HD13-1,-1)</f>
        <v/>
      </c>
      <c r="HM13">
        <f>IF(AND(HD13&gt;0,HF13&lt;24,OR(HF13&lt;&gt;$A$3,$A$4=0)),HD13+1,-1)</f>
        <v/>
      </c>
      <c r="HN13">
        <f>IF(AND(HG13&gt;0,HI13&gt;1,OR(HI13-1&lt;&gt;$A$3,$A$4=0)),HG13-1,-1)</f>
        <v/>
      </c>
      <c r="HO13">
        <f>IF(AND(HG13&gt;0,HI13&lt;24,OR(HI13&lt;&gt;$A$3,$A$4=0)),HG13+1,-1)</f>
        <v/>
      </c>
      <c r="IK13">
        <f>IFERROR(INDEX('calcB'!$C$3:$C$47,MATCH(A13,'calcB'!$B$3:$B$47,0)),0)</f>
        <v/>
      </c>
      <c r="IL13">
        <f>IF(AND(C13=1,IK13=0,calcA!$A$6&gt;0),1,0)</f>
        <v/>
      </c>
      <c r="IM13">
        <f>SUMPRODUCT(D63:EQ63*(1-$D$7:$EQ$7))</f>
        <v/>
      </c>
      <c r="IN13">
        <f>SUM(D13:EQ13)</f>
        <v/>
      </c>
      <c r="IO13">
        <f>IF(B13="",0,IF(COUNTIF('調整・決定'!$C$6:$H$29,B13)=1,SUMPRODUCT(('調整・決定'!$C$6:$H$29=B13)*((COLUMN('調整・決定'!$C$6:$H$29)-3)*24+ROW('調整・決定'!$C$6:$H$29)-5)),0))</f>
        <v/>
      </c>
      <c r="IP13">
        <f>IFERROR(MATCH('名簿'!C8,{"早い時刻","遅い時刻","早い日","遅い日"},0),0)</f>
        <v/>
      </c>
      <c r="IQ13">
        <f>IF('名簿'!D8="必ず空けたい",2,IF('名簿'!D8="出来れば空けたい",1,0))</f>
        <v/>
      </c>
      <c r="IR13">
        <f>IFERROR(INDEX('calcC'!$C$3:$C$47,MATCH(A13,'calcC'!$B$3:$B$47,0)),0)</f>
        <v/>
      </c>
      <c r="IS13">
        <f>IF(AND(C13=1,IR13=0,calcA!$A$6&gt;0),1,0)</f>
        <v/>
      </c>
      <c r="IT13">
        <f>IF(OR('名簿'!G8="",'名簿'!H8=""),0,IFERROR((MATCH('名簿'!G8,'設定'!$E$11:$E$16,0)-1)*24+MATCH('名簿'!H8,'設定'!$I$11:$I$34,0),-1))</f>
        <v/>
      </c>
      <c r="IV13">
        <f>IF(OR(JF13=0,IO13=0),1,IF(OR(IF(IT13&gt;0,AND(INDEX($D$2:$EQ$2,IO13)=INDEX($D$2:$EQ$2,IT13),OR(AND(IO13=IT13+1,OR(INDEX($D$3:$EQ$3,IT13)&lt;&gt;$A$3,$A$4=0)),AND(IO13=IT13-1,OR(INDEX($D$3:$EQ$3,IO13)&lt;&gt;$A$3,$A$4=0)))),FALSE),IF(IY13&gt;0,AND(INDEX($D$2:$EQ$2,IO13)=INDEX($D$2:$EQ$2,IY13),OR(AND(IO13=IY13+1,OR(INDEX($D$3:$EQ$3,IY13)&lt;&gt;$A$3,$A$4=0)),AND(IO13=IY13-1,OR(INDEX($D$3:$EQ$3,IO13)&lt;&gt;$A$3,$A$4=0)))),FALSE),IF(IZ13&gt;0,AND(INDEX($D$2:$EQ$2,IO13)=INDEX($D$2:$EQ$2,IZ13),OR(AND(IO13=IZ13+1,OR(INDEX($D$3:$EQ$3,IZ13)&lt;&gt;$A$3,$A$4=0)),AND(IO13=IZ13-1,OR(INDEX($D$3:$EQ$3,IO13)&lt;&gt;$A$3,$A$4=0)))),FALSE)),1,0))</f>
        <v/>
      </c>
      <c r="IW13">
        <f>IF(AND('名簿'!E8&lt;&gt;"",JF13=0),1,0)</f>
        <v/>
      </c>
      <c r="IX13">
        <f>IF('名簿'!D8="空けない",1,0)</f>
        <v/>
      </c>
      <c r="IY13">
        <f>IF(OR('名簿'!J8="",'名簿'!K8=""),0,IFERROR((MATCH('名簿'!J8,'設定'!$E$11:$E$16,0)-1)*24+MATCH('名簿'!K8,'設定'!$I$11:$I$34,0),-1))</f>
        <v/>
      </c>
      <c r="IZ13">
        <f>IF(OR('名簿'!M8="",'名簿'!N8=""),0,IFERROR((MATCH('名簿'!M8,'設定'!$E$11:$E$16,0)-1)*24+MATCH('名簿'!N8,'設定'!$I$11:$I$34,0),-1))</f>
        <v/>
      </c>
      <c r="JC13">
        <f>IF(RIGHT('名簿'!I8,2)="の前",1,IF(RIGHT('名簿'!I8,2)="の後",2,0))</f>
        <v/>
      </c>
      <c r="JD13">
        <f>IF(RIGHT('名簿'!L8,2)="の前",1,IF(RIGHT('名簿'!L8,2)="の後",2,0))</f>
        <v/>
      </c>
      <c r="JE13">
        <f>IF(RIGHT('名簿'!O8,2)="の前",1,IF(RIGHT('名簿'!O8,2)="の後",2,0))</f>
        <v/>
      </c>
      <c r="JF13">
        <f>IF(OR(IT13&gt;0,IY13&gt;0,IZ13&gt;0),1,0)</f>
        <v/>
      </c>
      <c r="JG13">
        <f>IF(OR(IT13&lt;0,IY13&lt;0,IZ13&lt;0),1,0)</f>
        <v/>
      </c>
    </row>
    <row r="14">
      <c r="A14" t="n">
        <v>5</v>
      </c>
      <c r="B14">
        <f>'名簿'!P9</f>
        <v/>
      </c>
      <c r="C14">
        <f>IF(AND(B14&lt;&gt;"",OR('名簿'!Q9="入力済み",'名簿'!Q9="×なし"),IO14=0,COUNTIF('調整・決定'!$C$6:$H$29,B14)=0),1,0)</f>
        <v/>
      </c>
      <c r="D14">
        <f>IF(D$4=1,IF(OR(INDEX('×入力'!$A$1:$L$1300,119+D$3,2+D$2)&lt;&gt;"",INDEX('×入力'!$A$1:$L$1300,118,2+D$2)&lt;&gt;"",INDEX('×入力'!$A$1:$L$1300,119+D$3,1)&lt;&gt;""),1,0),0)</f>
        <v/>
      </c>
      <c r="E14">
        <f>IF(E$4=1,IF(OR(INDEX('×入力'!$A$1:$L$1300,119+E$3,2+E$2)&lt;&gt;"",INDEX('×入力'!$A$1:$L$1300,118,2+E$2)&lt;&gt;"",INDEX('×入力'!$A$1:$L$1300,119+E$3,1)&lt;&gt;""),1,0),0)</f>
        <v/>
      </c>
      <c r="F14">
        <f>IF(F$4=1,IF(OR(INDEX('×入力'!$A$1:$L$1300,119+F$3,2+F$2)&lt;&gt;"",INDEX('×入力'!$A$1:$L$1300,118,2+F$2)&lt;&gt;"",INDEX('×入力'!$A$1:$L$1300,119+F$3,1)&lt;&gt;""),1,0),0)</f>
        <v/>
      </c>
      <c r="G14">
        <f>IF(G$4=1,IF(OR(INDEX('×入力'!$A$1:$L$1300,119+G$3,2+G$2)&lt;&gt;"",INDEX('×入力'!$A$1:$L$1300,118,2+G$2)&lt;&gt;"",INDEX('×入力'!$A$1:$L$1300,119+G$3,1)&lt;&gt;""),1,0),0)</f>
        <v/>
      </c>
      <c r="H14">
        <f>IF(H$4=1,IF(OR(INDEX('×入力'!$A$1:$L$1300,119+H$3,2+H$2)&lt;&gt;"",INDEX('×入力'!$A$1:$L$1300,118,2+H$2)&lt;&gt;"",INDEX('×入力'!$A$1:$L$1300,119+H$3,1)&lt;&gt;""),1,0),0)</f>
        <v/>
      </c>
      <c r="I14">
        <f>IF(I$4=1,IF(OR(INDEX('×入力'!$A$1:$L$1300,119+I$3,2+I$2)&lt;&gt;"",INDEX('×入力'!$A$1:$L$1300,118,2+I$2)&lt;&gt;"",INDEX('×入力'!$A$1:$L$1300,119+I$3,1)&lt;&gt;""),1,0),0)</f>
        <v/>
      </c>
      <c r="J14">
        <f>IF(J$4=1,IF(OR(INDEX('×入力'!$A$1:$L$1300,119+J$3,2+J$2)&lt;&gt;"",INDEX('×入力'!$A$1:$L$1300,118,2+J$2)&lt;&gt;"",INDEX('×入力'!$A$1:$L$1300,119+J$3,1)&lt;&gt;""),1,0),0)</f>
        <v/>
      </c>
      <c r="K14">
        <f>IF(K$4=1,IF(OR(INDEX('×入力'!$A$1:$L$1300,119+K$3,2+K$2)&lt;&gt;"",INDEX('×入力'!$A$1:$L$1300,118,2+K$2)&lt;&gt;"",INDEX('×入力'!$A$1:$L$1300,119+K$3,1)&lt;&gt;""),1,0),0)</f>
        <v/>
      </c>
      <c r="L14">
        <f>IF(L$4=1,IF(OR(INDEX('×入力'!$A$1:$L$1300,119+L$3,2+L$2)&lt;&gt;"",INDEX('×入力'!$A$1:$L$1300,118,2+L$2)&lt;&gt;"",INDEX('×入力'!$A$1:$L$1300,119+L$3,1)&lt;&gt;""),1,0),0)</f>
        <v/>
      </c>
      <c r="M14">
        <f>IF(M$4=1,IF(OR(INDEX('×入力'!$A$1:$L$1300,119+M$3,2+M$2)&lt;&gt;"",INDEX('×入力'!$A$1:$L$1300,118,2+M$2)&lt;&gt;"",INDEX('×入力'!$A$1:$L$1300,119+M$3,1)&lt;&gt;""),1,0),0)</f>
        <v/>
      </c>
      <c r="N14">
        <f>IF(N$4=1,IF(OR(INDEX('×入力'!$A$1:$L$1300,119+N$3,2+N$2)&lt;&gt;"",INDEX('×入力'!$A$1:$L$1300,118,2+N$2)&lt;&gt;"",INDEX('×入力'!$A$1:$L$1300,119+N$3,1)&lt;&gt;""),1,0),0)</f>
        <v/>
      </c>
      <c r="O14">
        <f>IF(O$4=1,IF(OR(INDEX('×入力'!$A$1:$L$1300,119+O$3,2+O$2)&lt;&gt;"",INDEX('×入力'!$A$1:$L$1300,118,2+O$2)&lt;&gt;"",INDEX('×入力'!$A$1:$L$1300,119+O$3,1)&lt;&gt;""),1,0),0)</f>
        <v/>
      </c>
      <c r="P14">
        <f>IF(P$4=1,IF(OR(INDEX('×入力'!$A$1:$L$1300,119+P$3,2+P$2)&lt;&gt;"",INDEX('×入力'!$A$1:$L$1300,118,2+P$2)&lt;&gt;"",INDEX('×入力'!$A$1:$L$1300,119+P$3,1)&lt;&gt;""),1,0),0)</f>
        <v/>
      </c>
      <c r="Q14">
        <f>IF(Q$4=1,IF(OR(INDEX('×入力'!$A$1:$L$1300,119+Q$3,2+Q$2)&lt;&gt;"",INDEX('×入力'!$A$1:$L$1300,118,2+Q$2)&lt;&gt;"",INDEX('×入力'!$A$1:$L$1300,119+Q$3,1)&lt;&gt;""),1,0),0)</f>
        <v/>
      </c>
      <c r="R14">
        <f>IF(R$4=1,IF(OR(INDEX('×入力'!$A$1:$L$1300,119+R$3,2+R$2)&lt;&gt;"",INDEX('×入力'!$A$1:$L$1300,118,2+R$2)&lt;&gt;"",INDEX('×入力'!$A$1:$L$1300,119+R$3,1)&lt;&gt;""),1,0),0)</f>
        <v/>
      </c>
      <c r="S14">
        <f>IF(S$4=1,IF(OR(INDEX('×入力'!$A$1:$L$1300,119+S$3,2+S$2)&lt;&gt;"",INDEX('×入力'!$A$1:$L$1300,118,2+S$2)&lt;&gt;"",INDEX('×入力'!$A$1:$L$1300,119+S$3,1)&lt;&gt;""),1,0),0)</f>
        <v/>
      </c>
      <c r="T14">
        <f>IF(T$4=1,IF(OR(INDEX('×入力'!$A$1:$L$1300,119+T$3,2+T$2)&lt;&gt;"",INDEX('×入力'!$A$1:$L$1300,118,2+T$2)&lt;&gt;"",INDEX('×入力'!$A$1:$L$1300,119+T$3,1)&lt;&gt;""),1,0),0)</f>
        <v/>
      </c>
      <c r="U14">
        <f>IF(U$4=1,IF(OR(INDEX('×入力'!$A$1:$L$1300,119+U$3,2+U$2)&lt;&gt;"",INDEX('×入力'!$A$1:$L$1300,118,2+U$2)&lt;&gt;"",INDEX('×入力'!$A$1:$L$1300,119+U$3,1)&lt;&gt;""),1,0),0)</f>
        <v/>
      </c>
      <c r="V14">
        <f>IF(V$4=1,IF(OR(INDEX('×入力'!$A$1:$L$1300,119+V$3,2+V$2)&lt;&gt;"",INDEX('×入力'!$A$1:$L$1300,118,2+V$2)&lt;&gt;"",INDEX('×入力'!$A$1:$L$1300,119+V$3,1)&lt;&gt;""),1,0),0)</f>
        <v/>
      </c>
      <c r="W14">
        <f>IF(W$4=1,IF(OR(INDEX('×入力'!$A$1:$L$1300,119+W$3,2+W$2)&lt;&gt;"",INDEX('×入力'!$A$1:$L$1300,118,2+W$2)&lt;&gt;"",INDEX('×入力'!$A$1:$L$1300,119+W$3,1)&lt;&gt;""),1,0),0)</f>
        <v/>
      </c>
      <c r="X14">
        <f>IF(X$4=1,IF(OR(INDEX('×入力'!$A$1:$L$1300,119+X$3,2+X$2)&lt;&gt;"",INDEX('×入力'!$A$1:$L$1300,118,2+X$2)&lt;&gt;"",INDEX('×入力'!$A$1:$L$1300,119+X$3,1)&lt;&gt;""),1,0),0)</f>
        <v/>
      </c>
      <c r="Y14">
        <f>IF(Y$4=1,IF(OR(INDEX('×入力'!$A$1:$L$1300,119+Y$3,2+Y$2)&lt;&gt;"",INDEX('×入力'!$A$1:$L$1300,118,2+Y$2)&lt;&gt;"",INDEX('×入力'!$A$1:$L$1300,119+Y$3,1)&lt;&gt;""),1,0),0)</f>
        <v/>
      </c>
      <c r="Z14">
        <f>IF(Z$4=1,IF(OR(INDEX('×入力'!$A$1:$L$1300,119+Z$3,2+Z$2)&lt;&gt;"",INDEX('×入力'!$A$1:$L$1300,118,2+Z$2)&lt;&gt;"",INDEX('×入力'!$A$1:$L$1300,119+Z$3,1)&lt;&gt;""),1,0),0)</f>
        <v/>
      </c>
      <c r="AA14">
        <f>IF(AA$4=1,IF(OR(INDEX('×入力'!$A$1:$L$1300,119+AA$3,2+AA$2)&lt;&gt;"",INDEX('×入力'!$A$1:$L$1300,118,2+AA$2)&lt;&gt;"",INDEX('×入力'!$A$1:$L$1300,119+AA$3,1)&lt;&gt;""),1,0),0)</f>
        <v/>
      </c>
      <c r="AB14">
        <f>IF(AB$4=1,IF(OR(INDEX('×入力'!$A$1:$L$1300,119+AB$3,2+AB$2)&lt;&gt;"",INDEX('×入力'!$A$1:$L$1300,118,2+AB$2)&lt;&gt;"",INDEX('×入力'!$A$1:$L$1300,119+AB$3,1)&lt;&gt;""),1,0),0)</f>
        <v/>
      </c>
      <c r="AC14">
        <f>IF(AC$4=1,IF(OR(INDEX('×入力'!$A$1:$L$1300,119+AC$3,2+AC$2)&lt;&gt;"",INDEX('×入力'!$A$1:$L$1300,118,2+AC$2)&lt;&gt;"",INDEX('×入力'!$A$1:$L$1300,119+AC$3,1)&lt;&gt;""),1,0),0)</f>
        <v/>
      </c>
      <c r="AD14">
        <f>IF(AD$4=1,IF(OR(INDEX('×入力'!$A$1:$L$1300,119+AD$3,2+AD$2)&lt;&gt;"",INDEX('×入力'!$A$1:$L$1300,118,2+AD$2)&lt;&gt;"",INDEX('×入力'!$A$1:$L$1300,119+AD$3,1)&lt;&gt;""),1,0),0)</f>
        <v/>
      </c>
      <c r="AE14">
        <f>IF(AE$4=1,IF(OR(INDEX('×入力'!$A$1:$L$1300,119+AE$3,2+AE$2)&lt;&gt;"",INDEX('×入力'!$A$1:$L$1300,118,2+AE$2)&lt;&gt;"",INDEX('×入力'!$A$1:$L$1300,119+AE$3,1)&lt;&gt;""),1,0),0)</f>
        <v/>
      </c>
      <c r="AF14">
        <f>IF(AF$4=1,IF(OR(INDEX('×入力'!$A$1:$L$1300,119+AF$3,2+AF$2)&lt;&gt;"",INDEX('×入力'!$A$1:$L$1300,118,2+AF$2)&lt;&gt;"",INDEX('×入力'!$A$1:$L$1300,119+AF$3,1)&lt;&gt;""),1,0),0)</f>
        <v/>
      </c>
      <c r="AG14">
        <f>IF(AG$4=1,IF(OR(INDEX('×入力'!$A$1:$L$1300,119+AG$3,2+AG$2)&lt;&gt;"",INDEX('×入力'!$A$1:$L$1300,118,2+AG$2)&lt;&gt;"",INDEX('×入力'!$A$1:$L$1300,119+AG$3,1)&lt;&gt;""),1,0),0)</f>
        <v/>
      </c>
      <c r="AH14">
        <f>IF(AH$4=1,IF(OR(INDEX('×入力'!$A$1:$L$1300,119+AH$3,2+AH$2)&lt;&gt;"",INDEX('×入力'!$A$1:$L$1300,118,2+AH$2)&lt;&gt;"",INDEX('×入力'!$A$1:$L$1300,119+AH$3,1)&lt;&gt;""),1,0),0)</f>
        <v/>
      </c>
      <c r="AI14">
        <f>IF(AI$4=1,IF(OR(INDEX('×入力'!$A$1:$L$1300,119+AI$3,2+AI$2)&lt;&gt;"",INDEX('×入力'!$A$1:$L$1300,118,2+AI$2)&lt;&gt;"",INDEX('×入力'!$A$1:$L$1300,119+AI$3,1)&lt;&gt;""),1,0),0)</f>
        <v/>
      </c>
      <c r="AJ14">
        <f>IF(AJ$4=1,IF(OR(INDEX('×入力'!$A$1:$L$1300,119+AJ$3,2+AJ$2)&lt;&gt;"",INDEX('×入力'!$A$1:$L$1300,118,2+AJ$2)&lt;&gt;"",INDEX('×入力'!$A$1:$L$1300,119+AJ$3,1)&lt;&gt;""),1,0),0)</f>
        <v/>
      </c>
      <c r="AK14">
        <f>IF(AK$4=1,IF(OR(INDEX('×入力'!$A$1:$L$1300,119+AK$3,2+AK$2)&lt;&gt;"",INDEX('×入力'!$A$1:$L$1300,118,2+AK$2)&lt;&gt;"",INDEX('×入力'!$A$1:$L$1300,119+AK$3,1)&lt;&gt;""),1,0),0)</f>
        <v/>
      </c>
      <c r="AL14">
        <f>IF(AL$4=1,IF(OR(INDEX('×入力'!$A$1:$L$1300,119+AL$3,2+AL$2)&lt;&gt;"",INDEX('×入力'!$A$1:$L$1300,118,2+AL$2)&lt;&gt;"",INDEX('×入力'!$A$1:$L$1300,119+AL$3,1)&lt;&gt;""),1,0),0)</f>
        <v/>
      </c>
      <c r="AM14">
        <f>IF(AM$4=1,IF(OR(INDEX('×入力'!$A$1:$L$1300,119+AM$3,2+AM$2)&lt;&gt;"",INDEX('×入力'!$A$1:$L$1300,118,2+AM$2)&lt;&gt;"",INDEX('×入力'!$A$1:$L$1300,119+AM$3,1)&lt;&gt;""),1,0),0)</f>
        <v/>
      </c>
      <c r="AN14">
        <f>IF(AN$4=1,IF(OR(INDEX('×入力'!$A$1:$L$1300,119+AN$3,2+AN$2)&lt;&gt;"",INDEX('×入力'!$A$1:$L$1300,118,2+AN$2)&lt;&gt;"",INDEX('×入力'!$A$1:$L$1300,119+AN$3,1)&lt;&gt;""),1,0),0)</f>
        <v/>
      </c>
      <c r="AO14">
        <f>IF(AO$4=1,IF(OR(INDEX('×入力'!$A$1:$L$1300,119+AO$3,2+AO$2)&lt;&gt;"",INDEX('×入力'!$A$1:$L$1300,118,2+AO$2)&lt;&gt;"",INDEX('×入力'!$A$1:$L$1300,119+AO$3,1)&lt;&gt;""),1,0),0)</f>
        <v/>
      </c>
      <c r="AP14">
        <f>IF(AP$4=1,IF(OR(INDEX('×入力'!$A$1:$L$1300,119+AP$3,2+AP$2)&lt;&gt;"",INDEX('×入力'!$A$1:$L$1300,118,2+AP$2)&lt;&gt;"",INDEX('×入力'!$A$1:$L$1300,119+AP$3,1)&lt;&gt;""),1,0),0)</f>
        <v/>
      </c>
      <c r="AQ14">
        <f>IF(AQ$4=1,IF(OR(INDEX('×入力'!$A$1:$L$1300,119+AQ$3,2+AQ$2)&lt;&gt;"",INDEX('×入力'!$A$1:$L$1300,118,2+AQ$2)&lt;&gt;"",INDEX('×入力'!$A$1:$L$1300,119+AQ$3,1)&lt;&gt;""),1,0),0)</f>
        <v/>
      </c>
      <c r="AR14">
        <f>IF(AR$4=1,IF(OR(INDEX('×入力'!$A$1:$L$1300,119+AR$3,2+AR$2)&lt;&gt;"",INDEX('×入力'!$A$1:$L$1300,118,2+AR$2)&lt;&gt;"",INDEX('×入力'!$A$1:$L$1300,119+AR$3,1)&lt;&gt;""),1,0),0)</f>
        <v/>
      </c>
      <c r="AS14">
        <f>IF(AS$4=1,IF(OR(INDEX('×入力'!$A$1:$L$1300,119+AS$3,2+AS$2)&lt;&gt;"",INDEX('×入力'!$A$1:$L$1300,118,2+AS$2)&lt;&gt;"",INDEX('×入力'!$A$1:$L$1300,119+AS$3,1)&lt;&gt;""),1,0),0)</f>
        <v/>
      </c>
      <c r="AT14">
        <f>IF(AT$4=1,IF(OR(INDEX('×入力'!$A$1:$L$1300,119+AT$3,2+AT$2)&lt;&gt;"",INDEX('×入力'!$A$1:$L$1300,118,2+AT$2)&lt;&gt;"",INDEX('×入力'!$A$1:$L$1300,119+AT$3,1)&lt;&gt;""),1,0),0)</f>
        <v/>
      </c>
      <c r="AU14">
        <f>IF(AU$4=1,IF(OR(INDEX('×入力'!$A$1:$L$1300,119+AU$3,2+AU$2)&lt;&gt;"",INDEX('×入力'!$A$1:$L$1300,118,2+AU$2)&lt;&gt;"",INDEX('×入力'!$A$1:$L$1300,119+AU$3,1)&lt;&gt;""),1,0),0)</f>
        <v/>
      </c>
      <c r="AV14">
        <f>IF(AV$4=1,IF(OR(INDEX('×入力'!$A$1:$L$1300,119+AV$3,2+AV$2)&lt;&gt;"",INDEX('×入力'!$A$1:$L$1300,118,2+AV$2)&lt;&gt;"",INDEX('×入力'!$A$1:$L$1300,119+AV$3,1)&lt;&gt;""),1,0),0)</f>
        <v/>
      </c>
      <c r="AW14">
        <f>IF(AW$4=1,IF(OR(INDEX('×入力'!$A$1:$L$1300,119+AW$3,2+AW$2)&lt;&gt;"",INDEX('×入力'!$A$1:$L$1300,118,2+AW$2)&lt;&gt;"",INDEX('×入力'!$A$1:$L$1300,119+AW$3,1)&lt;&gt;""),1,0),0)</f>
        <v/>
      </c>
      <c r="AX14">
        <f>IF(AX$4=1,IF(OR(INDEX('×入力'!$A$1:$L$1300,119+AX$3,2+AX$2)&lt;&gt;"",INDEX('×入力'!$A$1:$L$1300,118,2+AX$2)&lt;&gt;"",INDEX('×入力'!$A$1:$L$1300,119+AX$3,1)&lt;&gt;""),1,0),0)</f>
        <v/>
      </c>
      <c r="AY14">
        <f>IF(AY$4=1,IF(OR(INDEX('×入力'!$A$1:$L$1300,119+AY$3,2+AY$2)&lt;&gt;"",INDEX('×入力'!$A$1:$L$1300,118,2+AY$2)&lt;&gt;"",INDEX('×入力'!$A$1:$L$1300,119+AY$3,1)&lt;&gt;""),1,0),0)</f>
        <v/>
      </c>
      <c r="AZ14">
        <f>IF(AZ$4=1,IF(OR(INDEX('×入力'!$A$1:$L$1300,119+AZ$3,2+AZ$2)&lt;&gt;"",INDEX('×入力'!$A$1:$L$1300,118,2+AZ$2)&lt;&gt;"",INDEX('×入力'!$A$1:$L$1300,119+AZ$3,1)&lt;&gt;""),1,0),0)</f>
        <v/>
      </c>
      <c r="BA14">
        <f>IF(BA$4=1,IF(OR(INDEX('×入力'!$A$1:$L$1300,119+BA$3,2+BA$2)&lt;&gt;"",INDEX('×入力'!$A$1:$L$1300,118,2+BA$2)&lt;&gt;"",INDEX('×入力'!$A$1:$L$1300,119+BA$3,1)&lt;&gt;""),1,0),0)</f>
        <v/>
      </c>
      <c r="BB14">
        <f>IF(BB$4=1,IF(OR(INDEX('×入力'!$A$1:$L$1300,119+BB$3,2+BB$2)&lt;&gt;"",INDEX('×入力'!$A$1:$L$1300,118,2+BB$2)&lt;&gt;"",INDEX('×入力'!$A$1:$L$1300,119+BB$3,1)&lt;&gt;""),1,0),0)</f>
        <v/>
      </c>
      <c r="BC14">
        <f>IF(BC$4=1,IF(OR(INDEX('×入力'!$A$1:$L$1300,119+BC$3,2+BC$2)&lt;&gt;"",INDEX('×入力'!$A$1:$L$1300,118,2+BC$2)&lt;&gt;"",INDEX('×入力'!$A$1:$L$1300,119+BC$3,1)&lt;&gt;""),1,0),0)</f>
        <v/>
      </c>
      <c r="BD14">
        <f>IF(BD$4=1,IF(OR(INDEX('×入力'!$A$1:$L$1300,119+BD$3,2+BD$2)&lt;&gt;"",INDEX('×入力'!$A$1:$L$1300,118,2+BD$2)&lt;&gt;"",INDEX('×入力'!$A$1:$L$1300,119+BD$3,1)&lt;&gt;""),1,0),0)</f>
        <v/>
      </c>
      <c r="BE14">
        <f>IF(BE$4=1,IF(OR(INDEX('×入力'!$A$1:$L$1300,119+BE$3,2+BE$2)&lt;&gt;"",INDEX('×入力'!$A$1:$L$1300,118,2+BE$2)&lt;&gt;"",INDEX('×入力'!$A$1:$L$1300,119+BE$3,1)&lt;&gt;""),1,0),0)</f>
        <v/>
      </c>
      <c r="BF14">
        <f>IF(BF$4=1,IF(OR(INDEX('×入力'!$A$1:$L$1300,119+BF$3,2+BF$2)&lt;&gt;"",INDEX('×入力'!$A$1:$L$1300,118,2+BF$2)&lt;&gt;"",INDEX('×入力'!$A$1:$L$1300,119+BF$3,1)&lt;&gt;""),1,0),0)</f>
        <v/>
      </c>
      <c r="BG14">
        <f>IF(BG$4=1,IF(OR(INDEX('×入力'!$A$1:$L$1300,119+BG$3,2+BG$2)&lt;&gt;"",INDEX('×入力'!$A$1:$L$1300,118,2+BG$2)&lt;&gt;"",INDEX('×入力'!$A$1:$L$1300,119+BG$3,1)&lt;&gt;""),1,0),0)</f>
        <v/>
      </c>
      <c r="BH14">
        <f>IF(BH$4=1,IF(OR(INDEX('×入力'!$A$1:$L$1300,119+BH$3,2+BH$2)&lt;&gt;"",INDEX('×入力'!$A$1:$L$1300,118,2+BH$2)&lt;&gt;"",INDEX('×入力'!$A$1:$L$1300,119+BH$3,1)&lt;&gt;""),1,0),0)</f>
        <v/>
      </c>
      <c r="BI14">
        <f>IF(BI$4=1,IF(OR(INDEX('×入力'!$A$1:$L$1300,119+BI$3,2+BI$2)&lt;&gt;"",INDEX('×入力'!$A$1:$L$1300,118,2+BI$2)&lt;&gt;"",INDEX('×入力'!$A$1:$L$1300,119+BI$3,1)&lt;&gt;""),1,0),0)</f>
        <v/>
      </c>
      <c r="BJ14">
        <f>IF(BJ$4=1,IF(OR(INDEX('×入力'!$A$1:$L$1300,119+BJ$3,2+BJ$2)&lt;&gt;"",INDEX('×入力'!$A$1:$L$1300,118,2+BJ$2)&lt;&gt;"",INDEX('×入力'!$A$1:$L$1300,119+BJ$3,1)&lt;&gt;""),1,0),0)</f>
        <v/>
      </c>
      <c r="BK14">
        <f>IF(BK$4=1,IF(OR(INDEX('×入力'!$A$1:$L$1300,119+BK$3,2+BK$2)&lt;&gt;"",INDEX('×入力'!$A$1:$L$1300,118,2+BK$2)&lt;&gt;"",INDEX('×入力'!$A$1:$L$1300,119+BK$3,1)&lt;&gt;""),1,0),0)</f>
        <v/>
      </c>
      <c r="BL14">
        <f>IF(BL$4=1,IF(OR(INDEX('×入力'!$A$1:$L$1300,119+BL$3,2+BL$2)&lt;&gt;"",INDEX('×入力'!$A$1:$L$1300,118,2+BL$2)&lt;&gt;"",INDEX('×入力'!$A$1:$L$1300,119+BL$3,1)&lt;&gt;""),1,0),0)</f>
        <v/>
      </c>
      <c r="BM14">
        <f>IF(BM$4=1,IF(OR(INDEX('×入力'!$A$1:$L$1300,119+BM$3,2+BM$2)&lt;&gt;"",INDEX('×入力'!$A$1:$L$1300,118,2+BM$2)&lt;&gt;"",INDEX('×入力'!$A$1:$L$1300,119+BM$3,1)&lt;&gt;""),1,0),0)</f>
        <v/>
      </c>
      <c r="BN14">
        <f>IF(BN$4=1,IF(OR(INDEX('×入力'!$A$1:$L$1300,119+BN$3,2+BN$2)&lt;&gt;"",INDEX('×入力'!$A$1:$L$1300,118,2+BN$2)&lt;&gt;"",INDEX('×入力'!$A$1:$L$1300,119+BN$3,1)&lt;&gt;""),1,0),0)</f>
        <v/>
      </c>
      <c r="BO14">
        <f>IF(BO$4=1,IF(OR(INDEX('×入力'!$A$1:$L$1300,119+BO$3,2+BO$2)&lt;&gt;"",INDEX('×入力'!$A$1:$L$1300,118,2+BO$2)&lt;&gt;"",INDEX('×入力'!$A$1:$L$1300,119+BO$3,1)&lt;&gt;""),1,0),0)</f>
        <v/>
      </c>
      <c r="BP14">
        <f>IF(BP$4=1,IF(OR(INDEX('×入力'!$A$1:$L$1300,119+BP$3,2+BP$2)&lt;&gt;"",INDEX('×入力'!$A$1:$L$1300,118,2+BP$2)&lt;&gt;"",INDEX('×入力'!$A$1:$L$1300,119+BP$3,1)&lt;&gt;""),1,0),0)</f>
        <v/>
      </c>
      <c r="BQ14">
        <f>IF(BQ$4=1,IF(OR(INDEX('×入力'!$A$1:$L$1300,119+BQ$3,2+BQ$2)&lt;&gt;"",INDEX('×入力'!$A$1:$L$1300,118,2+BQ$2)&lt;&gt;"",INDEX('×入力'!$A$1:$L$1300,119+BQ$3,1)&lt;&gt;""),1,0),0)</f>
        <v/>
      </c>
      <c r="BR14">
        <f>IF(BR$4=1,IF(OR(INDEX('×入力'!$A$1:$L$1300,119+BR$3,2+BR$2)&lt;&gt;"",INDEX('×入力'!$A$1:$L$1300,118,2+BR$2)&lt;&gt;"",INDEX('×入力'!$A$1:$L$1300,119+BR$3,1)&lt;&gt;""),1,0),0)</f>
        <v/>
      </c>
      <c r="BS14">
        <f>IF(BS$4=1,IF(OR(INDEX('×入力'!$A$1:$L$1300,119+BS$3,2+BS$2)&lt;&gt;"",INDEX('×入力'!$A$1:$L$1300,118,2+BS$2)&lt;&gt;"",INDEX('×入力'!$A$1:$L$1300,119+BS$3,1)&lt;&gt;""),1,0),0)</f>
        <v/>
      </c>
      <c r="BT14">
        <f>IF(BT$4=1,IF(OR(INDEX('×入力'!$A$1:$L$1300,119+BT$3,2+BT$2)&lt;&gt;"",INDEX('×入力'!$A$1:$L$1300,118,2+BT$2)&lt;&gt;"",INDEX('×入力'!$A$1:$L$1300,119+BT$3,1)&lt;&gt;""),1,0),0)</f>
        <v/>
      </c>
      <c r="BU14">
        <f>IF(BU$4=1,IF(OR(INDEX('×入力'!$A$1:$L$1300,119+BU$3,2+BU$2)&lt;&gt;"",INDEX('×入力'!$A$1:$L$1300,118,2+BU$2)&lt;&gt;"",INDEX('×入力'!$A$1:$L$1300,119+BU$3,1)&lt;&gt;""),1,0),0)</f>
        <v/>
      </c>
      <c r="BV14">
        <f>IF(BV$4=1,IF(OR(INDEX('×入力'!$A$1:$L$1300,119+BV$3,2+BV$2)&lt;&gt;"",INDEX('×入力'!$A$1:$L$1300,118,2+BV$2)&lt;&gt;"",INDEX('×入力'!$A$1:$L$1300,119+BV$3,1)&lt;&gt;""),1,0),0)</f>
        <v/>
      </c>
      <c r="BW14">
        <f>IF(BW$4=1,IF(OR(INDEX('×入力'!$A$1:$L$1300,119+BW$3,2+BW$2)&lt;&gt;"",INDEX('×入力'!$A$1:$L$1300,118,2+BW$2)&lt;&gt;"",INDEX('×入力'!$A$1:$L$1300,119+BW$3,1)&lt;&gt;""),1,0),0)</f>
        <v/>
      </c>
      <c r="BX14">
        <f>IF(BX$4=1,IF(OR(INDEX('×入力'!$A$1:$L$1300,119+BX$3,2+BX$2)&lt;&gt;"",INDEX('×入力'!$A$1:$L$1300,118,2+BX$2)&lt;&gt;"",INDEX('×入力'!$A$1:$L$1300,119+BX$3,1)&lt;&gt;""),1,0),0)</f>
        <v/>
      </c>
      <c r="BY14">
        <f>IF(BY$4=1,IF(OR(INDEX('×入力'!$A$1:$L$1300,119+BY$3,2+BY$2)&lt;&gt;"",INDEX('×入力'!$A$1:$L$1300,118,2+BY$2)&lt;&gt;"",INDEX('×入力'!$A$1:$L$1300,119+BY$3,1)&lt;&gt;""),1,0),0)</f>
        <v/>
      </c>
      <c r="BZ14">
        <f>IF(BZ$4=1,IF(OR(INDEX('×入力'!$A$1:$L$1300,119+BZ$3,2+BZ$2)&lt;&gt;"",INDEX('×入力'!$A$1:$L$1300,118,2+BZ$2)&lt;&gt;"",INDEX('×入力'!$A$1:$L$1300,119+BZ$3,1)&lt;&gt;""),1,0),0)</f>
        <v/>
      </c>
      <c r="CA14">
        <f>IF(CA$4=1,IF(OR(INDEX('×入力'!$A$1:$L$1300,119+CA$3,2+CA$2)&lt;&gt;"",INDEX('×入力'!$A$1:$L$1300,118,2+CA$2)&lt;&gt;"",INDEX('×入力'!$A$1:$L$1300,119+CA$3,1)&lt;&gt;""),1,0),0)</f>
        <v/>
      </c>
      <c r="CB14">
        <f>IF(CB$4=1,IF(OR(INDEX('×入力'!$A$1:$L$1300,119+CB$3,2+CB$2)&lt;&gt;"",INDEX('×入力'!$A$1:$L$1300,118,2+CB$2)&lt;&gt;"",INDEX('×入力'!$A$1:$L$1300,119+CB$3,1)&lt;&gt;""),1,0),0)</f>
        <v/>
      </c>
      <c r="CC14">
        <f>IF(CC$4=1,IF(OR(INDEX('×入力'!$A$1:$L$1300,119+CC$3,2+CC$2)&lt;&gt;"",INDEX('×入力'!$A$1:$L$1300,118,2+CC$2)&lt;&gt;"",INDEX('×入力'!$A$1:$L$1300,119+CC$3,1)&lt;&gt;""),1,0),0)</f>
        <v/>
      </c>
      <c r="CD14">
        <f>IF(CD$4=1,IF(OR(INDEX('×入力'!$A$1:$L$1300,119+CD$3,2+CD$2)&lt;&gt;"",INDEX('×入力'!$A$1:$L$1300,118,2+CD$2)&lt;&gt;"",INDEX('×入力'!$A$1:$L$1300,119+CD$3,1)&lt;&gt;""),1,0),0)</f>
        <v/>
      </c>
      <c r="CE14">
        <f>IF(CE$4=1,IF(OR(INDEX('×入力'!$A$1:$L$1300,119+CE$3,2+CE$2)&lt;&gt;"",INDEX('×入力'!$A$1:$L$1300,118,2+CE$2)&lt;&gt;"",INDEX('×入力'!$A$1:$L$1300,119+CE$3,1)&lt;&gt;""),1,0),0)</f>
        <v/>
      </c>
      <c r="CF14">
        <f>IF(CF$4=1,IF(OR(INDEX('×入力'!$A$1:$L$1300,119+CF$3,2+CF$2)&lt;&gt;"",INDEX('×入力'!$A$1:$L$1300,118,2+CF$2)&lt;&gt;"",INDEX('×入力'!$A$1:$L$1300,119+CF$3,1)&lt;&gt;""),1,0),0)</f>
        <v/>
      </c>
      <c r="CG14">
        <f>IF(CG$4=1,IF(OR(INDEX('×入力'!$A$1:$L$1300,119+CG$3,2+CG$2)&lt;&gt;"",INDEX('×入力'!$A$1:$L$1300,118,2+CG$2)&lt;&gt;"",INDEX('×入力'!$A$1:$L$1300,119+CG$3,1)&lt;&gt;""),1,0),0)</f>
        <v/>
      </c>
      <c r="CH14">
        <f>IF(CH$4=1,IF(OR(INDEX('×入力'!$A$1:$L$1300,119+CH$3,2+CH$2)&lt;&gt;"",INDEX('×入力'!$A$1:$L$1300,118,2+CH$2)&lt;&gt;"",INDEX('×入力'!$A$1:$L$1300,119+CH$3,1)&lt;&gt;""),1,0),0)</f>
        <v/>
      </c>
      <c r="CI14">
        <f>IF(CI$4=1,IF(OR(INDEX('×入力'!$A$1:$L$1300,119+CI$3,2+CI$2)&lt;&gt;"",INDEX('×入力'!$A$1:$L$1300,118,2+CI$2)&lt;&gt;"",INDEX('×入力'!$A$1:$L$1300,119+CI$3,1)&lt;&gt;""),1,0),0)</f>
        <v/>
      </c>
      <c r="CJ14">
        <f>IF(CJ$4=1,IF(OR(INDEX('×入力'!$A$1:$L$1300,119+CJ$3,2+CJ$2)&lt;&gt;"",INDEX('×入力'!$A$1:$L$1300,118,2+CJ$2)&lt;&gt;"",INDEX('×入力'!$A$1:$L$1300,119+CJ$3,1)&lt;&gt;""),1,0),0)</f>
        <v/>
      </c>
      <c r="CK14">
        <f>IF(CK$4=1,IF(OR(INDEX('×入力'!$A$1:$L$1300,119+CK$3,2+CK$2)&lt;&gt;"",INDEX('×入力'!$A$1:$L$1300,118,2+CK$2)&lt;&gt;"",INDEX('×入力'!$A$1:$L$1300,119+CK$3,1)&lt;&gt;""),1,0),0)</f>
        <v/>
      </c>
      <c r="CL14">
        <f>IF(CL$4=1,IF(OR(INDEX('×入力'!$A$1:$L$1300,119+CL$3,2+CL$2)&lt;&gt;"",INDEX('×入力'!$A$1:$L$1300,118,2+CL$2)&lt;&gt;"",INDEX('×入力'!$A$1:$L$1300,119+CL$3,1)&lt;&gt;""),1,0),0)</f>
        <v/>
      </c>
      <c r="CM14">
        <f>IF(CM$4=1,IF(OR(INDEX('×入力'!$A$1:$L$1300,119+CM$3,2+CM$2)&lt;&gt;"",INDEX('×入力'!$A$1:$L$1300,118,2+CM$2)&lt;&gt;"",INDEX('×入力'!$A$1:$L$1300,119+CM$3,1)&lt;&gt;""),1,0),0)</f>
        <v/>
      </c>
      <c r="CN14">
        <f>IF(CN$4=1,IF(OR(INDEX('×入力'!$A$1:$L$1300,119+CN$3,2+CN$2)&lt;&gt;"",INDEX('×入力'!$A$1:$L$1300,118,2+CN$2)&lt;&gt;"",INDEX('×入力'!$A$1:$L$1300,119+CN$3,1)&lt;&gt;""),1,0),0)</f>
        <v/>
      </c>
      <c r="CO14">
        <f>IF(CO$4=1,IF(OR(INDEX('×入力'!$A$1:$L$1300,119+CO$3,2+CO$2)&lt;&gt;"",INDEX('×入力'!$A$1:$L$1300,118,2+CO$2)&lt;&gt;"",INDEX('×入力'!$A$1:$L$1300,119+CO$3,1)&lt;&gt;""),1,0),0)</f>
        <v/>
      </c>
      <c r="CP14">
        <f>IF(CP$4=1,IF(OR(INDEX('×入力'!$A$1:$L$1300,119+CP$3,2+CP$2)&lt;&gt;"",INDEX('×入力'!$A$1:$L$1300,118,2+CP$2)&lt;&gt;"",INDEX('×入力'!$A$1:$L$1300,119+CP$3,1)&lt;&gt;""),1,0),0)</f>
        <v/>
      </c>
      <c r="CQ14">
        <f>IF(CQ$4=1,IF(OR(INDEX('×入力'!$A$1:$L$1300,119+CQ$3,2+CQ$2)&lt;&gt;"",INDEX('×入力'!$A$1:$L$1300,118,2+CQ$2)&lt;&gt;"",INDEX('×入力'!$A$1:$L$1300,119+CQ$3,1)&lt;&gt;""),1,0),0)</f>
        <v/>
      </c>
      <c r="CR14">
        <f>IF(CR$4=1,IF(OR(INDEX('×入力'!$A$1:$L$1300,119+CR$3,2+CR$2)&lt;&gt;"",INDEX('×入力'!$A$1:$L$1300,118,2+CR$2)&lt;&gt;"",INDEX('×入力'!$A$1:$L$1300,119+CR$3,1)&lt;&gt;""),1,0),0)</f>
        <v/>
      </c>
      <c r="CS14">
        <f>IF(CS$4=1,IF(OR(INDEX('×入力'!$A$1:$L$1300,119+CS$3,2+CS$2)&lt;&gt;"",INDEX('×入力'!$A$1:$L$1300,118,2+CS$2)&lt;&gt;"",INDEX('×入力'!$A$1:$L$1300,119+CS$3,1)&lt;&gt;""),1,0),0)</f>
        <v/>
      </c>
      <c r="CT14">
        <f>IF(CT$4=1,IF(OR(INDEX('×入力'!$A$1:$L$1300,119+CT$3,2+CT$2)&lt;&gt;"",INDEX('×入力'!$A$1:$L$1300,118,2+CT$2)&lt;&gt;"",INDEX('×入力'!$A$1:$L$1300,119+CT$3,1)&lt;&gt;""),1,0),0)</f>
        <v/>
      </c>
      <c r="CU14">
        <f>IF(CU$4=1,IF(OR(INDEX('×入力'!$A$1:$L$1300,119+CU$3,2+CU$2)&lt;&gt;"",INDEX('×入力'!$A$1:$L$1300,118,2+CU$2)&lt;&gt;"",INDEX('×入力'!$A$1:$L$1300,119+CU$3,1)&lt;&gt;""),1,0),0)</f>
        <v/>
      </c>
      <c r="CV14">
        <f>IF(CV$4=1,IF(OR(INDEX('×入力'!$A$1:$L$1300,119+CV$3,2+CV$2)&lt;&gt;"",INDEX('×入力'!$A$1:$L$1300,118,2+CV$2)&lt;&gt;"",INDEX('×入力'!$A$1:$L$1300,119+CV$3,1)&lt;&gt;""),1,0),0)</f>
        <v/>
      </c>
      <c r="CW14">
        <f>IF(CW$4=1,IF(OR(INDEX('×入力'!$A$1:$L$1300,119+CW$3,2+CW$2)&lt;&gt;"",INDEX('×入力'!$A$1:$L$1300,118,2+CW$2)&lt;&gt;"",INDEX('×入力'!$A$1:$L$1300,119+CW$3,1)&lt;&gt;""),1,0),0)</f>
        <v/>
      </c>
      <c r="CX14">
        <f>IF(CX$4=1,IF(OR(INDEX('×入力'!$A$1:$L$1300,119+CX$3,2+CX$2)&lt;&gt;"",INDEX('×入力'!$A$1:$L$1300,118,2+CX$2)&lt;&gt;"",INDEX('×入力'!$A$1:$L$1300,119+CX$3,1)&lt;&gt;""),1,0),0)</f>
        <v/>
      </c>
      <c r="CY14">
        <f>IF(CY$4=1,IF(OR(INDEX('×入力'!$A$1:$L$1300,119+CY$3,2+CY$2)&lt;&gt;"",INDEX('×入力'!$A$1:$L$1300,118,2+CY$2)&lt;&gt;"",INDEX('×入力'!$A$1:$L$1300,119+CY$3,1)&lt;&gt;""),1,0),0)</f>
        <v/>
      </c>
      <c r="CZ14">
        <f>IF(CZ$4=1,IF(OR(INDEX('×入力'!$A$1:$L$1300,119+CZ$3,2+CZ$2)&lt;&gt;"",INDEX('×入力'!$A$1:$L$1300,118,2+CZ$2)&lt;&gt;"",INDEX('×入力'!$A$1:$L$1300,119+CZ$3,1)&lt;&gt;""),1,0),0)</f>
        <v/>
      </c>
      <c r="DA14">
        <f>IF(DA$4=1,IF(OR(INDEX('×入力'!$A$1:$L$1300,119+DA$3,2+DA$2)&lt;&gt;"",INDEX('×入力'!$A$1:$L$1300,118,2+DA$2)&lt;&gt;"",INDEX('×入力'!$A$1:$L$1300,119+DA$3,1)&lt;&gt;""),1,0),0)</f>
        <v/>
      </c>
      <c r="DB14">
        <f>IF(DB$4=1,IF(OR(INDEX('×入力'!$A$1:$L$1300,119+DB$3,2+DB$2)&lt;&gt;"",INDEX('×入力'!$A$1:$L$1300,118,2+DB$2)&lt;&gt;"",INDEX('×入力'!$A$1:$L$1300,119+DB$3,1)&lt;&gt;""),1,0),0)</f>
        <v/>
      </c>
      <c r="DC14">
        <f>IF(DC$4=1,IF(OR(INDEX('×入力'!$A$1:$L$1300,119+DC$3,2+DC$2)&lt;&gt;"",INDEX('×入力'!$A$1:$L$1300,118,2+DC$2)&lt;&gt;"",INDEX('×入力'!$A$1:$L$1300,119+DC$3,1)&lt;&gt;""),1,0),0)</f>
        <v/>
      </c>
      <c r="DD14">
        <f>IF(DD$4=1,IF(OR(INDEX('×入力'!$A$1:$L$1300,119+DD$3,2+DD$2)&lt;&gt;"",INDEX('×入力'!$A$1:$L$1300,118,2+DD$2)&lt;&gt;"",INDEX('×入力'!$A$1:$L$1300,119+DD$3,1)&lt;&gt;""),1,0),0)</f>
        <v/>
      </c>
      <c r="DE14">
        <f>IF(DE$4=1,IF(OR(INDEX('×入力'!$A$1:$L$1300,119+DE$3,2+DE$2)&lt;&gt;"",INDEX('×入力'!$A$1:$L$1300,118,2+DE$2)&lt;&gt;"",INDEX('×入力'!$A$1:$L$1300,119+DE$3,1)&lt;&gt;""),1,0),0)</f>
        <v/>
      </c>
      <c r="DF14">
        <f>IF(DF$4=1,IF(OR(INDEX('×入力'!$A$1:$L$1300,119+DF$3,2+DF$2)&lt;&gt;"",INDEX('×入力'!$A$1:$L$1300,118,2+DF$2)&lt;&gt;"",INDEX('×入力'!$A$1:$L$1300,119+DF$3,1)&lt;&gt;""),1,0),0)</f>
        <v/>
      </c>
      <c r="DG14">
        <f>IF(DG$4=1,IF(OR(INDEX('×入力'!$A$1:$L$1300,119+DG$3,2+DG$2)&lt;&gt;"",INDEX('×入力'!$A$1:$L$1300,118,2+DG$2)&lt;&gt;"",INDEX('×入力'!$A$1:$L$1300,119+DG$3,1)&lt;&gt;""),1,0),0)</f>
        <v/>
      </c>
      <c r="DH14">
        <f>IF(DH$4=1,IF(OR(INDEX('×入力'!$A$1:$L$1300,119+DH$3,2+DH$2)&lt;&gt;"",INDEX('×入力'!$A$1:$L$1300,118,2+DH$2)&lt;&gt;"",INDEX('×入力'!$A$1:$L$1300,119+DH$3,1)&lt;&gt;""),1,0),0)</f>
        <v/>
      </c>
      <c r="DI14">
        <f>IF(DI$4=1,IF(OR(INDEX('×入力'!$A$1:$L$1300,119+DI$3,2+DI$2)&lt;&gt;"",INDEX('×入力'!$A$1:$L$1300,118,2+DI$2)&lt;&gt;"",INDEX('×入力'!$A$1:$L$1300,119+DI$3,1)&lt;&gt;""),1,0),0)</f>
        <v/>
      </c>
      <c r="DJ14">
        <f>IF(DJ$4=1,IF(OR(INDEX('×入力'!$A$1:$L$1300,119+DJ$3,2+DJ$2)&lt;&gt;"",INDEX('×入力'!$A$1:$L$1300,118,2+DJ$2)&lt;&gt;"",INDEX('×入力'!$A$1:$L$1300,119+DJ$3,1)&lt;&gt;""),1,0),0)</f>
        <v/>
      </c>
      <c r="DK14">
        <f>IF(DK$4=1,IF(OR(INDEX('×入力'!$A$1:$L$1300,119+DK$3,2+DK$2)&lt;&gt;"",INDEX('×入力'!$A$1:$L$1300,118,2+DK$2)&lt;&gt;"",INDEX('×入力'!$A$1:$L$1300,119+DK$3,1)&lt;&gt;""),1,0),0)</f>
        <v/>
      </c>
      <c r="DL14">
        <f>IF(DL$4=1,IF(OR(INDEX('×入力'!$A$1:$L$1300,119+DL$3,2+DL$2)&lt;&gt;"",INDEX('×入力'!$A$1:$L$1300,118,2+DL$2)&lt;&gt;"",INDEX('×入力'!$A$1:$L$1300,119+DL$3,1)&lt;&gt;""),1,0),0)</f>
        <v/>
      </c>
      <c r="DM14">
        <f>IF(DM$4=1,IF(OR(INDEX('×入力'!$A$1:$L$1300,119+DM$3,2+DM$2)&lt;&gt;"",INDEX('×入力'!$A$1:$L$1300,118,2+DM$2)&lt;&gt;"",INDEX('×入力'!$A$1:$L$1300,119+DM$3,1)&lt;&gt;""),1,0),0)</f>
        <v/>
      </c>
      <c r="DN14">
        <f>IF(DN$4=1,IF(OR(INDEX('×入力'!$A$1:$L$1300,119+DN$3,2+DN$2)&lt;&gt;"",INDEX('×入力'!$A$1:$L$1300,118,2+DN$2)&lt;&gt;"",INDEX('×入力'!$A$1:$L$1300,119+DN$3,1)&lt;&gt;""),1,0),0)</f>
        <v/>
      </c>
      <c r="DO14">
        <f>IF(DO$4=1,IF(OR(INDEX('×入力'!$A$1:$L$1300,119+DO$3,2+DO$2)&lt;&gt;"",INDEX('×入力'!$A$1:$L$1300,118,2+DO$2)&lt;&gt;"",INDEX('×入力'!$A$1:$L$1300,119+DO$3,1)&lt;&gt;""),1,0),0)</f>
        <v/>
      </c>
      <c r="DP14">
        <f>IF(DP$4=1,IF(OR(INDEX('×入力'!$A$1:$L$1300,119+DP$3,2+DP$2)&lt;&gt;"",INDEX('×入力'!$A$1:$L$1300,118,2+DP$2)&lt;&gt;"",INDEX('×入力'!$A$1:$L$1300,119+DP$3,1)&lt;&gt;""),1,0),0)</f>
        <v/>
      </c>
      <c r="DQ14">
        <f>IF(DQ$4=1,IF(OR(INDEX('×入力'!$A$1:$L$1300,119+DQ$3,2+DQ$2)&lt;&gt;"",INDEX('×入力'!$A$1:$L$1300,118,2+DQ$2)&lt;&gt;"",INDEX('×入力'!$A$1:$L$1300,119+DQ$3,1)&lt;&gt;""),1,0),0)</f>
        <v/>
      </c>
      <c r="DR14">
        <f>IF(DR$4=1,IF(OR(INDEX('×入力'!$A$1:$L$1300,119+DR$3,2+DR$2)&lt;&gt;"",INDEX('×入力'!$A$1:$L$1300,118,2+DR$2)&lt;&gt;"",INDEX('×入力'!$A$1:$L$1300,119+DR$3,1)&lt;&gt;""),1,0),0)</f>
        <v/>
      </c>
      <c r="DS14">
        <f>IF(DS$4=1,IF(OR(INDEX('×入力'!$A$1:$L$1300,119+DS$3,2+DS$2)&lt;&gt;"",INDEX('×入力'!$A$1:$L$1300,118,2+DS$2)&lt;&gt;"",INDEX('×入力'!$A$1:$L$1300,119+DS$3,1)&lt;&gt;""),1,0),0)</f>
        <v/>
      </c>
      <c r="DT14">
        <f>IF(DT$4=1,IF(OR(INDEX('×入力'!$A$1:$L$1300,119+DT$3,2+DT$2)&lt;&gt;"",INDEX('×入力'!$A$1:$L$1300,118,2+DT$2)&lt;&gt;"",INDEX('×入力'!$A$1:$L$1300,119+DT$3,1)&lt;&gt;""),1,0),0)</f>
        <v/>
      </c>
      <c r="DU14">
        <f>IF(DU$4=1,IF(OR(INDEX('×入力'!$A$1:$L$1300,119+DU$3,2+DU$2)&lt;&gt;"",INDEX('×入力'!$A$1:$L$1300,118,2+DU$2)&lt;&gt;"",INDEX('×入力'!$A$1:$L$1300,119+DU$3,1)&lt;&gt;""),1,0),0)</f>
        <v/>
      </c>
      <c r="DV14">
        <f>IF(DV$4=1,IF(OR(INDEX('×入力'!$A$1:$L$1300,119+DV$3,2+DV$2)&lt;&gt;"",INDEX('×入力'!$A$1:$L$1300,118,2+DV$2)&lt;&gt;"",INDEX('×入力'!$A$1:$L$1300,119+DV$3,1)&lt;&gt;""),1,0),0)</f>
        <v/>
      </c>
      <c r="DW14">
        <f>IF(DW$4=1,IF(OR(INDEX('×入力'!$A$1:$L$1300,119+DW$3,2+DW$2)&lt;&gt;"",INDEX('×入力'!$A$1:$L$1300,118,2+DW$2)&lt;&gt;"",INDEX('×入力'!$A$1:$L$1300,119+DW$3,1)&lt;&gt;""),1,0),0)</f>
        <v/>
      </c>
      <c r="DX14">
        <f>IF(DX$4=1,IF(OR(INDEX('×入力'!$A$1:$L$1300,119+DX$3,2+DX$2)&lt;&gt;"",INDEX('×入力'!$A$1:$L$1300,118,2+DX$2)&lt;&gt;"",INDEX('×入力'!$A$1:$L$1300,119+DX$3,1)&lt;&gt;""),1,0),0)</f>
        <v/>
      </c>
      <c r="DY14">
        <f>IF(DY$4=1,IF(OR(INDEX('×入力'!$A$1:$L$1300,119+DY$3,2+DY$2)&lt;&gt;"",INDEX('×入力'!$A$1:$L$1300,118,2+DY$2)&lt;&gt;"",INDEX('×入力'!$A$1:$L$1300,119+DY$3,1)&lt;&gt;""),1,0),0)</f>
        <v/>
      </c>
      <c r="DZ14">
        <f>IF(DZ$4=1,IF(OR(INDEX('×入力'!$A$1:$L$1300,119+DZ$3,2+DZ$2)&lt;&gt;"",INDEX('×入力'!$A$1:$L$1300,118,2+DZ$2)&lt;&gt;"",INDEX('×入力'!$A$1:$L$1300,119+DZ$3,1)&lt;&gt;""),1,0),0)</f>
        <v/>
      </c>
      <c r="EA14">
        <f>IF(EA$4=1,IF(OR(INDEX('×入力'!$A$1:$L$1300,119+EA$3,2+EA$2)&lt;&gt;"",INDEX('×入力'!$A$1:$L$1300,118,2+EA$2)&lt;&gt;"",INDEX('×入力'!$A$1:$L$1300,119+EA$3,1)&lt;&gt;""),1,0),0)</f>
        <v/>
      </c>
      <c r="EB14">
        <f>IF(EB$4=1,IF(OR(INDEX('×入力'!$A$1:$L$1300,119+EB$3,2+EB$2)&lt;&gt;"",INDEX('×入力'!$A$1:$L$1300,118,2+EB$2)&lt;&gt;"",INDEX('×入力'!$A$1:$L$1300,119+EB$3,1)&lt;&gt;""),1,0),0)</f>
        <v/>
      </c>
      <c r="EC14">
        <f>IF(EC$4=1,IF(OR(INDEX('×入力'!$A$1:$L$1300,119+EC$3,2+EC$2)&lt;&gt;"",INDEX('×入力'!$A$1:$L$1300,118,2+EC$2)&lt;&gt;"",INDEX('×入力'!$A$1:$L$1300,119+EC$3,1)&lt;&gt;""),1,0),0)</f>
        <v/>
      </c>
      <c r="ED14">
        <f>IF(ED$4=1,IF(OR(INDEX('×入力'!$A$1:$L$1300,119+ED$3,2+ED$2)&lt;&gt;"",INDEX('×入力'!$A$1:$L$1300,118,2+ED$2)&lt;&gt;"",INDEX('×入力'!$A$1:$L$1300,119+ED$3,1)&lt;&gt;""),1,0),0)</f>
        <v/>
      </c>
      <c r="EE14">
        <f>IF(EE$4=1,IF(OR(INDEX('×入力'!$A$1:$L$1300,119+EE$3,2+EE$2)&lt;&gt;"",INDEX('×入力'!$A$1:$L$1300,118,2+EE$2)&lt;&gt;"",INDEX('×入力'!$A$1:$L$1300,119+EE$3,1)&lt;&gt;""),1,0),0)</f>
        <v/>
      </c>
      <c r="EF14">
        <f>IF(EF$4=1,IF(OR(INDEX('×入力'!$A$1:$L$1300,119+EF$3,2+EF$2)&lt;&gt;"",INDEX('×入力'!$A$1:$L$1300,118,2+EF$2)&lt;&gt;"",INDEX('×入力'!$A$1:$L$1300,119+EF$3,1)&lt;&gt;""),1,0),0)</f>
        <v/>
      </c>
      <c r="EG14">
        <f>IF(EG$4=1,IF(OR(INDEX('×入力'!$A$1:$L$1300,119+EG$3,2+EG$2)&lt;&gt;"",INDEX('×入力'!$A$1:$L$1300,118,2+EG$2)&lt;&gt;"",INDEX('×入力'!$A$1:$L$1300,119+EG$3,1)&lt;&gt;""),1,0),0)</f>
        <v/>
      </c>
      <c r="EH14">
        <f>IF(EH$4=1,IF(OR(INDEX('×入力'!$A$1:$L$1300,119+EH$3,2+EH$2)&lt;&gt;"",INDEX('×入力'!$A$1:$L$1300,118,2+EH$2)&lt;&gt;"",INDEX('×入力'!$A$1:$L$1300,119+EH$3,1)&lt;&gt;""),1,0),0)</f>
        <v/>
      </c>
      <c r="EI14">
        <f>IF(EI$4=1,IF(OR(INDEX('×入力'!$A$1:$L$1300,119+EI$3,2+EI$2)&lt;&gt;"",INDEX('×入力'!$A$1:$L$1300,118,2+EI$2)&lt;&gt;"",INDEX('×入力'!$A$1:$L$1300,119+EI$3,1)&lt;&gt;""),1,0),0)</f>
        <v/>
      </c>
      <c r="EJ14">
        <f>IF(EJ$4=1,IF(OR(INDEX('×入力'!$A$1:$L$1300,119+EJ$3,2+EJ$2)&lt;&gt;"",INDEX('×入力'!$A$1:$L$1300,118,2+EJ$2)&lt;&gt;"",INDEX('×入力'!$A$1:$L$1300,119+EJ$3,1)&lt;&gt;""),1,0),0)</f>
        <v/>
      </c>
      <c r="EK14">
        <f>IF(EK$4=1,IF(OR(INDEX('×入力'!$A$1:$L$1300,119+EK$3,2+EK$2)&lt;&gt;"",INDEX('×入力'!$A$1:$L$1300,118,2+EK$2)&lt;&gt;"",INDEX('×入力'!$A$1:$L$1300,119+EK$3,1)&lt;&gt;""),1,0),0)</f>
        <v/>
      </c>
      <c r="EL14">
        <f>IF(EL$4=1,IF(OR(INDEX('×入力'!$A$1:$L$1300,119+EL$3,2+EL$2)&lt;&gt;"",INDEX('×入力'!$A$1:$L$1300,118,2+EL$2)&lt;&gt;"",INDEX('×入力'!$A$1:$L$1300,119+EL$3,1)&lt;&gt;""),1,0),0)</f>
        <v/>
      </c>
      <c r="EM14">
        <f>IF(EM$4=1,IF(OR(INDEX('×入力'!$A$1:$L$1300,119+EM$3,2+EM$2)&lt;&gt;"",INDEX('×入力'!$A$1:$L$1300,118,2+EM$2)&lt;&gt;"",INDEX('×入力'!$A$1:$L$1300,119+EM$3,1)&lt;&gt;""),1,0),0)</f>
        <v/>
      </c>
      <c r="EN14">
        <f>IF(EN$4=1,IF(OR(INDEX('×入力'!$A$1:$L$1300,119+EN$3,2+EN$2)&lt;&gt;"",INDEX('×入力'!$A$1:$L$1300,118,2+EN$2)&lt;&gt;"",INDEX('×入力'!$A$1:$L$1300,119+EN$3,1)&lt;&gt;""),1,0),0)</f>
        <v/>
      </c>
      <c r="EO14">
        <f>IF(EO$4=1,IF(OR(INDEX('×入力'!$A$1:$L$1300,119+EO$3,2+EO$2)&lt;&gt;"",INDEX('×入力'!$A$1:$L$1300,118,2+EO$2)&lt;&gt;"",INDEX('×入力'!$A$1:$L$1300,119+EO$3,1)&lt;&gt;""),1,0),0)</f>
        <v/>
      </c>
      <c r="EP14">
        <f>IF(EP$4=1,IF(OR(INDEX('×入力'!$A$1:$L$1300,119+EP$3,2+EP$2)&lt;&gt;"",INDEX('×入力'!$A$1:$L$1300,118,2+EP$2)&lt;&gt;"",INDEX('×入力'!$A$1:$L$1300,119+EP$3,1)&lt;&gt;""),1,0),0)</f>
        <v/>
      </c>
      <c r="EQ14">
        <f>IF(EQ$4=1,IF(OR(INDEX('×入力'!$A$1:$L$1300,119+EQ$3,2+EQ$2)&lt;&gt;"",INDEX('×入力'!$A$1:$L$1300,118,2+EQ$2)&lt;&gt;"",INDEX('×入力'!$A$1:$L$1300,119+EQ$3,1)&lt;&gt;""),1,0),0)</f>
        <v/>
      </c>
      <c r="HA14">
        <f>MAX(0,IT14)</f>
        <v/>
      </c>
      <c r="HB14">
        <f>IF(HA14=0,0,INDEX($D$2:$EQ$2,HA14))</f>
        <v/>
      </c>
      <c r="HC14">
        <f>IF(HA14=0,0,INDEX($D$3:$EQ$3,HA14))</f>
        <v/>
      </c>
      <c r="HD14">
        <f>MAX(0,IY14)</f>
        <v/>
      </c>
      <c r="HE14">
        <f>IF(HD14=0,0,INDEX($D$2:$EQ$2,HD14))</f>
        <v/>
      </c>
      <c r="HF14">
        <f>IF(HD14=0,0,INDEX($D$3:$EQ$3,HD14))</f>
        <v/>
      </c>
      <c r="HG14">
        <f>MAX(0,IZ14)</f>
        <v/>
      </c>
      <c r="HH14">
        <f>IF(HG14=0,0,INDEX($D$2:$EQ$2,HG14))</f>
        <v/>
      </c>
      <c r="HI14">
        <f>IF(HG14=0,0,INDEX($D$3:$EQ$3,HG14))</f>
        <v/>
      </c>
      <c r="HJ14">
        <f>IF(AND(HA14&gt;0,HC14&gt;1,OR(HC14-1&lt;&gt;$A$3,$A$4=0)),HA14-1,-1)</f>
        <v/>
      </c>
      <c r="HK14">
        <f>IF(AND(HA14&gt;0,HC14&lt;24,OR(HC14&lt;&gt;$A$3,$A$4=0)),HA14+1,-1)</f>
        <v/>
      </c>
      <c r="HL14">
        <f>IF(AND(HD14&gt;0,HF14&gt;1,OR(HF14-1&lt;&gt;$A$3,$A$4=0)),HD14-1,-1)</f>
        <v/>
      </c>
      <c r="HM14">
        <f>IF(AND(HD14&gt;0,HF14&lt;24,OR(HF14&lt;&gt;$A$3,$A$4=0)),HD14+1,-1)</f>
        <v/>
      </c>
      <c r="HN14">
        <f>IF(AND(HG14&gt;0,HI14&gt;1,OR(HI14-1&lt;&gt;$A$3,$A$4=0)),HG14-1,-1)</f>
        <v/>
      </c>
      <c r="HO14">
        <f>IF(AND(HG14&gt;0,HI14&lt;24,OR(HI14&lt;&gt;$A$3,$A$4=0)),HG14+1,-1)</f>
        <v/>
      </c>
      <c r="IK14">
        <f>IFERROR(INDEX('calcB'!$C$3:$C$47,MATCH(A14,'calcB'!$B$3:$B$47,0)),0)</f>
        <v/>
      </c>
      <c r="IL14">
        <f>IF(AND(C14=1,IK14=0,calcA!$A$6&gt;0),1,0)</f>
        <v/>
      </c>
      <c r="IM14">
        <f>SUMPRODUCT(D64:EQ64*(1-$D$7:$EQ$7))</f>
        <v/>
      </c>
      <c r="IN14">
        <f>SUM(D14:EQ14)</f>
        <v/>
      </c>
      <c r="IO14">
        <f>IF(B14="",0,IF(COUNTIF('調整・決定'!$C$6:$H$29,B14)=1,SUMPRODUCT(('調整・決定'!$C$6:$H$29=B14)*((COLUMN('調整・決定'!$C$6:$H$29)-3)*24+ROW('調整・決定'!$C$6:$H$29)-5)),0))</f>
        <v/>
      </c>
      <c r="IP14">
        <f>IFERROR(MATCH('名簿'!C9,{"早い時刻","遅い時刻","早い日","遅い日"},0),0)</f>
        <v/>
      </c>
      <c r="IQ14">
        <f>IF('名簿'!D9="必ず空けたい",2,IF('名簿'!D9="出来れば空けたい",1,0))</f>
        <v/>
      </c>
      <c r="IR14">
        <f>IFERROR(INDEX('calcC'!$C$3:$C$47,MATCH(A14,'calcC'!$B$3:$B$47,0)),0)</f>
        <v/>
      </c>
      <c r="IS14">
        <f>IF(AND(C14=1,IR14=0,calcA!$A$6&gt;0),1,0)</f>
        <v/>
      </c>
      <c r="IT14">
        <f>IF(OR('名簿'!G9="",'名簿'!H9=""),0,IFERROR((MATCH('名簿'!G9,'設定'!$E$11:$E$16,0)-1)*24+MATCH('名簿'!H9,'設定'!$I$11:$I$34,0),-1))</f>
        <v/>
      </c>
      <c r="IV14">
        <f>IF(OR(JF14=0,IO14=0),1,IF(OR(IF(IT14&gt;0,AND(INDEX($D$2:$EQ$2,IO14)=INDEX($D$2:$EQ$2,IT14),OR(AND(IO14=IT14+1,OR(INDEX($D$3:$EQ$3,IT14)&lt;&gt;$A$3,$A$4=0)),AND(IO14=IT14-1,OR(INDEX($D$3:$EQ$3,IO14)&lt;&gt;$A$3,$A$4=0)))),FALSE),IF(IY14&gt;0,AND(INDEX($D$2:$EQ$2,IO14)=INDEX($D$2:$EQ$2,IY14),OR(AND(IO14=IY14+1,OR(INDEX($D$3:$EQ$3,IY14)&lt;&gt;$A$3,$A$4=0)),AND(IO14=IY14-1,OR(INDEX($D$3:$EQ$3,IO14)&lt;&gt;$A$3,$A$4=0)))),FALSE),IF(IZ14&gt;0,AND(INDEX($D$2:$EQ$2,IO14)=INDEX($D$2:$EQ$2,IZ14),OR(AND(IO14=IZ14+1,OR(INDEX($D$3:$EQ$3,IZ14)&lt;&gt;$A$3,$A$4=0)),AND(IO14=IZ14-1,OR(INDEX($D$3:$EQ$3,IO14)&lt;&gt;$A$3,$A$4=0)))),FALSE)),1,0))</f>
        <v/>
      </c>
      <c r="IW14">
        <f>IF(AND('名簿'!E9&lt;&gt;"",JF14=0),1,0)</f>
        <v/>
      </c>
      <c r="IX14">
        <f>IF('名簿'!D9="空けない",1,0)</f>
        <v/>
      </c>
      <c r="IY14">
        <f>IF(OR('名簿'!J9="",'名簿'!K9=""),0,IFERROR((MATCH('名簿'!J9,'設定'!$E$11:$E$16,0)-1)*24+MATCH('名簿'!K9,'設定'!$I$11:$I$34,0),-1))</f>
        <v/>
      </c>
      <c r="IZ14">
        <f>IF(OR('名簿'!M9="",'名簿'!N9=""),0,IFERROR((MATCH('名簿'!M9,'設定'!$E$11:$E$16,0)-1)*24+MATCH('名簿'!N9,'設定'!$I$11:$I$34,0),-1))</f>
        <v/>
      </c>
      <c r="JC14">
        <f>IF(RIGHT('名簿'!I9,2)="の前",1,IF(RIGHT('名簿'!I9,2)="の後",2,0))</f>
        <v/>
      </c>
      <c r="JD14">
        <f>IF(RIGHT('名簿'!L9,2)="の前",1,IF(RIGHT('名簿'!L9,2)="の後",2,0))</f>
        <v/>
      </c>
      <c r="JE14">
        <f>IF(RIGHT('名簿'!O9,2)="の前",1,IF(RIGHT('名簿'!O9,2)="の後",2,0))</f>
        <v/>
      </c>
      <c r="JF14">
        <f>IF(OR(IT14&gt;0,IY14&gt;0,IZ14&gt;0),1,0)</f>
        <v/>
      </c>
      <c r="JG14">
        <f>IF(OR(IT14&lt;0,IY14&lt;0,IZ14&lt;0),1,0)</f>
        <v/>
      </c>
    </row>
    <row r="15">
      <c r="A15" t="n">
        <v>6</v>
      </c>
      <c r="B15">
        <f>'名簿'!P10</f>
        <v/>
      </c>
      <c r="C15">
        <f>IF(AND(B15&lt;&gt;"",OR('名簿'!Q10="入力済み",'名簿'!Q10="×なし"),IO15=0,COUNTIF('調整・決定'!$C$6:$H$29,B15)=0),1,0)</f>
        <v/>
      </c>
      <c r="D15">
        <f>IF(D$4=1,IF(OR(INDEX('×入力'!$A$1:$L$1300,147+D$3,2+D$2)&lt;&gt;"",INDEX('×入力'!$A$1:$L$1300,146,2+D$2)&lt;&gt;"",INDEX('×入力'!$A$1:$L$1300,147+D$3,1)&lt;&gt;""),1,0),0)</f>
        <v/>
      </c>
      <c r="E15">
        <f>IF(E$4=1,IF(OR(INDEX('×入力'!$A$1:$L$1300,147+E$3,2+E$2)&lt;&gt;"",INDEX('×入力'!$A$1:$L$1300,146,2+E$2)&lt;&gt;"",INDEX('×入力'!$A$1:$L$1300,147+E$3,1)&lt;&gt;""),1,0),0)</f>
        <v/>
      </c>
      <c r="F15">
        <f>IF(F$4=1,IF(OR(INDEX('×入力'!$A$1:$L$1300,147+F$3,2+F$2)&lt;&gt;"",INDEX('×入力'!$A$1:$L$1300,146,2+F$2)&lt;&gt;"",INDEX('×入力'!$A$1:$L$1300,147+F$3,1)&lt;&gt;""),1,0),0)</f>
        <v/>
      </c>
      <c r="G15">
        <f>IF(G$4=1,IF(OR(INDEX('×入力'!$A$1:$L$1300,147+G$3,2+G$2)&lt;&gt;"",INDEX('×入力'!$A$1:$L$1300,146,2+G$2)&lt;&gt;"",INDEX('×入力'!$A$1:$L$1300,147+G$3,1)&lt;&gt;""),1,0),0)</f>
        <v/>
      </c>
      <c r="H15">
        <f>IF(H$4=1,IF(OR(INDEX('×入力'!$A$1:$L$1300,147+H$3,2+H$2)&lt;&gt;"",INDEX('×入力'!$A$1:$L$1300,146,2+H$2)&lt;&gt;"",INDEX('×入力'!$A$1:$L$1300,147+H$3,1)&lt;&gt;""),1,0),0)</f>
        <v/>
      </c>
      <c r="I15">
        <f>IF(I$4=1,IF(OR(INDEX('×入力'!$A$1:$L$1300,147+I$3,2+I$2)&lt;&gt;"",INDEX('×入力'!$A$1:$L$1300,146,2+I$2)&lt;&gt;"",INDEX('×入力'!$A$1:$L$1300,147+I$3,1)&lt;&gt;""),1,0),0)</f>
        <v/>
      </c>
      <c r="J15">
        <f>IF(J$4=1,IF(OR(INDEX('×入力'!$A$1:$L$1300,147+J$3,2+J$2)&lt;&gt;"",INDEX('×入力'!$A$1:$L$1300,146,2+J$2)&lt;&gt;"",INDEX('×入力'!$A$1:$L$1300,147+J$3,1)&lt;&gt;""),1,0),0)</f>
        <v/>
      </c>
      <c r="K15">
        <f>IF(K$4=1,IF(OR(INDEX('×入力'!$A$1:$L$1300,147+K$3,2+K$2)&lt;&gt;"",INDEX('×入力'!$A$1:$L$1300,146,2+K$2)&lt;&gt;"",INDEX('×入力'!$A$1:$L$1300,147+K$3,1)&lt;&gt;""),1,0),0)</f>
        <v/>
      </c>
      <c r="L15">
        <f>IF(L$4=1,IF(OR(INDEX('×入力'!$A$1:$L$1300,147+L$3,2+L$2)&lt;&gt;"",INDEX('×入力'!$A$1:$L$1300,146,2+L$2)&lt;&gt;"",INDEX('×入力'!$A$1:$L$1300,147+L$3,1)&lt;&gt;""),1,0),0)</f>
        <v/>
      </c>
      <c r="M15">
        <f>IF(M$4=1,IF(OR(INDEX('×入力'!$A$1:$L$1300,147+M$3,2+M$2)&lt;&gt;"",INDEX('×入力'!$A$1:$L$1300,146,2+M$2)&lt;&gt;"",INDEX('×入力'!$A$1:$L$1300,147+M$3,1)&lt;&gt;""),1,0),0)</f>
        <v/>
      </c>
      <c r="N15">
        <f>IF(N$4=1,IF(OR(INDEX('×入力'!$A$1:$L$1300,147+N$3,2+N$2)&lt;&gt;"",INDEX('×入力'!$A$1:$L$1300,146,2+N$2)&lt;&gt;"",INDEX('×入力'!$A$1:$L$1300,147+N$3,1)&lt;&gt;""),1,0),0)</f>
        <v/>
      </c>
      <c r="O15">
        <f>IF(O$4=1,IF(OR(INDEX('×入力'!$A$1:$L$1300,147+O$3,2+O$2)&lt;&gt;"",INDEX('×入力'!$A$1:$L$1300,146,2+O$2)&lt;&gt;"",INDEX('×入力'!$A$1:$L$1300,147+O$3,1)&lt;&gt;""),1,0),0)</f>
        <v/>
      </c>
      <c r="P15">
        <f>IF(P$4=1,IF(OR(INDEX('×入力'!$A$1:$L$1300,147+P$3,2+P$2)&lt;&gt;"",INDEX('×入力'!$A$1:$L$1300,146,2+P$2)&lt;&gt;"",INDEX('×入力'!$A$1:$L$1300,147+P$3,1)&lt;&gt;""),1,0),0)</f>
        <v/>
      </c>
      <c r="Q15">
        <f>IF(Q$4=1,IF(OR(INDEX('×入力'!$A$1:$L$1300,147+Q$3,2+Q$2)&lt;&gt;"",INDEX('×入力'!$A$1:$L$1300,146,2+Q$2)&lt;&gt;"",INDEX('×入力'!$A$1:$L$1300,147+Q$3,1)&lt;&gt;""),1,0),0)</f>
        <v/>
      </c>
      <c r="R15">
        <f>IF(R$4=1,IF(OR(INDEX('×入力'!$A$1:$L$1300,147+R$3,2+R$2)&lt;&gt;"",INDEX('×入力'!$A$1:$L$1300,146,2+R$2)&lt;&gt;"",INDEX('×入力'!$A$1:$L$1300,147+R$3,1)&lt;&gt;""),1,0),0)</f>
        <v/>
      </c>
      <c r="S15">
        <f>IF(S$4=1,IF(OR(INDEX('×入力'!$A$1:$L$1300,147+S$3,2+S$2)&lt;&gt;"",INDEX('×入力'!$A$1:$L$1300,146,2+S$2)&lt;&gt;"",INDEX('×入力'!$A$1:$L$1300,147+S$3,1)&lt;&gt;""),1,0),0)</f>
        <v/>
      </c>
      <c r="T15">
        <f>IF(T$4=1,IF(OR(INDEX('×入力'!$A$1:$L$1300,147+T$3,2+T$2)&lt;&gt;"",INDEX('×入力'!$A$1:$L$1300,146,2+T$2)&lt;&gt;"",INDEX('×入力'!$A$1:$L$1300,147+T$3,1)&lt;&gt;""),1,0),0)</f>
        <v/>
      </c>
      <c r="U15">
        <f>IF(U$4=1,IF(OR(INDEX('×入力'!$A$1:$L$1300,147+U$3,2+U$2)&lt;&gt;"",INDEX('×入力'!$A$1:$L$1300,146,2+U$2)&lt;&gt;"",INDEX('×入力'!$A$1:$L$1300,147+U$3,1)&lt;&gt;""),1,0),0)</f>
        <v/>
      </c>
      <c r="V15">
        <f>IF(V$4=1,IF(OR(INDEX('×入力'!$A$1:$L$1300,147+V$3,2+V$2)&lt;&gt;"",INDEX('×入力'!$A$1:$L$1300,146,2+V$2)&lt;&gt;"",INDEX('×入力'!$A$1:$L$1300,147+V$3,1)&lt;&gt;""),1,0),0)</f>
        <v/>
      </c>
      <c r="W15">
        <f>IF(W$4=1,IF(OR(INDEX('×入力'!$A$1:$L$1300,147+W$3,2+W$2)&lt;&gt;"",INDEX('×入力'!$A$1:$L$1300,146,2+W$2)&lt;&gt;"",INDEX('×入力'!$A$1:$L$1300,147+W$3,1)&lt;&gt;""),1,0),0)</f>
        <v/>
      </c>
      <c r="X15">
        <f>IF(X$4=1,IF(OR(INDEX('×入力'!$A$1:$L$1300,147+X$3,2+X$2)&lt;&gt;"",INDEX('×入力'!$A$1:$L$1300,146,2+X$2)&lt;&gt;"",INDEX('×入力'!$A$1:$L$1300,147+X$3,1)&lt;&gt;""),1,0),0)</f>
        <v/>
      </c>
      <c r="Y15">
        <f>IF(Y$4=1,IF(OR(INDEX('×入力'!$A$1:$L$1300,147+Y$3,2+Y$2)&lt;&gt;"",INDEX('×入力'!$A$1:$L$1300,146,2+Y$2)&lt;&gt;"",INDEX('×入力'!$A$1:$L$1300,147+Y$3,1)&lt;&gt;""),1,0),0)</f>
        <v/>
      </c>
      <c r="Z15">
        <f>IF(Z$4=1,IF(OR(INDEX('×入力'!$A$1:$L$1300,147+Z$3,2+Z$2)&lt;&gt;"",INDEX('×入力'!$A$1:$L$1300,146,2+Z$2)&lt;&gt;"",INDEX('×入力'!$A$1:$L$1300,147+Z$3,1)&lt;&gt;""),1,0),0)</f>
        <v/>
      </c>
      <c r="AA15">
        <f>IF(AA$4=1,IF(OR(INDEX('×入力'!$A$1:$L$1300,147+AA$3,2+AA$2)&lt;&gt;"",INDEX('×入力'!$A$1:$L$1300,146,2+AA$2)&lt;&gt;"",INDEX('×入力'!$A$1:$L$1300,147+AA$3,1)&lt;&gt;""),1,0),0)</f>
        <v/>
      </c>
      <c r="AB15">
        <f>IF(AB$4=1,IF(OR(INDEX('×入力'!$A$1:$L$1300,147+AB$3,2+AB$2)&lt;&gt;"",INDEX('×入力'!$A$1:$L$1300,146,2+AB$2)&lt;&gt;"",INDEX('×入力'!$A$1:$L$1300,147+AB$3,1)&lt;&gt;""),1,0),0)</f>
        <v/>
      </c>
      <c r="AC15">
        <f>IF(AC$4=1,IF(OR(INDEX('×入力'!$A$1:$L$1300,147+AC$3,2+AC$2)&lt;&gt;"",INDEX('×入力'!$A$1:$L$1300,146,2+AC$2)&lt;&gt;"",INDEX('×入力'!$A$1:$L$1300,147+AC$3,1)&lt;&gt;""),1,0),0)</f>
        <v/>
      </c>
      <c r="AD15">
        <f>IF(AD$4=1,IF(OR(INDEX('×入力'!$A$1:$L$1300,147+AD$3,2+AD$2)&lt;&gt;"",INDEX('×入力'!$A$1:$L$1300,146,2+AD$2)&lt;&gt;"",INDEX('×入力'!$A$1:$L$1300,147+AD$3,1)&lt;&gt;""),1,0),0)</f>
        <v/>
      </c>
      <c r="AE15">
        <f>IF(AE$4=1,IF(OR(INDEX('×入力'!$A$1:$L$1300,147+AE$3,2+AE$2)&lt;&gt;"",INDEX('×入力'!$A$1:$L$1300,146,2+AE$2)&lt;&gt;"",INDEX('×入力'!$A$1:$L$1300,147+AE$3,1)&lt;&gt;""),1,0),0)</f>
        <v/>
      </c>
      <c r="AF15">
        <f>IF(AF$4=1,IF(OR(INDEX('×入力'!$A$1:$L$1300,147+AF$3,2+AF$2)&lt;&gt;"",INDEX('×入力'!$A$1:$L$1300,146,2+AF$2)&lt;&gt;"",INDEX('×入力'!$A$1:$L$1300,147+AF$3,1)&lt;&gt;""),1,0),0)</f>
        <v/>
      </c>
      <c r="AG15">
        <f>IF(AG$4=1,IF(OR(INDEX('×入力'!$A$1:$L$1300,147+AG$3,2+AG$2)&lt;&gt;"",INDEX('×入力'!$A$1:$L$1300,146,2+AG$2)&lt;&gt;"",INDEX('×入力'!$A$1:$L$1300,147+AG$3,1)&lt;&gt;""),1,0),0)</f>
        <v/>
      </c>
      <c r="AH15">
        <f>IF(AH$4=1,IF(OR(INDEX('×入力'!$A$1:$L$1300,147+AH$3,2+AH$2)&lt;&gt;"",INDEX('×入力'!$A$1:$L$1300,146,2+AH$2)&lt;&gt;"",INDEX('×入力'!$A$1:$L$1300,147+AH$3,1)&lt;&gt;""),1,0),0)</f>
        <v/>
      </c>
      <c r="AI15">
        <f>IF(AI$4=1,IF(OR(INDEX('×入力'!$A$1:$L$1300,147+AI$3,2+AI$2)&lt;&gt;"",INDEX('×入力'!$A$1:$L$1300,146,2+AI$2)&lt;&gt;"",INDEX('×入力'!$A$1:$L$1300,147+AI$3,1)&lt;&gt;""),1,0),0)</f>
        <v/>
      </c>
      <c r="AJ15">
        <f>IF(AJ$4=1,IF(OR(INDEX('×入力'!$A$1:$L$1300,147+AJ$3,2+AJ$2)&lt;&gt;"",INDEX('×入力'!$A$1:$L$1300,146,2+AJ$2)&lt;&gt;"",INDEX('×入力'!$A$1:$L$1300,147+AJ$3,1)&lt;&gt;""),1,0),0)</f>
        <v/>
      </c>
      <c r="AK15">
        <f>IF(AK$4=1,IF(OR(INDEX('×入力'!$A$1:$L$1300,147+AK$3,2+AK$2)&lt;&gt;"",INDEX('×入力'!$A$1:$L$1300,146,2+AK$2)&lt;&gt;"",INDEX('×入力'!$A$1:$L$1300,147+AK$3,1)&lt;&gt;""),1,0),0)</f>
        <v/>
      </c>
      <c r="AL15">
        <f>IF(AL$4=1,IF(OR(INDEX('×入力'!$A$1:$L$1300,147+AL$3,2+AL$2)&lt;&gt;"",INDEX('×入力'!$A$1:$L$1300,146,2+AL$2)&lt;&gt;"",INDEX('×入力'!$A$1:$L$1300,147+AL$3,1)&lt;&gt;""),1,0),0)</f>
        <v/>
      </c>
      <c r="AM15">
        <f>IF(AM$4=1,IF(OR(INDEX('×入力'!$A$1:$L$1300,147+AM$3,2+AM$2)&lt;&gt;"",INDEX('×入力'!$A$1:$L$1300,146,2+AM$2)&lt;&gt;"",INDEX('×入力'!$A$1:$L$1300,147+AM$3,1)&lt;&gt;""),1,0),0)</f>
        <v/>
      </c>
      <c r="AN15">
        <f>IF(AN$4=1,IF(OR(INDEX('×入力'!$A$1:$L$1300,147+AN$3,2+AN$2)&lt;&gt;"",INDEX('×入力'!$A$1:$L$1300,146,2+AN$2)&lt;&gt;"",INDEX('×入力'!$A$1:$L$1300,147+AN$3,1)&lt;&gt;""),1,0),0)</f>
        <v/>
      </c>
      <c r="AO15">
        <f>IF(AO$4=1,IF(OR(INDEX('×入力'!$A$1:$L$1300,147+AO$3,2+AO$2)&lt;&gt;"",INDEX('×入力'!$A$1:$L$1300,146,2+AO$2)&lt;&gt;"",INDEX('×入力'!$A$1:$L$1300,147+AO$3,1)&lt;&gt;""),1,0),0)</f>
        <v/>
      </c>
      <c r="AP15">
        <f>IF(AP$4=1,IF(OR(INDEX('×入力'!$A$1:$L$1300,147+AP$3,2+AP$2)&lt;&gt;"",INDEX('×入力'!$A$1:$L$1300,146,2+AP$2)&lt;&gt;"",INDEX('×入力'!$A$1:$L$1300,147+AP$3,1)&lt;&gt;""),1,0),0)</f>
        <v/>
      </c>
      <c r="AQ15">
        <f>IF(AQ$4=1,IF(OR(INDEX('×入力'!$A$1:$L$1300,147+AQ$3,2+AQ$2)&lt;&gt;"",INDEX('×入力'!$A$1:$L$1300,146,2+AQ$2)&lt;&gt;"",INDEX('×入力'!$A$1:$L$1300,147+AQ$3,1)&lt;&gt;""),1,0),0)</f>
        <v/>
      </c>
      <c r="AR15">
        <f>IF(AR$4=1,IF(OR(INDEX('×入力'!$A$1:$L$1300,147+AR$3,2+AR$2)&lt;&gt;"",INDEX('×入力'!$A$1:$L$1300,146,2+AR$2)&lt;&gt;"",INDEX('×入力'!$A$1:$L$1300,147+AR$3,1)&lt;&gt;""),1,0),0)</f>
        <v/>
      </c>
      <c r="AS15">
        <f>IF(AS$4=1,IF(OR(INDEX('×入力'!$A$1:$L$1300,147+AS$3,2+AS$2)&lt;&gt;"",INDEX('×入力'!$A$1:$L$1300,146,2+AS$2)&lt;&gt;"",INDEX('×入力'!$A$1:$L$1300,147+AS$3,1)&lt;&gt;""),1,0),0)</f>
        <v/>
      </c>
      <c r="AT15">
        <f>IF(AT$4=1,IF(OR(INDEX('×入力'!$A$1:$L$1300,147+AT$3,2+AT$2)&lt;&gt;"",INDEX('×入力'!$A$1:$L$1300,146,2+AT$2)&lt;&gt;"",INDEX('×入力'!$A$1:$L$1300,147+AT$3,1)&lt;&gt;""),1,0),0)</f>
        <v/>
      </c>
      <c r="AU15">
        <f>IF(AU$4=1,IF(OR(INDEX('×入力'!$A$1:$L$1300,147+AU$3,2+AU$2)&lt;&gt;"",INDEX('×入力'!$A$1:$L$1300,146,2+AU$2)&lt;&gt;"",INDEX('×入力'!$A$1:$L$1300,147+AU$3,1)&lt;&gt;""),1,0),0)</f>
        <v/>
      </c>
      <c r="AV15">
        <f>IF(AV$4=1,IF(OR(INDEX('×入力'!$A$1:$L$1300,147+AV$3,2+AV$2)&lt;&gt;"",INDEX('×入力'!$A$1:$L$1300,146,2+AV$2)&lt;&gt;"",INDEX('×入力'!$A$1:$L$1300,147+AV$3,1)&lt;&gt;""),1,0),0)</f>
        <v/>
      </c>
      <c r="AW15">
        <f>IF(AW$4=1,IF(OR(INDEX('×入力'!$A$1:$L$1300,147+AW$3,2+AW$2)&lt;&gt;"",INDEX('×入力'!$A$1:$L$1300,146,2+AW$2)&lt;&gt;"",INDEX('×入力'!$A$1:$L$1300,147+AW$3,1)&lt;&gt;""),1,0),0)</f>
        <v/>
      </c>
      <c r="AX15">
        <f>IF(AX$4=1,IF(OR(INDEX('×入力'!$A$1:$L$1300,147+AX$3,2+AX$2)&lt;&gt;"",INDEX('×入力'!$A$1:$L$1300,146,2+AX$2)&lt;&gt;"",INDEX('×入力'!$A$1:$L$1300,147+AX$3,1)&lt;&gt;""),1,0),0)</f>
        <v/>
      </c>
      <c r="AY15">
        <f>IF(AY$4=1,IF(OR(INDEX('×入力'!$A$1:$L$1300,147+AY$3,2+AY$2)&lt;&gt;"",INDEX('×入力'!$A$1:$L$1300,146,2+AY$2)&lt;&gt;"",INDEX('×入力'!$A$1:$L$1300,147+AY$3,1)&lt;&gt;""),1,0),0)</f>
        <v/>
      </c>
      <c r="AZ15">
        <f>IF(AZ$4=1,IF(OR(INDEX('×入力'!$A$1:$L$1300,147+AZ$3,2+AZ$2)&lt;&gt;"",INDEX('×入力'!$A$1:$L$1300,146,2+AZ$2)&lt;&gt;"",INDEX('×入力'!$A$1:$L$1300,147+AZ$3,1)&lt;&gt;""),1,0),0)</f>
        <v/>
      </c>
      <c r="BA15">
        <f>IF(BA$4=1,IF(OR(INDEX('×入力'!$A$1:$L$1300,147+BA$3,2+BA$2)&lt;&gt;"",INDEX('×入力'!$A$1:$L$1300,146,2+BA$2)&lt;&gt;"",INDEX('×入力'!$A$1:$L$1300,147+BA$3,1)&lt;&gt;""),1,0),0)</f>
        <v/>
      </c>
      <c r="BB15">
        <f>IF(BB$4=1,IF(OR(INDEX('×入力'!$A$1:$L$1300,147+BB$3,2+BB$2)&lt;&gt;"",INDEX('×入力'!$A$1:$L$1300,146,2+BB$2)&lt;&gt;"",INDEX('×入力'!$A$1:$L$1300,147+BB$3,1)&lt;&gt;""),1,0),0)</f>
        <v/>
      </c>
      <c r="BC15">
        <f>IF(BC$4=1,IF(OR(INDEX('×入力'!$A$1:$L$1300,147+BC$3,2+BC$2)&lt;&gt;"",INDEX('×入力'!$A$1:$L$1300,146,2+BC$2)&lt;&gt;"",INDEX('×入力'!$A$1:$L$1300,147+BC$3,1)&lt;&gt;""),1,0),0)</f>
        <v/>
      </c>
      <c r="BD15">
        <f>IF(BD$4=1,IF(OR(INDEX('×入力'!$A$1:$L$1300,147+BD$3,2+BD$2)&lt;&gt;"",INDEX('×入力'!$A$1:$L$1300,146,2+BD$2)&lt;&gt;"",INDEX('×入力'!$A$1:$L$1300,147+BD$3,1)&lt;&gt;""),1,0),0)</f>
        <v/>
      </c>
      <c r="BE15">
        <f>IF(BE$4=1,IF(OR(INDEX('×入力'!$A$1:$L$1300,147+BE$3,2+BE$2)&lt;&gt;"",INDEX('×入力'!$A$1:$L$1300,146,2+BE$2)&lt;&gt;"",INDEX('×入力'!$A$1:$L$1300,147+BE$3,1)&lt;&gt;""),1,0),0)</f>
        <v/>
      </c>
      <c r="BF15">
        <f>IF(BF$4=1,IF(OR(INDEX('×入力'!$A$1:$L$1300,147+BF$3,2+BF$2)&lt;&gt;"",INDEX('×入力'!$A$1:$L$1300,146,2+BF$2)&lt;&gt;"",INDEX('×入力'!$A$1:$L$1300,147+BF$3,1)&lt;&gt;""),1,0),0)</f>
        <v/>
      </c>
      <c r="BG15">
        <f>IF(BG$4=1,IF(OR(INDEX('×入力'!$A$1:$L$1300,147+BG$3,2+BG$2)&lt;&gt;"",INDEX('×入力'!$A$1:$L$1300,146,2+BG$2)&lt;&gt;"",INDEX('×入力'!$A$1:$L$1300,147+BG$3,1)&lt;&gt;""),1,0),0)</f>
        <v/>
      </c>
      <c r="BH15">
        <f>IF(BH$4=1,IF(OR(INDEX('×入力'!$A$1:$L$1300,147+BH$3,2+BH$2)&lt;&gt;"",INDEX('×入力'!$A$1:$L$1300,146,2+BH$2)&lt;&gt;"",INDEX('×入力'!$A$1:$L$1300,147+BH$3,1)&lt;&gt;""),1,0),0)</f>
        <v/>
      </c>
      <c r="BI15">
        <f>IF(BI$4=1,IF(OR(INDEX('×入力'!$A$1:$L$1300,147+BI$3,2+BI$2)&lt;&gt;"",INDEX('×入力'!$A$1:$L$1300,146,2+BI$2)&lt;&gt;"",INDEX('×入力'!$A$1:$L$1300,147+BI$3,1)&lt;&gt;""),1,0),0)</f>
        <v/>
      </c>
      <c r="BJ15">
        <f>IF(BJ$4=1,IF(OR(INDEX('×入力'!$A$1:$L$1300,147+BJ$3,2+BJ$2)&lt;&gt;"",INDEX('×入力'!$A$1:$L$1300,146,2+BJ$2)&lt;&gt;"",INDEX('×入力'!$A$1:$L$1300,147+BJ$3,1)&lt;&gt;""),1,0),0)</f>
        <v/>
      </c>
      <c r="BK15">
        <f>IF(BK$4=1,IF(OR(INDEX('×入力'!$A$1:$L$1300,147+BK$3,2+BK$2)&lt;&gt;"",INDEX('×入力'!$A$1:$L$1300,146,2+BK$2)&lt;&gt;"",INDEX('×入力'!$A$1:$L$1300,147+BK$3,1)&lt;&gt;""),1,0),0)</f>
        <v/>
      </c>
      <c r="BL15">
        <f>IF(BL$4=1,IF(OR(INDEX('×入力'!$A$1:$L$1300,147+BL$3,2+BL$2)&lt;&gt;"",INDEX('×入力'!$A$1:$L$1300,146,2+BL$2)&lt;&gt;"",INDEX('×入力'!$A$1:$L$1300,147+BL$3,1)&lt;&gt;""),1,0),0)</f>
        <v/>
      </c>
      <c r="BM15">
        <f>IF(BM$4=1,IF(OR(INDEX('×入力'!$A$1:$L$1300,147+BM$3,2+BM$2)&lt;&gt;"",INDEX('×入力'!$A$1:$L$1300,146,2+BM$2)&lt;&gt;"",INDEX('×入力'!$A$1:$L$1300,147+BM$3,1)&lt;&gt;""),1,0),0)</f>
        <v/>
      </c>
      <c r="BN15">
        <f>IF(BN$4=1,IF(OR(INDEX('×入力'!$A$1:$L$1300,147+BN$3,2+BN$2)&lt;&gt;"",INDEX('×入力'!$A$1:$L$1300,146,2+BN$2)&lt;&gt;"",INDEX('×入力'!$A$1:$L$1300,147+BN$3,1)&lt;&gt;""),1,0),0)</f>
        <v/>
      </c>
      <c r="BO15">
        <f>IF(BO$4=1,IF(OR(INDEX('×入力'!$A$1:$L$1300,147+BO$3,2+BO$2)&lt;&gt;"",INDEX('×入力'!$A$1:$L$1300,146,2+BO$2)&lt;&gt;"",INDEX('×入力'!$A$1:$L$1300,147+BO$3,1)&lt;&gt;""),1,0),0)</f>
        <v/>
      </c>
      <c r="BP15">
        <f>IF(BP$4=1,IF(OR(INDEX('×入力'!$A$1:$L$1300,147+BP$3,2+BP$2)&lt;&gt;"",INDEX('×入力'!$A$1:$L$1300,146,2+BP$2)&lt;&gt;"",INDEX('×入力'!$A$1:$L$1300,147+BP$3,1)&lt;&gt;""),1,0),0)</f>
        <v/>
      </c>
      <c r="BQ15">
        <f>IF(BQ$4=1,IF(OR(INDEX('×入力'!$A$1:$L$1300,147+BQ$3,2+BQ$2)&lt;&gt;"",INDEX('×入力'!$A$1:$L$1300,146,2+BQ$2)&lt;&gt;"",INDEX('×入力'!$A$1:$L$1300,147+BQ$3,1)&lt;&gt;""),1,0),0)</f>
        <v/>
      </c>
      <c r="BR15">
        <f>IF(BR$4=1,IF(OR(INDEX('×入力'!$A$1:$L$1300,147+BR$3,2+BR$2)&lt;&gt;"",INDEX('×入力'!$A$1:$L$1300,146,2+BR$2)&lt;&gt;"",INDEX('×入力'!$A$1:$L$1300,147+BR$3,1)&lt;&gt;""),1,0),0)</f>
        <v/>
      </c>
      <c r="BS15">
        <f>IF(BS$4=1,IF(OR(INDEX('×入力'!$A$1:$L$1300,147+BS$3,2+BS$2)&lt;&gt;"",INDEX('×入力'!$A$1:$L$1300,146,2+BS$2)&lt;&gt;"",INDEX('×入力'!$A$1:$L$1300,147+BS$3,1)&lt;&gt;""),1,0),0)</f>
        <v/>
      </c>
      <c r="BT15">
        <f>IF(BT$4=1,IF(OR(INDEX('×入力'!$A$1:$L$1300,147+BT$3,2+BT$2)&lt;&gt;"",INDEX('×入力'!$A$1:$L$1300,146,2+BT$2)&lt;&gt;"",INDEX('×入力'!$A$1:$L$1300,147+BT$3,1)&lt;&gt;""),1,0),0)</f>
        <v/>
      </c>
      <c r="BU15">
        <f>IF(BU$4=1,IF(OR(INDEX('×入力'!$A$1:$L$1300,147+BU$3,2+BU$2)&lt;&gt;"",INDEX('×入力'!$A$1:$L$1300,146,2+BU$2)&lt;&gt;"",INDEX('×入力'!$A$1:$L$1300,147+BU$3,1)&lt;&gt;""),1,0),0)</f>
        <v/>
      </c>
      <c r="BV15">
        <f>IF(BV$4=1,IF(OR(INDEX('×入力'!$A$1:$L$1300,147+BV$3,2+BV$2)&lt;&gt;"",INDEX('×入力'!$A$1:$L$1300,146,2+BV$2)&lt;&gt;"",INDEX('×入力'!$A$1:$L$1300,147+BV$3,1)&lt;&gt;""),1,0),0)</f>
        <v/>
      </c>
      <c r="BW15">
        <f>IF(BW$4=1,IF(OR(INDEX('×入力'!$A$1:$L$1300,147+BW$3,2+BW$2)&lt;&gt;"",INDEX('×入力'!$A$1:$L$1300,146,2+BW$2)&lt;&gt;"",INDEX('×入力'!$A$1:$L$1300,147+BW$3,1)&lt;&gt;""),1,0),0)</f>
        <v/>
      </c>
      <c r="BX15">
        <f>IF(BX$4=1,IF(OR(INDEX('×入力'!$A$1:$L$1300,147+BX$3,2+BX$2)&lt;&gt;"",INDEX('×入力'!$A$1:$L$1300,146,2+BX$2)&lt;&gt;"",INDEX('×入力'!$A$1:$L$1300,147+BX$3,1)&lt;&gt;""),1,0),0)</f>
        <v/>
      </c>
      <c r="BY15">
        <f>IF(BY$4=1,IF(OR(INDEX('×入力'!$A$1:$L$1300,147+BY$3,2+BY$2)&lt;&gt;"",INDEX('×入力'!$A$1:$L$1300,146,2+BY$2)&lt;&gt;"",INDEX('×入力'!$A$1:$L$1300,147+BY$3,1)&lt;&gt;""),1,0),0)</f>
        <v/>
      </c>
      <c r="BZ15">
        <f>IF(BZ$4=1,IF(OR(INDEX('×入力'!$A$1:$L$1300,147+BZ$3,2+BZ$2)&lt;&gt;"",INDEX('×入力'!$A$1:$L$1300,146,2+BZ$2)&lt;&gt;"",INDEX('×入力'!$A$1:$L$1300,147+BZ$3,1)&lt;&gt;""),1,0),0)</f>
        <v/>
      </c>
      <c r="CA15">
        <f>IF(CA$4=1,IF(OR(INDEX('×入力'!$A$1:$L$1300,147+CA$3,2+CA$2)&lt;&gt;"",INDEX('×入力'!$A$1:$L$1300,146,2+CA$2)&lt;&gt;"",INDEX('×入力'!$A$1:$L$1300,147+CA$3,1)&lt;&gt;""),1,0),0)</f>
        <v/>
      </c>
      <c r="CB15">
        <f>IF(CB$4=1,IF(OR(INDEX('×入力'!$A$1:$L$1300,147+CB$3,2+CB$2)&lt;&gt;"",INDEX('×入力'!$A$1:$L$1300,146,2+CB$2)&lt;&gt;"",INDEX('×入力'!$A$1:$L$1300,147+CB$3,1)&lt;&gt;""),1,0),0)</f>
        <v/>
      </c>
      <c r="CC15">
        <f>IF(CC$4=1,IF(OR(INDEX('×入力'!$A$1:$L$1300,147+CC$3,2+CC$2)&lt;&gt;"",INDEX('×入力'!$A$1:$L$1300,146,2+CC$2)&lt;&gt;"",INDEX('×入力'!$A$1:$L$1300,147+CC$3,1)&lt;&gt;""),1,0),0)</f>
        <v/>
      </c>
      <c r="CD15">
        <f>IF(CD$4=1,IF(OR(INDEX('×入力'!$A$1:$L$1300,147+CD$3,2+CD$2)&lt;&gt;"",INDEX('×入力'!$A$1:$L$1300,146,2+CD$2)&lt;&gt;"",INDEX('×入力'!$A$1:$L$1300,147+CD$3,1)&lt;&gt;""),1,0),0)</f>
        <v/>
      </c>
      <c r="CE15">
        <f>IF(CE$4=1,IF(OR(INDEX('×入力'!$A$1:$L$1300,147+CE$3,2+CE$2)&lt;&gt;"",INDEX('×入力'!$A$1:$L$1300,146,2+CE$2)&lt;&gt;"",INDEX('×入力'!$A$1:$L$1300,147+CE$3,1)&lt;&gt;""),1,0),0)</f>
        <v/>
      </c>
      <c r="CF15">
        <f>IF(CF$4=1,IF(OR(INDEX('×入力'!$A$1:$L$1300,147+CF$3,2+CF$2)&lt;&gt;"",INDEX('×入力'!$A$1:$L$1300,146,2+CF$2)&lt;&gt;"",INDEX('×入力'!$A$1:$L$1300,147+CF$3,1)&lt;&gt;""),1,0),0)</f>
        <v/>
      </c>
      <c r="CG15">
        <f>IF(CG$4=1,IF(OR(INDEX('×入力'!$A$1:$L$1300,147+CG$3,2+CG$2)&lt;&gt;"",INDEX('×入力'!$A$1:$L$1300,146,2+CG$2)&lt;&gt;"",INDEX('×入力'!$A$1:$L$1300,147+CG$3,1)&lt;&gt;""),1,0),0)</f>
        <v/>
      </c>
      <c r="CH15">
        <f>IF(CH$4=1,IF(OR(INDEX('×入力'!$A$1:$L$1300,147+CH$3,2+CH$2)&lt;&gt;"",INDEX('×入力'!$A$1:$L$1300,146,2+CH$2)&lt;&gt;"",INDEX('×入力'!$A$1:$L$1300,147+CH$3,1)&lt;&gt;""),1,0),0)</f>
        <v/>
      </c>
      <c r="CI15">
        <f>IF(CI$4=1,IF(OR(INDEX('×入力'!$A$1:$L$1300,147+CI$3,2+CI$2)&lt;&gt;"",INDEX('×入力'!$A$1:$L$1300,146,2+CI$2)&lt;&gt;"",INDEX('×入力'!$A$1:$L$1300,147+CI$3,1)&lt;&gt;""),1,0),0)</f>
        <v/>
      </c>
      <c r="CJ15">
        <f>IF(CJ$4=1,IF(OR(INDEX('×入力'!$A$1:$L$1300,147+CJ$3,2+CJ$2)&lt;&gt;"",INDEX('×入力'!$A$1:$L$1300,146,2+CJ$2)&lt;&gt;"",INDEX('×入力'!$A$1:$L$1300,147+CJ$3,1)&lt;&gt;""),1,0),0)</f>
        <v/>
      </c>
      <c r="CK15">
        <f>IF(CK$4=1,IF(OR(INDEX('×入力'!$A$1:$L$1300,147+CK$3,2+CK$2)&lt;&gt;"",INDEX('×入力'!$A$1:$L$1300,146,2+CK$2)&lt;&gt;"",INDEX('×入力'!$A$1:$L$1300,147+CK$3,1)&lt;&gt;""),1,0),0)</f>
        <v/>
      </c>
      <c r="CL15">
        <f>IF(CL$4=1,IF(OR(INDEX('×入力'!$A$1:$L$1300,147+CL$3,2+CL$2)&lt;&gt;"",INDEX('×入力'!$A$1:$L$1300,146,2+CL$2)&lt;&gt;"",INDEX('×入力'!$A$1:$L$1300,147+CL$3,1)&lt;&gt;""),1,0),0)</f>
        <v/>
      </c>
      <c r="CM15">
        <f>IF(CM$4=1,IF(OR(INDEX('×入力'!$A$1:$L$1300,147+CM$3,2+CM$2)&lt;&gt;"",INDEX('×入力'!$A$1:$L$1300,146,2+CM$2)&lt;&gt;"",INDEX('×入力'!$A$1:$L$1300,147+CM$3,1)&lt;&gt;""),1,0),0)</f>
        <v/>
      </c>
      <c r="CN15">
        <f>IF(CN$4=1,IF(OR(INDEX('×入力'!$A$1:$L$1300,147+CN$3,2+CN$2)&lt;&gt;"",INDEX('×入力'!$A$1:$L$1300,146,2+CN$2)&lt;&gt;"",INDEX('×入力'!$A$1:$L$1300,147+CN$3,1)&lt;&gt;""),1,0),0)</f>
        <v/>
      </c>
      <c r="CO15">
        <f>IF(CO$4=1,IF(OR(INDEX('×入力'!$A$1:$L$1300,147+CO$3,2+CO$2)&lt;&gt;"",INDEX('×入力'!$A$1:$L$1300,146,2+CO$2)&lt;&gt;"",INDEX('×入力'!$A$1:$L$1300,147+CO$3,1)&lt;&gt;""),1,0),0)</f>
        <v/>
      </c>
      <c r="CP15">
        <f>IF(CP$4=1,IF(OR(INDEX('×入力'!$A$1:$L$1300,147+CP$3,2+CP$2)&lt;&gt;"",INDEX('×入力'!$A$1:$L$1300,146,2+CP$2)&lt;&gt;"",INDEX('×入力'!$A$1:$L$1300,147+CP$3,1)&lt;&gt;""),1,0),0)</f>
        <v/>
      </c>
      <c r="CQ15">
        <f>IF(CQ$4=1,IF(OR(INDEX('×入力'!$A$1:$L$1300,147+CQ$3,2+CQ$2)&lt;&gt;"",INDEX('×入力'!$A$1:$L$1300,146,2+CQ$2)&lt;&gt;"",INDEX('×入力'!$A$1:$L$1300,147+CQ$3,1)&lt;&gt;""),1,0),0)</f>
        <v/>
      </c>
      <c r="CR15">
        <f>IF(CR$4=1,IF(OR(INDEX('×入力'!$A$1:$L$1300,147+CR$3,2+CR$2)&lt;&gt;"",INDEX('×入力'!$A$1:$L$1300,146,2+CR$2)&lt;&gt;"",INDEX('×入力'!$A$1:$L$1300,147+CR$3,1)&lt;&gt;""),1,0),0)</f>
        <v/>
      </c>
      <c r="CS15">
        <f>IF(CS$4=1,IF(OR(INDEX('×入力'!$A$1:$L$1300,147+CS$3,2+CS$2)&lt;&gt;"",INDEX('×入力'!$A$1:$L$1300,146,2+CS$2)&lt;&gt;"",INDEX('×入力'!$A$1:$L$1300,147+CS$3,1)&lt;&gt;""),1,0),0)</f>
        <v/>
      </c>
      <c r="CT15">
        <f>IF(CT$4=1,IF(OR(INDEX('×入力'!$A$1:$L$1300,147+CT$3,2+CT$2)&lt;&gt;"",INDEX('×入力'!$A$1:$L$1300,146,2+CT$2)&lt;&gt;"",INDEX('×入力'!$A$1:$L$1300,147+CT$3,1)&lt;&gt;""),1,0),0)</f>
        <v/>
      </c>
      <c r="CU15">
        <f>IF(CU$4=1,IF(OR(INDEX('×入力'!$A$1:$L$1300,147+CU$3,2+CU$2)&lt;&gt;"",INDEX('×入力'!$A$1:$L$1300,146,2+CU$2)&lt;&gt;"",INDEX('×入力'!$A$1:$L$1300,147+CU$3,1)&lt;&gt;""),1,0),0)</f>
        <v/>
      </c>
      <c r="CV15">
        <f>IF(CV$4=1,IF(OR(INDEX('×入力'!$A$1:$L$1300,147+CV$3,2+CV$2)&lt;&gt;"",INDEX('×入力'!$A$1:$L$1300,146,2+CV$2)&lt;&gt;"",INDEX('×入力'!$A$1:$L$1300,147+CV$3,1)&lt;&gt;""),1,0),0)</f>
        <v/>
      </c>
      <c r="CW15">
        <f>IF(CW$4=1,IF(OR(INDEX('×入力'!$A$1:$L$1300,147+CW$3,2+CW$2)&lt;&gt;"",INDEX('×入力'!$A$1:$L$1300,146,2+CW$2)&lt;&gt;"",INDEX('×入力'!$A$1:$L$1300,147+CW$3,1)&lt;&gt;""),1,0),0)</f>
        <v/>
      </c>
      <c r="CX15">
        <f>IF(CX$4=1,IF(OR(INDEX('×入力'!$A$1:$L$1300,147+CX$3,2+CX$2)&lt;&gt;"",INDEX('×入力'!$A$1:$L$1300,146,2+CX$2)&lt;&gt;"",INDEX('×入力'!$A$1:$L$1300,147+CX$3,1)&lt;&gt;""),1,0),0)</f>
        <v/>
      </c>
      <c r="CY15">
        <f>IF(CY$4=1,IF(OR(INDEX('×入力'!$A$1:$L$1300,147+CY$3,2+CY$2)&lt;&gt;"",INDEX('×入力'!$A$1:$L$1300,146,2+CY$2)&lt;&gt;"",INDEX('×入力'!$A$1:$L$1300,147+CY$3,1)&lt;&gt;""),1,0),0)</f>
        <v/>
      </c>
      <c r="CZ15">
        <f>IF(CZ$4=1,IF(OR(INDEX('×入力'!$A$1:$L$1300,147+CZ$3,2+CZ$2)&lt;&gt;"",INDEX('×入力'!$A$1:$L$1300,146,2+CZ$2)&lt;&gt;"",INDEX('×入力'!$A$1:$L$1300,147+CZ$3,1)&lt;&gt;""),1,0),0)</f>
        <v/>
      </c>
      <c r="DA15">
        <f>IF(DA$4=1,IF(OR(INDEX('×入力'!$A$1:$L$1300,147+DA$3,2+DA$2)&lt;&gt;"",INDEX('×入力'!$A$1:$L$1300,146,2+DA$2)&lt;&gt;"",INDEX('×入力'!$A$1:$L$1300,147+DA$3,1)&lt;&gt;""),1,0),0)</f>
        <v/>
      </c>
      <c r="DB15">
        <f>IF(DB$4=1,IF(OR(INDEX('×入力'!$A$1:$L$1300,147+DB$3,2+DB$2)&lt;&gt;"",INDEX('×入力'!$A$1:$L$1300,146,2+DB$2)&lt;&gt;"",INDEX('×入力'!$A$1:$L$1300,147+DB$3,1)&lt;&gt;""),1,0),0)</f>
        <v/>
      </c>
      <c r="DC15">
        <f>IF(DC$4=1,IF(OR(INDEX('×入力'!$A$1:$L$1300,147+DC$3,2+DC$2)&lt;&gt;"",INDEX('×入力'!$A$1:$L$1300,146,2+DC$2)&lt;&gt;"",INDEX('×入力'!$A$1:$L$1300,147+DC$3,1)&lt;&gt;""),1,0),0)</f>
        <v/>
      </c>
      <c r="DD15">
        <f>IF(DD$4=1,IF(OR(INDEX('×入力'!$A$1:$L$1300,147+DD$3,2+DD$2)&lt;&gt;"",INDEX('×入力'!$A$1:$L$1300,146,2+DD$2)&lt;&gt;"",INDEX('×入力'!$A$1:$L$1300,147+DD$3,1)&lt;&gt;""),1,0),0)</f>
        <v/>
      </c>
      <c r="DE15">
        <f>IF(DE$4=1,IF(OR(INDEX('×入力'!$A$1:$L$1300,147+DE$3,2+DE$2)&lt;&gt;"",INDEX('×入力'!$A$1:$L$1300,146,2+DE$2)&lt;&gt;"",INDEX('×入力'!$A$1:$L$1300,147+DE$3,1)&lt;&gt;""),1,0),0)</f>
        <v/>
      </c>
      <c r="DF15">
        <f>IF(DF$4=1,IF(OR(INDEX('×入力'!$A$1:$L$1300,147+DF$3,2+DF$2)&lt;&gt;"",INDEX('×入力'!$A$1:$L$1300,146,2+DF$2)&lt;&gt;"",INDEX('×入力'!$A$1:$L$1300,147+DF$3,1)&lt;&gt;""),1,0),0)</f>
        <v/>
      </c>
      <c r="DG15">
        <f>IF(DG$4=1,IF(OR(INDEX('×入力'!$A$1:$L$1300,147+DG$3,2+DG$2)&lt;&gt;"",INDEX('×入力'!$A$1:$L$1300,146,2+DG$2)&lt;&gt;"",INDEX('×入力'!$A$1:$L$1300,147+DG$3,1)&lt;&gt;""),1,0),0)</f>
        <v/>
      </c>
      <c r="DH15">
        <f>IF(DH$4=1,IF(OR(INDEX('×入力'!$A$1:$L$1300,147+DH$3,2+DH$2)&lt;&gt;"",INDEX('×入力'!$A$1:$L$1300,146,2+DH$2)&lt;&gt;"",INDEX('×入力'!$A$1:$L$1300,147+DH$3,1)&lt;&gt;""),1,0),0)</f>
        <v/>
      </c>
      <c r="DI15">
        <f>IF(DI$4=1,IF(OR(INDEX('×入力'!$A$1:$L$1300,147+DI$3,2+DI$2)&lt;&gt;"",INDEX('×入力'!$A$1:$L$1300,146,2+DI$2)&lt;&gt;"",INDEX('×入力'!$A$1:$L$1300,147+DI$3,1)&lt;&gt;""),1,0),0)</f>
        <v/>
      </c>
      <c r="DJ15">
        <f>IF(DJ$4=1,IF(OR(INDEX('×入力'!$A$1:$L$1300,147+DJ$3,2+DJ$2)&lt;&gt;"",INDEX('×入力'!$A$1:$L$1300,146,2+DJ$2)&lt;&gt;"",INDEX('×入力'!$A$1:$L$1300,147+DJ$3,1)&lt;&gt;""),1,0),0)</f>
        <v/>
      </c>
      <c r="DK15">
        <f>IF(DK$4=1,IF(OR(INDEX('×入力'!$A$1:$L$1300,147+DK$3,2+DK$2)&lt;&gt;"",INDEX('×入力'!$A$1:$L$1300,146,2+DK$2)&lt;&gt;"",INDEX('×入力'!$A$1:$L$1300,147+DK$3,1)&lt;&gt;""),1,0),0)</f>
        <v/>
      </c>
      <c r="DL15">
        <f>IF(DL$4=1,IF(OR(INDEX('×入力'!$A$1:$L$1300,147+DL$3,2+DL$2)&lt;&gt;"",INDEX('×入力'!$A$1:$L$1300,146,2+DL$2)&lt;&gt;"",INDEX('×入力'!$A$1:$L$1300,147+DL$3,1)&lt;&gt;""),1,0),0)</f>
        <v/>
      </c>
      <c r="DM15">
        <f>IF(DM$4=1,IF(OR(INDEX('×入力'!$A$1:$L$1300,147+DM$3,2+DM$2)&lt;&gt;"",INDEX('×入力'!$A$1:$L$1300,146,2+DM$2)&lt;&gt;"",INDEX('×入力'!$A$1:$L$1300,147+DM$3,1)&lt;&gt;""),1,0),0)</f>
        <v/>
      </c>
      <c r="DN15">
        <f>IF(DN$4=1,IF(OR(INDEX('×入力'!$A$1:$L$1300,147+DN$3,2+DN$2)&lt;&gt;"",INDEX('×入力'!$A$1:$L$1300,146,2+DN$2)&lt;&gt;"",INDEX('×入力'!$A$1:$L$1300,147+DN$3,1)&lt;&gt;""),1,0),0)</f>
        <v/>
      </c>
      <c r="DO15">
        <f>IF(DO$4=1,IF(OR(INDEX('×入力'!$A$1:$L$1300,147+DO$3,2+DO$2)&lt;&gt;"",INDEX('×入力'!$A$1:$L$1300,146,2+DO$2)&lt;&gt;"",INDEX('×入力'!$A$1:$L$1300,147+DO$3,1)&lt;&gt;""),1,0),0)</f>
        <v/>
      </c>
      <c r="DP15">
        <f>IF(DP$4=1,IF(OR(INDEX('×入力'!$A$1:$L$1300,147+DP$3,2+DP$2)&lt;&gt;"",INDEX('×入力'!$A$1:$L$1300,146,2+DP$2)&lt;&gt;"",INDEX('×入力'!$A$1:$L$1300,147+DP$3,1)&lt;&gt;""),1,0),0)</f>
        <v/>
      </c>
      <c r="DQ15">
        <f>IF(DQ$4=1,IF(OR(INDEX('×入力'!$A$1:$L$1300,147+DQ$3,2+DQ$2)&lt;&gt;"",INDEX('×入力'!$A$1:$L$1300,146,2+DQ$2)&lt;&gt;"",INDEX('×入力'!$A$1:$L$1300,147+DQ$3,1)&lt;&gt;""),1,0),0)</f>
        <v/>
      </c>
      <c r="DR15">
        <f>IF(DR$4=1,IF(OR(INDEX('×入力'!$A$1:$L$1300,147+DR$3,2+DR$2)&lt;&gt;"",INDEX('×入力'!$A$1:$L$1300,146,2+DR$2)&lt;&gt;"",INDEX('×入力'!$A$1:$L$1300,147+DR$3,1)&lt;&gt;""),1,0),0)</f>
        <v/>
      </c>
      <c r="DS15">
        <f>IF(DS$4=1,IF(OR(INDEX('×入力'!$A$1:$L$1300,147+DS$3,2+DS$2)&lt;&gt;"",INDEX('×入力'!$A$1:$L$1300,146,2+DS$2)&lt;&gt;"",INDEX('×入力'!$A$1:$L$1300,147+DS$3,1)&lt;&gt;""),1,0),0)</f>
        <v/>
      </c>
      <c r="DT15">
        <f>IF(DT$4=1,IF(OR(INDEX('×入力'!$A$1:$L$1300,147+DT$3,2+DT$2)&lt;&gt;"",INDEX('×入力'!$A$1:$L$1300,146,2+DT$2)&lt;&gt;"",INDEX('×入力'!$A$1:$L$1300,147+DT$3,1)&lt;&gt;""),1,0),0)</f>
        <v/>
      </c>
      <c r="DU15">
        <f>IF(DU$4=1,IF(OR(INDEX('×入力'!$A$1:$L$1300,147+DU$3,2+DU$2)&lt;&gt;"",INDEX('×入力'!$A$1:$L$1300,146,2+DU$2)&lt;&gt;"",INDEX('×入力'!$A$1:$L$1300,147+DU$3,1)&lt;&gt;""),1,0),0)</f>
        <v/>
      </c>
      <c r="DV15">
        <f>IF(DV$4=1,IF(OR(INDEX('×入力'!$A$1:$L$1300,147+DV$3,2+DV$2)&lt;&gt;"",INDEX('×入力'!$A$1:$L$1300,146,2+DV$2)&lt;&gt;"",INDEX('×入力'!$A$1:$L$1300,147+DV$3,1)&lt;&gt;""),1,0),0)</f>
        <v/>
      </c>
      <c r="DW15">
        <f>IF(DW$4=1,IF(OR(INDEX('×入力'!$A$1:$L$1300,147+DW$3,2+DW$2)&lt;&gt;"",INDEX('×入力'!$A$1:$L$1300,146,2+DW$2)&lt;&gt;"",INDEX('×入力'!$A$1:$L$1300,147+DW$3,1)&lt;&gt;""),1,0),0)</f>
        <v/>
      </c>
      <c r="DX15">
        <f>IF(DX$4=1,IF(OR(INDEX('×入力'!$A$1:$L$1300,147+DX$3,2+DX$2)&lt;&gt;"",INDEX('×入力'!$A$1:$L$1300,146,2+DX$2)&lt;&gt;"",INDEX('×入力'!$A$1:$L$1300,147+DX$3,1)&lt;&gt;""),1,0),0)</f>
        <v/>
      </c>
      <c r="DY15">
        <f>IF(DY$4=1,IF(OR(INDEX('×入力'!$A$1:$L$1300,147+DY$3,2+DY$2)&lt;&gt;"",INDEX('×入力'!$A$1:$L$1300,146,2+DY$2)&lt;&gt;"",INDEX('×入力'!$A$1:$L$1300,147+DY$3,1)&lt;&gt;""),1,0),0)</f>
        <v/>
      </c>
      <c r="DZ15">
        <f>IF(DZ$4=1,IF(OR(INDEX('×入力'!$A$1:$L$1300,147+DZ$3,2+DZ$2)&lt;&gt;"",INDEX('×入力'!$A$1:$L$1300,146,2+DZ$2)&lt;&gt;"",INDEX('×入力'!$A$1:$L$1300,147+DZ$3,1)&lt;&gt;""),1,0),0)</f>
        <v/>
      </c>
      <c r="EA15">
        <f>IF(EA$4=1,IF(OR(INDEX('×入力'!$A$1:$L$1300,147+EA$3,2+EA$2)&lt;&gt;"",INDEX('×入力'!$A$1:$L$1300,146,2+EA$2)&lt;&gt;"",INDEX('×入力'!$A$1:$L$1300,147+EA$3,1)&lt;&gt;""),1,0),0)</f>
        <v/>
      </c>
      <c r="EB15">
        <f>IF(EB$4=1,IF(OR(INDEX('×入力'!$A$1:$L$1300,147+EB$3,2+EB$2)&lt;&gt;"",INDEX('×入力'!$A$1:$L$1300,146,2+EB$2)&lt;&gt;"",INDEX('×入力'!$A$1:$L$1300,147+EB$3,1)&lt;&gt;""),1,0),0)</f>
        <v/>
      </c>
      <c r="EC15">
        <f>IF(EC$4=1,IF(OR(INDEX('×入力'!$A$1:$L$1300,147+EC$3,2+EC$2)&lt;&gt;"",INDEX('×入力'!$A$1:$L$1300,146,2+EC$2)&lt;&gt;"",INDEX('×入力'!$A$1:$L$1300,147+EC$3,1)&lt;&gt;""),1,0),0)</f>
        <v/>
      </c>
      <c r="ED15">
        <f>IF(ED$4=1,IF(OR(INDEX('×入力'!$A$1:$L$1300,147+ED$3,2+ED$2)&lt;&gt;"",INDEX('×入力'!$A$1:$L$1300,146,2+ED$2)&lt;&gt;"",INDEX('×入力'!$A$1:$L$1300,147+ED$3,1)&lt;&gt;""),1,0),0)</f>
        <v/>
      </c>
      <c r="EE15">
        <f>IF(EE$4=1,IF(OR(INDEX('×入力'!$A$1:$L$1300,147+EE$3,2+EE$2)&lt;&gt;"",INDEX('×入力'!$A$1:$L$1300,146,2+EE$2)&lt;&gt;"",INDEX('×入力'!$A$1:$L$1300,147+EE$3,1)&lt;&gt;""),1,0),0)</f>
        <v/>
      </c>
      <c r="EF15">
        <f>IF(EF$4=1,IF(OR(INDEX('×入力'!$A$1:$L$1300,147+EF$3,2+EF$2)&lt;&gt;"",INDEX('×入力'!$A$1:$L$1300,146,2+EF$2)&lt;&gt;"",INDEX('×入力'!$A$1:$L$1300,147+EF$3,1)&lt;&gt;""),1,0),0)</f>
        <v/>
      </c>
      <c r="EG15">
        <f>IF(EG$4=1,IF(OR(INDEX('×入力'!$A$1:$L$1300,147+EG$3,2+EG$2)&lt;&gt;"",INDEX('×入力'!$A$1:$L$1300,146,2+EG$2)&lt;&gt;"",INDEX('×入力'!$A$1:$L$1300,147+EG$3,1)&lt;&gt;""),1,0),0)</f>
        <v/>
      </c>
      <c r="EH15">
        <f>IF(EH$4=1,IF(OR(INDEX('×入力'!$A$1:$L$1300,147+EH$3,2+EH$2)&lt;&gt;"",INDEX('×入力'!$A$1:$L$1300,146,2+EH$2)&lt;&gt;"",INDEX('×入力'!$A$1:$L$1300,147+EH$3,1)&lt;&gt;""),1,0),0)</f>
        <v/>
      </c>
      <c r="EI15">
        <f>IF(EI$4=1,IF(OR(INDEX('×入力'!$A$1:$L$1300,147+EI$3,2+EI$2)&lt;&gt;"",INDEX('×入力'!$A$1:$L$1300,146,2+EI$2)&lt;&gt;"",INDEX('×入力'!$A$1:$L$1300,147+EI$3,1)&lt;&gt;""),1,0),0)</f>
        <v/>
      </c>
      <c r="EJ15">
        <f>IF(EJ$4=1,IF(OR(INDEX('×入力'!$A$1:$L$1300,147+EJ$3,2+EJ$2)&lt;&gt;"",INDEX('×入力'!$A$1:$L$1300,146,2+EJ$2)&lt;&gt;"",INDEX('×入力'!$A$1:$L$1300,147+EJ$3,1)&lt;&gt;""),1,0),0)</f>
        <v/>
      </c>
      <c r="EK15">
        <f>IF(EK$4=1,IF(OR(INDEX('×入力'!$A$1:$L$1300,147+EK$3,2+EK$2)&lt;&gt;"",INDEX('×入力'!$A$1:$L$1300,146,2+EK$2)&lt;&gt;"",INDEX('×入力'!$A$1:$L$1300,147+EK$3,1)&lt;&gt;""),1,0),0)</f>
        <v/>
      </c>
      <c r="EL15">
        <f>IF(EL$4=1,IF(OR(INDEX('×入力'!$A$1:$L$1300,147+EL$3,2+EL$2)&lt;&gt;"",INDEX('×入力'!$A$1:$L$1300,146,2+EL$2)&lt;&gt;"",INDEX('×入力'!$A$1:$L$1300,147+EL$3,1)&lt;&gt;""),1,0),0)</f>
        <v/>
      </c>
      <c r="EM15">
        <f>IF(EM$4=1,IF(OR(INDEX('×入力'!$A$1:$L$1300,147+EM$3,2+EM$2)&lt;&gt;"",INDEX('×入力'!$A$1:$L$1300,146,2+EM$2)&lt;&gt;"",INDEX('×入力'!$A$1:$L$1300,147+EM$3,1)&lt;&gt;""),1,0),0)</f>
        <v/>
      </c>
      <c r="EN15">
        <f>IF(EN$4=1,IF(OR(INDEX('×入力'!$A$1:$L$1300,147+EN$3,2+EN$2)&lt;&gt;"",INDEX('×入力'!$A$1:$L$1300,146,2+EN$2)&lt;&gt;"",INDEX('×入力'!$A$1:$L$1300,147+EN$3,1)&lt;&gt;""),1,0),0)</f>
        <v/>
      </c>
      <c r="EO15">
        <f>IF(EO$4=1,IF(OR(INDEX('×入力'!$A$1:$L$1300,147+EO$3,2+EO$2)&lt;&gt;"",INDEX('×入力'!$A$1:$L$1300,146,2+EO$2)&lt;&gt;"",INDEX('×入力'!$A$1:$L$1300,147+EO$3,1)&lt;&gt;""),1,0),0)</f>
        <v/>
      </c>
      <c r="EP15">
        <f>IF(EP$4=1,IF(OR(INDEX('×入力'!$A$1:$L$1300,147+EP$3,2+EP$2)&lt;&gt;"",INDEX('×入力'!$A$1:$L$1300,146,2+EP$2)&lt;&gt;"",INDEX('×入力'!$A$1:$L$1300,147+EP$3,1)&lt;&gt;""),1,0),0)</f>
        <v/>
      </c>
      <c r="EQ15">
        <f>IF(EQ$4=1,IF(OR(INDEX('×入力'!$A$1:$L$1300,147+EQ$3,2+EQ$2)&lt;&gt;"",INDEX('×入力'!$A$1:$L$1300,146,2+EQ$2)&lt;&gt;"",INDEX('×入力'!$A$1:$L$1300,147+EQ$3,1)&lt;&gt;""),1,0),0)</f>
        <v/>
      </c>
      <c r="HA15">
        <f>MAX(0,IT15)</f>
        <v/>
      </c>
      <c r="HB15">
        <f>IF(HA15=0,0,INDEX($D$2:$EQ$2,HA15))</f>
        <v/>
      </c>
      <c r="HC15">
        <f>IF(HA15=0,0,INDEX($D$3:$EQ$3,HA15))</f>
        <v/>
      </c>
      <c r="HD15">
        <f>MAX(0,IY15)</f>
        <v/>
      </c>
      <c r="HE15">
        <f>IF(HD15=0,0,INDEX($D$2:$EQ$2,HD15))</f>
        <v/>
      </c>
      <c r="HF15">
        <f>IF(HD15=0,0,INDEX($D$3:$EQ$3,HD15))</f>
        <v/>
      </c>
      <c r="HG15">
        <f>MAX(0,IZ15)</f>
        <v/>
      </c>
      <c r="HH15">
        <f>IF(HG15=0,0,INDEX($D$2:$EQ$2,HG15))</f>
        <v/>
      </c>
      <c r="HI15">
        <f>IF(HG15=0,0,INDEX($D$3:$EQ$3,HG15))</f>
        <v/>
      </c>
      <c r="HJ15">
        <f>IF(AND(HA15&gt;0,HC15&gt;1,OR(HC15-1&lt;&gt;$A$3,$A$4=0)),HA15-1,-1)</f>
        <v/>
      </c>
      <c r="HK15">
        <f>IF(AND(HA15&gt;0,HC15&lt;24,OR(HC15&lt;&gt;$A$3,$A$4=0)),HA15+1,-1)</f>
        <v/>
      </c>
      <c r="HL15">
        <f>IF(AND(HD15&gt;0,HF15&gt;1,OR(HF15-1&lt;&gt;$A$3,$A$4=0)),HD15-1,-1)</f>
        <v/>
      </c>
      <c r="HM15">
        <f>IF(AND(HD15&gt;0,HF15&lt;24,OR(HF15&lt;&gt;$A$3,$A$4=0)),HD15+1,-1)</f>
        <v/>
      </c>
      <c r="HN15">
        <f>IF(AND(HG15&gt;0,HI15&gt;1,OR(HI15-1&lt;&gt;$A$3,$A$4=0)),HG15-1,-1)</f>
        <v/>
      </c>
      <c r="HO15">
        <f>IF(AND(HG15&gt;0,HI15&lt;24,OR(HI15&lt;&gt;$A$3,$A$4=0)),HG15+1,-1)</f>
        <v/>
      </c>
      <c r="IK15">
        <f>IFERROR(INDEX('calcB'!$C$3:$C$47,MATCH(A15,'calcB'!$B$3:$B$47,0)),0)</f>
        <v/>
      </c>
      <c r="IL15">
        <f>IF(AND(C15=1,IK15=0,calcA!$A$6&gt;0),1,0)</f>
        <v/>
      </c>
      <c r="IM15">
        <f>SUMPRODUCT(D65:EQ65*(1-$D$7:$EQ$7))</f>
        <v/>
      </c>
      <c r="IN15">
        <f>SUM(D15:EQ15)</f>
        <v/>
      </c>
      <c r="IO15">
        <f>IF(B15="",0,IF(COUNTIF('調整・決定'!$C$6:$H$29,B15)=1,SUMPRODUCT(('調整・決定'!$C$6:$H$29=B15)*((COLUMN('調整・決定'!$C$6:$H$29)-3)*24+ROW('調整・決定'!$C$6:$H$29)-5)),0))</f>
        <v/>
      </c>
      <c r="IP15">
        <f>IFERROR(MATCH('名簿'!C10,{"早い時刻","遅い時刻","早い日","遅い日"},0),0)</f>
        <v/>
      </c>
      <c r="IQ15">
        <f>IF('名簿'!D10="必ず空けたい",2,IF('名簿'!D10="出来れば空けたい",1,0))</f>
        <v/>
      </c>
      <c r="IR15">
        <f>IFERROR(INDEX('calcC'!$C$3:$C$47,MATCH(A15,'calcC'!$B$3:$B$47,0)),0)</f>
        <v/>
      </c>
      <c r="IS15">
        <f>IF(AND(C15=1,IR15=0,calcA!$A$6&gt;0),1,0)</f>
        <v/>
      </c>
      <c r="IT15">
        <f>IF(OR('名簿'!G10="",'名簿'!H10=""),0,IFERROR((MATCH('名簿'!G10,'設定'!$E$11:$E$16,0)-1)*24+MATCH('名簿'!H10,'設定'!$I$11:$I$34,0),-1))</f>
        <v/>
      </c>
      <c r="IV15">
        <f>IF(OR(JF15=0,IO15=0),1,IF(OR(IF(IT15&gt;0,AND(INDEX($D$2:$EQ$2,IO15)=INDEX($D$2:$EQ$2,IT15),OR(AND(IO15=IT15+1,OR(INDEX($D$3:$EQ$3,IT15)&lt;&gt;$A$3,$A$4=0)),AND(IO15=IT15-1,OR(INDEX($D$3:$EQ$3,IO15)&lt;&gt;$A$3,$A$4=0)))),FALSE),IF(IY15&gt;0,AND(INDEX($D$2:$EQ$2,IO15)=INDEX($D$2:$EQ$2,IY15),OR(AND(IO15=IY15+1,OR(INDEX($D$3:$EQ$3,IY15)&lt;&gt;$A$3,$A$4=0)),AND(IO15=IY15-1,OR(INDEX($D$3:$EQ$3,IO15)&lt;&gt;$A$3,$A$4=0)))),FALSE),IF(IZ15&gt;0,AND(INDEX($D$2:$EQ$2,IO15)=INDEX($D$2:$EQ$2,IZ15),OR(AND(IO15=IZ15+1,OR(INDEX($D$3:$EQ$3,IZ15)&lt;&gt;$A$3,$A$4=0)),AND(IO15=IZ15-1,OR(INDEX($D$3:$EQ$3,IO15)&lt;&gt;$A$3,$A$4=0)))),FALSE)),1,0))</f>
        <v/>
      </c>
      <c r="IW15">
        <f>IF(AND('名簿'!E10&lt;&gt;"",JF15=0),1,0)</f>
        <v/>
      </c>
      <c r="IX15">
        <f>IF('名簿'!D10="空けない",1,0)</f>
        <v/>
      </c>
      <c r="IY15">
        <f>IF(OR('名簿'!J10="",'名簿'!K10=""),0,IFERROR((MATCH('名簿'!J10,'設定'!$E$11:$E$16,0)-1)*24+MATCH('名簿'!K10,'設定'!$I$11:$I$34,0),-1))</f>
        <v/>
      </c>
      <c r="IZ15">
        <f>IF(OR('名簿'!M10="",'名簿'!N10=""),0,IFERROR((MATCH('名簿'!M10,'設定'!$E$11:$E$16,0)-1)*24+MATCH('名簿'!N10,'設定'!$I$11:$I$34,0),-1))</f>
        <v/>
      </c>
      <c r="JC15">
        <f>IF(RIGHT('名簿'!I10,2)="の前",1,IF(RIGHT('名簿'!I10,2)="の後",2,0))</f>
        <v/>
      </c>
      <c r="JD15">
        <f>IF(RIGHT('名簿'!L10,2)="の前",1,IF(RIGHT('名簿'!L10,2)="の後",2,0))</f>
        <v/>
      </c>
      <c r="JE15">
        <f>IF(RIGHT('名簿'!O10,2)="の前",1,IF(RIGHT('名簿'!O10,2)="の後",2,0))</f>
        <v/>
      </c>
      <c r="JF15">
        <f>IF(OR(IT15&gt;0,IY15&gt;0,IZ15&gt;0),1,0)</f>
        <v/>
      </c>
      <c r="JG15">
        <f>IF(OR(IT15&lt;0,IY15&lt;0,IZ15&lt;0),1,0)</f>
        <v/>
      </c>
    </row>
    <row r="16">
      <c r="A16" t="n">
        <v>7</v>
      </c>
      <c r="B16">
        <f>'名簿'!P11</f>
        <v/>
      </c>
      <c r="C16">
        <f>IF(AND(B16&lt;&gt;"",OR('名簿'!Q11="入力済み",'名簿'!Q11="×なし"),IO16=0,COUNTIF('調整・決定'!$C$6:$H$29,B16)=0),1,0)</f>
        <v/>
      </c>
      <c r="D16">
        <f>IF(D$4=1,IF(OR(INDEX('×入力'!$A$1:$L$1300,175+D$3,2+D$2)&lt;&gt;"",INDEX('×入力'!$A$1:$L$1300,174,2+D$2)&lt;&gt;"",INDEX('×入力'!$A$1:$L$1300,175+D$3,1)&lt;&gt;""),1,0),0)</f>
        <v/>
      </c>
      <c r="E16">
        <f>IF(E$4=1,IF(OR(INDEX('×入力'!$A$1:$L$1300,175+E$3,2+E$2)&lt;&gt;"",INDEX('×入力'!$A$1:$L$1300,174,2+E$2)&lt;&gt;"",INDEX('×入力'!$A$1:$L$1300,175+E$3,1)&lt;&gt;""),1,0),0)</f>
        <v/>
      </c>
      <c r="F16">
        <f>IF(F$4=1,IF(OR(INDEX('×入力'!$A$1:$L$1300,175+F$3,2+F$2)&lt;&gt;"",INDEX('×入力'!$A$1:$L$1300,174,2+F$2)&lt;&gt;"",INDEX('×入力'!$A$1:$L$1300,175+F$3,1)&lt;&gt;""),1,0),0)</f>
        <v/>
      </c>
      <c r="G16">
        <f>IF(G$4=1,IF(OR(INDEX('×入力'!$A$1:$L$1300,175+G$3,2+G$2)&lt;&gt;"",INDEX('×入力'!$A$1:$L$1300,174,2+G$2)&lt;&gt;"",INDEX('×入力'!$A$1:$L$1300,175+G$3,1)&lt;&gt;""),1,0),0)</f>
        <v/>
      </c>
      <c r="H16">
        <f>IF(H$4=1,IF(OR(INDEX('×入力'!$A$1:$L$1300,175+H$3,2+H$2)&lt;&gt;"",INDEX('×入力'!$A$1:$L$1300,174,2+H$2)&lt;&gt;"",INDEX('×入力'!$A$1:$L$1300,175+H$3,1)&lt;&gt;""),1,0),0)</f>
        <v/>
      </c>
      <c r="I16">
        <f>IF(I$4=1,IF(OR(INDEX('×入力'!$A$1:$L$1300,175+I$3,2+I$2)&lt;&gt;"",INDEX('×入力'!$A$1:$L$1300,174,2+I$2)&lt;&gt;"",INDEX('×入力'!$A$1:$L$1300,175+I$3,1)&lt;&gt;""),1,0),0)</f>
        <v/>
      </c>
      <c r="J16">
        <f>IF(J$4=1,IF(OR(INDEX('×入力'!$A$1:$L$1300,175+J$3,2+J$2)&lt;&gt;"",INDEX('×入力'!$A$1:$L$1300,174,2+J$2)&lt;&gt;"",INDEX('×入力'!$A$1:$L$1300,175+J$3,1)&lt;&gt;""),1,0),0)</f>
        <v/>
      </c>
      <c r="K16">
        <f>IF(K$4=1,IF(OR(INDEX('×入力'!$A$1:$L$1300,175+K$3,2+K$2)&lt;&gt;"",INDEX('×入力'!$A$1:$L$1300,174,2+K$2)&lt;&gt;"",INDEX('×入力'!$A$1:$L$1300,175+K$3,1)&lt;&gt;""),1,0),0)</f>
        <v/>
      </c>
      <c r="L16">
        <f>IF(L$4=1,IF(OR(INDEX('×入力'!$A$1:$L$1300,175+L$3,2+L$2)&lt;&gt;"",INDEX('×入力'!$A$1:$L$1300,174,2+L$2)&lt;&gt;"",INDEX('×入力'!$A$1:$L$1300,175+L$3,1)&lt;&gt;""),1,0),0)</f>
        <v/>
      </c>
      <c r="M16">
        <f>IF(M$4=1,IF(OR(INDEX('×入力'!$A$1:$L$1300,175+M$3,2+M$2)&lt;&gt;"",INDEX('×入力'!$A$1:$L$1300,174,2+M$2)&lt;&gt;"",INDEX('×入力'!$A$1:$L$1300,175+M$3,1)&lt;&gt;""),1,0),0)</f>
        <v/>
      </c>
      <c r="N16">
        <f>IF(N$4=1,IF(OR(INDEX('×入力'!$A$1:$L$1300,175+N$3,2+N$2)&lt;&gt;"",INDEX('×入力'!$A$1:$L$1300,174,2+N$2)&lt;&gt;"",INDEX('×入力'!$A$1:$L$1300,175+N$3,1)&lt;&gt;""),1,0),0)</f>
        <v/>
      </c>
      <c r="O16">
        <f>IF(O$4=1,IF(OR(INDEX('×入力'!$A$1:$L$1300,175+O$3,2+O$2)&lt;&gt;"",INDEX('×入力'!$A$1:$L$1300,174,2+O$2)&lt;&gt;"",INDEX('×入力'!$A$1:$L$1300,175+O$3,1)&lt;&gt;""),1,0),0)</f>
        <v/>
      </c>
      <c r="P16">
        <f>IF(P$4=1,IF(OR(INDEX('×入力'!$A$1:$L$1300,175+P$3,2+P$2)&lt;&gt;"",INDEX('×入力'!$A$1:$L$1300,174,2+P$2)&lt;&gt;"",INDEX('×入力'!$A$1:$L$1300,175+P$3,1)&lt;&gt;""),1,0),0)</f>
        <v/>
      </c>
      <c r="Q16">
        <f>IF(Q$4=1,IF(OR(INDEX('×入力'!$A$1:$L$1300,175+Q$3,2+Q$2)&lt;&gt;"",INDEX('×入力'!$A$1:$L$1300,174,2+Q$2)&lt;&gt;"",INDEX('×入力'!$A$1:$L$1300,175+Q$3,1)&lt;&gt;""),1,0),0)</f>
        <v/>
      </c>
      <c r="R16">
        <f>IF(R$4=1,IF(OR(INDEX('×入力'!$A$1:$L$1300,175+R$3,2+R$2)&lt;&gt;"",INDEX('×入力'!$A$1:$L$1300,174,2+R$2)&lt;&gt;"",INDEX('×入力'!$A$1:$L$1300,175+R$3,1)&lt;&gt;""),1,0),0)</f>
        <v/>
      </c>
      <c r="S16">
        <f>IF(S$4=1,IF(OR(INDEX('×入力'!$A$1:$L$1300,175+S$3,2+S$2)&lt;&gt;"",INDEX('×入力'!$A$1:$L$1300,174,2+S$2)&lt;&gt;"",INDEX('×入力'!$A$1:$L$1300,175+S$3,1)&lt;&gt;""),1,0),0)</f>
        <v/>
      </c>
      <c r="T16">
        <f>IF(T$4=1,IF(OR(INDEX('×入力'!$A$1:$L$1300,175+T$3,2+T$2)&lt;&gt;"",INDEX('×入力'!$A$1:$L$1300,174,2+T$2)&lt;&gt;"",INDEX('×入力'!$A$1:$L$1300,175+T$3,1)&lt;&gt;""),1,0),0)</f>
        <v/>
      </c>
      <c r="U16">
        <f>IF(U$4=1,IF(OR(INDEX('×入力'!$A$1:$L$1300,175+U$3,2+U$2)&lt;&gt;"",INDEX('×入力'!$A$1:$L$1300,174,2+U$2)&lt;&gt;"",INDEX('×入力'!$A$1:$L$1300,175+U$3,1)&lt;&gt;""),1,0),0)</f>
        <v/>
      </c>
      <c r="V16">
        <f>IF(V$4=1,IF(OR(INDEX('×入力'!$A$1:$L$1300,175+V$3,2+V$2)&lt;&gt;"",INDEX('×入力'!$A$1:$L$1300,174,2+V$2)&lt;&gt;"",INDEX('×入力'!$A$1:$L$1300,175+V$3,1)&lt;&gt;""),1,0),0)</f>
        <v/>
      </c>
      <c r="W16">
        <f>IF(W$4=1,IF(OR(INDEX('×入力'!$A$1:$L$1300,175+W$3,2+W$2)&lt;&gt;"",INDEX('×入力'!$A$1:$L$1300,174,2+W$2)&lt;&gt;"",INDEX('×入力'!$A$1:$L$1300,175+W$3,1)&lt;&gt;""),1,0),0)</f>
        <v/>
      </c>
      <c r="X16">
        <f>IF(X$4=1,IF(OR(INDEX('×入力'!$A$1:$L$1300,175+X$3,2+X$2)&lt;&gt;"",INDEX('×入力'!$A$1:$L$1300,174,2+X$2)&lt;&gt;"",INDEX('×入力'!$A$1:$L$1300,175+X$3,1)&lt;&gt;""),1,0),0)</f>
        <v/>
      </c>
      <c r="Y16">
        <f>IF(Y$4=1,IF(OR(INDEX('×入力'!$A$1:$L$1300,175+Y$3,2+Y$2)&lt;&gt;"",INDEX('×入力'!$A$1:$L$1300,174,2+Y$2)&lt;&gt;"",INDEX('×入力'!$A$1:$L$1300,175+Y$3,1)&lt;&gt;""),1,0),0)</f>
        <v/>
      </c>
      <c r="Z16">
        <f>IF(Z$4=1,IF(OR(INDEX('×入力'!$A$1:$L$1300,175+Z$3,2+Z$2)&lt;&gt;"",INDEX('×入力'!$A$1:$L$1300,174,2+Z$2)&lt;&gt;"",INDEX('×入力'!$A$1:$L$1300,175+Z$3,1)&lt;&gt;""),1,0),0)</f>
        <v/>
      </c>
      <c r="AA16">
        <f>IF(AA$4=1,IF(OR(INDEX('×入力'!$A$1:$L$1300,175+AA$3,2+AA$2)&lt;&gt;"",INDEX('×入力'!$A$1:$L$1300,174,2+AA$2)&lt;&gt;"",INDEX('×入力'!$A$1:$L$1300,175+AA$3,1)&lt;&gt;""),1,0),0)</f>
        <v/>
      </c>
      <c r="AB16">
        <f>IF(AB$4=1,IF(OR(INDEX('×入力'!$A$1:$L$1300,175+AB$3,2+AB$2)&lt;&gt;"",INDEX('×入力'!$A$1:$L$1300,174,2+AB$2)&lt;&gt;"",INDEX('×入力'!$A$1:$L$1300,175+AB$3,1)&lt;&gt;""),1,0),0)</f>
        <v/>
      </c>
      <c r="AC16">
        <f>IF(AC$4=1,IF(OR(INDEX('×入力'!$A$1:$L$1300,175+AC$3,2+AC$2)&lt;&gt;"",INDEX('×入力'!$A$1:$L$1300,174,2+AC$2)&lt;&gt;"",INDEX('×入力'!$A$1:$L$1300,175+AC$3,1)&lt;&gt;""),1,0),0)</f>
        <v/>
      </c>
      <c r="AD16">
        <f>IF(AD$4=1,IF(OR(INDEX('×入力'!$A$1:$L$1300,175+AD$3,2+AD$2)&lt;&gt;"",INDEX('×入力'!$A$1:$L$1300,174,2+AD$2)&lt;&gt;"",INDEX('×入力'!$A$1:$L$1300,175+AD$3,1)&lt;&gt;""),1,0),0)</f>
        <v/>
      </c>
      <c r="AE16">
        <f>IF(AE$4=1,IF(OR(INDEX('×入力'!$A$1:$L$1300,175+AE$3,2+AE$2)&lt;&gt;"",INDEX('×入力'!$A$1:$L$1300,174,2+AE$2)&lt;&gt;"",INDEX('×入力'!$A$1:$L$1300,175+AE$3,1)&lt;&gt;""),1,0),0)</f>
        <v/>
      </c>
      <c r="AF16">
        <f>IF(AF$4=1,IF(OR(INDEX('×入力'!$A$1:$L$1300,175+AF$3,2+AF$2)&lt;&gt;"",INDEX('×入力'!$A$1:$L$1300,174,2+AF$2)&lt;&gt;"",INDEX('×入力'!$A$1:$L$1300,175+AF$3,1)&lt;&gt;""),1,0),0)</f>
        <v/>
      </c>
      <c r="AG16">
        <f>IF(AG$4=1,IF(OR(INDEX('×入力'!$A$1:$L$1300,175+AG$3,2+AG$2)&lt;&gt;"",INDEX('×入力'!$A$1:$L$1300,174,2+AG$2)&lt;&gt;"",INDEX('×入力'!$A$1:$L$1300,175+AG$3,1)&lt;&gt;""),1,0),0)</f>
        <v/>
      </c>
      <c r="AH16">
        <f>IF(AH$4=1,IF(OR(INDEX('×入力'!$A$1:$L$1300,175+AH$3,2+AH$2)&lt;&gt;"",INDEX('×入力'!$A$1:$L$1300,174,2+AH$2)&lt;&gt;"",INDEX('×入力'!$A$1:$L$1300,175+AH$3,1)&lt;&gt;""),1,0),0)</f>
        <v/>
      </c>
      <c r="AI16">
        <f>IF(AI$4=1,IF(OR(INDEX('×入力'!$A$1:$L$1300,175+AI$3,2+AI$2)&lt;&gt;"",INDEX('×入力'!$A$1:$L$1300,174,2+AI$2)&lt;&gt;"",INDEX('×入力'!$A$1:$L$1300,175+AI$3,1)&lt;&gt;""),1,0),0)</f>
        <v/>
      </c>
      <c r="AJ16">
        <f>IF(AJ$4=1,IF(OR(INDEX('×入力'!$A$1:$L$1300,175+AJ$3,2+AJ$2)&lt;&gt;"",INDEX('×入力'!$A$1:$L$1300,174,2+AJ$2)&lt;&gt;"",INDEX('×入力'!$A$1:$L$1300,175+AJ$3,1)&lt;&gt;""),1,0),0)</f>
        <v/>
      </c>
      <c r="AK16">
        <f>IF(AK$4=1,IF(OR(INDEX('×入力'!$A$1:$L$1300,175+AK$3,2+AK$2)&lt;&gt;"",INDEX('×入力'!$A$1:$L$1300,174,2+AK$2)&lt;&gt;"",INDEX('×入力'!$A$1:$L$1300,175+AK$3,1)&lt;&gt;""),1,0),0)</f>
        <v/>
      </c>
      <c r="AL16">
        <f>IF(AL$4=1,IF(OR(INDEX('×入力'!$A$1:$L$1300,175+AL$3,2+AL$2)&lt;&gt;"",INDEX('×入力'!$A$1:$L$1300,174,2+AL$2)&lt;&gt;"",INDEX('×入力'!$A$1:$L$1300,175+AL$3,1)&lt;&gt;""),1,0),0)</f>
        <v/>
      </c>
      <c r="AM16">
        <f>IF(AM$4=1,IF(OR(INDEX('×入力'!$A$1:$L$1300,175+AM$3,2+AM$2)&lt;&gt;"",INDEX('×入力'!$A$1:$L$1300,174,2+AM$2)&lt;&gt;"",INDEX('×入力'!$A$1:$L$1300,175+AM$3,1)&lt;&gt;""),1,0),0)</f>
        <v/>
      </c>
      <c r="AN16">
        <f>IF(AN$4=1,IF(OR(INDEX('×入力'!$A$1:$L$1300,175+AN$3,2+AN$2)&lt;&gt;"",INDEX('×入力'!$A$1:$L$1300,174,2+AN$2)&lt;&gt;"",INDEX('×入力'!$A$1:$L$1300,175+AN$3,1)&lt;&gt;""),1,0),0)</f>
        <v/>
      </c>
      <c r="AO16">
        <f>IF(AO$4=1,IF(OR(INDEX('×入力'!$A$1:$L$1300,175+AO$3,2+AO$2)&lt;&gt;"",INDEX('×入力'!$A$1:$L$1300,174,2+AO$2)&lt;&gt;"",INDEX('×入力'!$A$1:$L$1300,175+AO$3,1)&lt;&gt;""),1,0),0)</f>
        <v/>
      </c>
      <c r="AP16">
        <f>IF(AP$4=1,IF(OR(INDEX('×入力'!$A$1:$L$1300,175+AP$3,2+AP$2)&lt;&gt;"",INDEX('×入力'!$A$1:$L$1300,174,2+AP$2)&lt;&gt;"",INDEX('×入力'!$A$1:$L$1300,175+AP$3,1)&lt;&gt;""),1,0),0)</f>
        <v/>
      </c>
      <c r="AQ16">
        <f>IF(AQ$4=1,IF(OR(INDEX('×入力'!$A$1:$L$1300,175+AQ$3,2+AQ$2)&lt;&gt;"",INDEX('×入力'!$A$1:$L$1300,174,2+AQ$2)&lt;&gt;"",INDEX('×入力'!$A$1:$L$1300,175+AQ$3,1)&lt;&gt;""),1,0),0)</f>
        <v/>
      </c>
      <c r="AR16">
        <f>IF(AR$4=1,IF(OR(INDEX('×入力'!$A$1:$L$1300,175+AR$3,2+AR$2)&lt;&gt;"",INDEX('×入力'!$A$1:$L$1300,174,2+AR$2)&lt;&gt;"",INDEX('×入力'!$A$1:$L$1300,175+AR$3,1)&lt;&gt;""),1,0),0)</f>
        <v/>
      </c>
      <c r="AS16">
        <f>IF(AS$4=1,IF(OR(INDEX('×入力'!$A$1:$L$1300,175+AS$3,2+AS$2)&lt;&gt;"",INDEX('×入力'!$A$1:$L$1300,174,2+AS$2)&lt;&gt;"",INDEX('×入力'!$A$1:$L$1300,175+AS$3,1)&lt;&gt;""),1,0),0)</f>
        <v/>
      </c>
      <c r="AT16">
        <f>IF(AT$4=1,IF(OR(INDEX('×入力'!$A$1:$L$1300,175+AT$3,2+AT$2)&lt;&gt;"",INDEX('×入力'!$A$1:$L$1300,174,2+AT$2)&lt;&gt;"",INDEX('×入力'!$A$1:$L$1300,175+AT$3,1)&lt;&gt;""),1,0),0)</f>
        <v/>
      </c>
      <c r="AU16">
        <f>IF(AU$4=1,IF(OR(INDEX('×入力'!$A$1:$L$1300,175+AU$3,2+AU$2)&lt;&gt;"",INDEX('×入力'!$A$1:$L$1300,174,2+AU$2)&lt;&gt;"",INDEX('×入力'!$A$1:$L$1300,175+AU$3,1)&lt;&gt;""),1,0),0)</f>
        <v/>
      </c>
      <c r="AV16">
        <f>IF(AV$4=1,IF(OR(INDEX('×入力'!$A$1:$L$1300,175+AV$3,2+AV$2)&lt;&gt;"",INDEX('×入力'!$A$1:$L$1300,174,2+AV$2)&lt;&gt;"",INDEX('×入力'!$A$1:$L$1300,175+AV$3,1)&lt;&gt;""),1,0),0)</f>
        <v/>
      </c>
      <c r="AW16">
        <f>IF(AW$4=1,IF(OR(INDEX('×入力'!$A$1:$L$1300,175+AW$3,2+AW$2)&lt;&gt;"",INDEX('×入力'!$A$1:$L$1300,174,2+AW$2)&lt;&gt;"",INDEX('×入力'!$A$1:$L$1300,175+AW$3,1)&lt;&gt;""),1,0),0)</f>
        <v/>
      </c>
      <c r="AX16">
        <f>IF(AX$4=1,IF(OR(INDEX('×入力'!$A$1:$L$1300,175+AX$3,2+AX$2)&lt;&gt;"",INDEX('×入力'!$A$1:$L$1300,174,2+AX$2)&lt;&gt;"",INDEX('×入力'!$A$1:$L$1300,175+AX$3,1)&lt;&gt;""),1,0),0)</f>
        <v/>
      </c>
      <c r="AY16">
        <f>IF(AY$4=1,IF(OR(INDEX('×入力'!$A$1:$L$1300,175+AY$3,2+AY$2)&lt;&gt;"",INDEX('×入力'!$A$1:$L$1300,174,2+AY$2)&lt;&gt;"",INDEX('×入力'!$A$1:$L$1300,175+AY$3,1)&lt;&gt;""),1,0),0)</f>
        <v/>
      </c>
      <c r="AZ16">
        <f>IF(AZ$4=1,IF(OR(INDEX('×入力'!$A$1:$L$1300,175+AZ$3,2+AZ$2)&lt;&gt;"",INDEX('×入力'!$A$1:$L$1300,174,2+AZ$2)&lt;&gt;"",INDEX('×入力'!$A$1:$L$1300,175+AZ$3,1)&lt;&gt;""),1,0),0)</f>
        <v/>
      </c>
      <c r="BA16">
        <f>IF(BA$4=1,IF(OR(INDEX('×入力'!$A$1:$L$1300,175+BA$3,2+BA$2)&lt;&gt;"",INDEX('×入力'!$A$1:$L$1300,174,2+BA$2)&lt;&gt;"",INDEX('×入力'!$A$1:$L$1300,175+BA$3,1)&lt;&gt;""),1,0),0)</f>
        <v/>
      </c>
      <c r="BB16">
        <f>IF(BB$4=1,IF(OR(INDEX('×入力'!$A$1:$L$1300,175+BB$3,2+BB$2)&lt;&gt;"",INDEX('×入力'!$A$1:$L$1300,174,2+BB$2)&lt;&gt;"",INDEX('×入力'!$A$1:$L$1300,175+BB$3,1)&lt;&gt;""),1,0),0)</f>
        <v/>
      </c>
      <c r="BC16">
        <f>IF(BC$4=1,IF(OR(INDEX('×入力'!$A$1:$L$1300,175+BC$3,2+BC$2)&lt;&gt;"",INDEX('×入力'!$A$1:$L$1300,174,2+BC$2)&lt;&gt;"",INDEX('×入力'!$A$1:$L$1300,175+BC$3,1)&lt;&gt;""),1,0),0)</f>
        <v/>
      </c>
      <c r="BD16">
        <f>IF(BD$4=1,IF(OR(INDEX('×入力'!$A$1:$L$1300,175+BD$3,2+BD$2)&lt;&gt;"",INDEX('×入力'!$A$1:$L$1300,174,2+BD$2)&lt;&gt;"",INDEX('×入力'!$A$1:$L$1300,175+BD$3,1)&lt;&gt;""),1,0),0)</f>
        <v/>
      </c>
      <c r="BE16">
        <f>IF(BE$4=1,IF(OR(INDEX('×入力'!$A$1:$L$1300,175+BE$3,2+BE$2)&lt;&gt;"",INDEX('×入力'!$A$1:$L$1300,174,2+BE$2)&lt;&gt;"",INDEX('×入力'!$A$1:$L$1300,175+BE$3,1)&lt;&gt;""),1,0),0)</f>
        <v/>
      </c>
      <c r="BF16">
        <f>IF(BF$4=1,IF(OR(INDEX('×入力'!$A$1:$L$1300,175+BF$3,2+BF$2)&lt;&gt;"",INDEX('×入力'!$A$1:$L$1300,174,2+BF$2)&lt;&gt;"",INDEX('×入力'!$A$1:$L$1300,175+BF$3,1)&lt;&gt;""),1,0),0)</f>
        <v/>
      </c>
      <c r="BG16">
        <f>IF(BG$4=1,IF(OR(INDEX('×入力'!$A$1:$L$1300,175+BG$3,2+BG$2)&lt;&gt;"",INDEX('×入力'!$A$1:$L$1300,174,2+BG$2)&lt;&gt;"",INDEX('×入力'!$A$1:$L$1300,175+BG$3,1)&lt;&gt;""),1,0),0)</f>
        <v/>
      </c>
      <c r="BH16">
        <f>IF(BH$4=1,IF(OR(INDEX('×入力'!$A$1:$L$1300,175+BH$3,2+BH$2)&lt;&gt;"",INDEX('×入力'!$A$1:$L$1300,174,2+BH$2)&lt;&gt;"",INDEX('×入力'!$A$1:$L$1300,175+BH$3,1)&lt;&gt;""),1,0),0)</f>
        <v/>
      </c>
      <c r="BI16">
        <f>IF(BI$4=1,IF(OR(INDEX('×入力'!$A$1:$L$1300,175+BI$3,2+BI$2)&lt;&gt;"",INDEX('×入力'!$A$1:$L$1300,174,2+BI$2)&lt;&gt;"",INDEX('×入力'!$A$1:$L$1300,175+BI$3,1)&lt;&gt;""),1,0),0)</f>
        <v/>
      </c>
      <c r="BJ16">
        <f>IF(BJ$4=1,IF(OR(INDEX('×入力'!$A$1:$L$1300,175+BJ$3,2+BJ$2)&lt;&gt;"",INDEX('×入力'!$A$1:$L$1300,174,2+BJ$2)&lt;&gt;"",INDEX('×入力'!$A$1:$L$1300,175+BJ$3,1)&lt;&gt;""),1,0),0)</f>
        <v/>
      </c>
      <c r="BK16">
        <f>IF(BK$4=1,IF(OR(INDEX('×入力'!$A$1:$L$1300,175+BK$3,2+BK$2)&lt;&gt;"",INDEX('×入力'!$A$1:$L$1300,174,2+BK$2)&lt;&gt;"",INDEX('×入力'!$A$1:$L$1300,175+BK$3,1)&lt;&gt;""),1,0),0)</f>
        <v/>
      </c>
      <c r="BL16">
        <f>IF(BL$4=1,IF(OR(INDEX('×入力'!$A$1:$L$1300,175+BL$3,2+BL$2)&lt;&gt;"",INDEX('×入力'!$A$1:$L$1300,174,2+BL$2)&lt;&gt;"",INDEX('×入力'!$A$1:$L$1300,175+BL$3,1)&lt;&gt;""),1,0),0)</f>
        <v/>
      </c>
      <c r="BM16">
        <f>IF(BM$4=1,IF(OR(INDEX('×入力'!$A$1:$L$1300,175+BM$3,2+BM$2)&lt;&gt;"",INDEX('×入力'!$A$1:$L$1300,174,2+BM$2)&lt;&gt;"",INDEX('×入力'!$A$1:$L$1300,175+BM$3,1)&lt;&gt;""),1,0),0)</f>
        <v/>
      </c>
      <c r="BN16">
        <f>IF(BN$4=1,IF(OR(INDEX('×入力'!$A$1:$L$1300,175+BN$3,2+BN$2)&lt;&gt;"",INDEX('×入力'!$A$1:$L$1300,174,2+BN$2)&lt;&gt;"",INDEX('×入力'!$A$1:$L$1300,175+BN$3,1)&lt;&gt;""),1,0),0)</f>
        <v/>
      </c>
      <c r="BO16">
        <f>IF(BO$4=1,IF(OR(INDEX('×入力'!$A$1:$L$1300,175+BO$3,2+BO$2)&lt;&gt;"",INDEX('×入力'!$A$1:$L$1300,174,2+BO$2)&lt;&gt;"",INDEX('×入力'!$A$1:$L$1300,175+BO$3,1)&lt;&gt;""),1,0),0)</f>
        <v/>
      </c>
      <c r="BP16">
        <f>IF(BP$4=1,IF(OR(INDEX('×入力'!$A$1:$L$1300,175+BP$3,2+BP$2)&lt;&gt;"",INDEX('×入力'!$A$1:$L$1300,174,2+BP$2)&lt;&gt;"",INDEX('×入力'!$A$1:$L$1300,175+BP$3,1)&lt;&gt;""),1,0),0)</f>
        <v/>
      </c>
      <c r="BQ16">
        <f>IF(BQ$4=1,IF(OR(INDEX('×入力'!$A$1:$L$1300,175+BQ$3,2+BQ$2)&lt;&gt;"",INDEX('×入力'!$A$1:$L$1300,174,2+BQ$2)&lt;&gt;"",INDEX('×入力'!$A$1:$L$1300,175+BQ$3,1)&lt;&gt;""),1,0),0)</f>
        <v/>
      </c>
      <c r="BR16">
        <f>IF(BR$4=1,IF(OR(INDEX('×入力'!$A$1:$L$1300,175+BR$3,2+BR$2)&lt;&gt;"",INDEX('×入力'!$A$1:$L$1300,174,2+BR$2)&lt;&gt;"",INDEX('×入力'!$A$1:$L$1300,175+BR$3,1)&lt;&gt;""),1,0),0)</f>
        <v/>
      </c>
      <c r="BS16">
        <f>IF(BS$4=1,IF(OR(INDEX('×入力'!$A$1:$L$1300,175+BS$3,2+BS$2)&lt;&gt;"",INDEX('×入力'!$A$1:$L$1300,174,2+BS$2)&lt;&gt;"",INDEX('×入力'!$A$1:$L$1300,175+BS$3,1)&lt;&gt;""),1,0),0)</f>
        <v/>
      </c>
      <c r="BT16">
        <f>IF(BT$4=1,IF(OR(INDEX('×入力'!$A$1:$L$1300,175+BT$3,2+BT$2)&lt;&gt;"",INDEX('×入力'!$A$1:$L$1300,174,2+BT$2)&lt;&gt;"",INDEX('×入力'!$A$1:$L$1300,175+BT$3,1)&lt;&gt;""),1,0),0)</f>
        <v/>
      </c>
      <c r="BU16">
        <f>IF(BU$4=1,IF(OR(INDEX('×入力'!$A$1:$L$1300,175+BU$3,2+BU$2)&lt;&gt;"",INDEX('×入力'!$A$1:$L$1300,174,2+BU$2)&lt;&gt;"",INDEX('×入力'!$A$1:$L$1300,175+BU$3,1)&lt;&gt;""),1,0),0)</f>
        <v/>
      </c>
      <c r="BV16">
        <f>IF(BV$4=1,IF(OR(INDEX('×入力'!$A$1:$L$1300,175+BV$3,2+BV$2)&lt;&gt;"",INDEX('×入力'!$A$1:$L$1300,174,2+BV$2)&lt;&gt;"",INDEX('×入力'!$A$1:$L$1300,175+BV$3,1)&lt;&gt;""),1,0),0)</f>
        <v/>
      </c>
      <c r="BW16">
        <f>IF(BW$4=1,IF(OR(INDEX('×入力'!$A$1:$L$1300,175+BW$3,2+BW$2)&lt;&gt;"",INDEX('×入力'!$A$1:$L$1300,174,2+BW$2)&lt;&gt;"",INDEX('×入力'!$A$1:$L$1300,175+BW$3,1)&lt;&gt;""),1,0),0)</f>
        <v/>
      </c>
      <c r="BX16">
        <f>IF(BX$4=1,IF(OR(INDEX('×入力'!$A$1:$L$1300,175+BX$3,2+BX$2)&lt;&gt;"",INDEX('×入力'!$A$1:$L$1300,174,2+BX$2)&lt;&gt;"",INDEX('×入力'!$A$1:$L$1300,175+BX$3,1)&lt;&gt;""),1,0),0)</f>
        <v/>
      </c>
      <c r="BY16">
        <f>IF(BY$4=1,IF(OR(INDEX('×入力'!$A$1:$L$1300,175+BY$3,2+BY$2)&lt;&gt;"",INDEX('×入力'!$A$1:$L$1300,174,2+BY$2)&lt;&gt;"",INDEX('×入力'!$A$1:$L$1300,175+BY$3,1)&lt;&gt;""),1,0),0)</f>
        <v/>
      </c>
      <c r="BZ16">
        <f>IF(BZ$4=1,IF(OR(INDEX('×入力'!$A$1:$L$1300,175+BZ$3,2+BZ$2)&lt;&gt;"",INDEX('×入力'!$A$1:$L$1300,174,2+BZ$2)&lt;&gt;"",INDEX('×入力'!$A$1:$L$1300,175+BZ$3,1)&lt;&gt;""),1,0),0)</f>
        <v/>
      </c>
      <c r="CA16">
        <f>IF(CA$4=1,IF(OR(INDEX('×入力'!$A$1:$L$1300,175+CA$3,2+CA$2)&lt;&gt;"",INDEX('×入力'!$A$1:$L$1300,174,2+CA$2)&lt;&gt;"",INDEX('×入力'!$A$1:$L$1300,175+CA$3,1)&lt;&gt;""),1,0),0)</f>
        <v/>
      </c>
      <c r="CB16">
        <f>IF(CB$4=1,IF(OR(INDEX('×入力'!$A$1:$L$1300,175+CB$3,2+CB$2)&lt;&gt;"",INDEX('×入力'!$A$1:$L$1300,174,2+CB$2)&lt;&gt;"",INDEX('×入力'!$A$1:$L$1300,175+CB$3,1)&lt;&gt;""),1,0),0)</f>
        <v/>
      </c>
      <c r="CC16">
        <f>IF(CC$4=1,IF(OR(INDEX('×入力'!$A$1:$L$1300,175+CC$3,2+CC$2)&lt;&gt;"",INDEX('×入力'!$A$1:$L$1300,174,2+CC$2)&lt;&gt;"",INDEX('×入力'!$A$1:$L$1300,175+CC$3,1)&lt;&gt;""),1,0),0)</f>
        <v/>
      </c>
      <c r="CD16">
        <f>IF(CD$4=1,IF(OR(INDEX('×入力'!$A$1:$L$1300,175+CD$3,2+CD$2)&lt;&gt;"",INDEX('×入力'!$A$1:$L$1300,174,2+CD$2)&lt;&gt;"",INDEX('×入力'!$A$1:$L$1300,175+CD$3,1)&lt;&gt;""),1,0),0)</f>
        <v/>
      </c>
      <c r="CE16">
        <f>IF(CE$4=1,IF(OR(INDEX('×入力'!$A$1:$L$1300,175+CE$3,2+CE$2)&lt;&gt;"",INDEX('×入力'!$A$1:$L$1300,174,2+CE$2)&lt;&gt;"",INDEX('×入力'!$A$1:$L$1300,175+CE$3,1)&lt;&gt;""),1,0),0)</f>
        <v/>
      </c>
      <c r="CF16">
        <f>IF(CF$4=1,IF(OR(INDEX('×入力'!$A$1:$L$1300,175+CF$3,2+CF$2)&lt;&gt;"",INDEX('×入力'!$A$1:$L$1300,174,2+CF$2)&lt;&gt;"",INDEX('×入力'!$A$1:$L$1300,175+CF$3,1)&lt;&gt;""),1,0),0)</f>
        <v/>
      </c>
      <c r="CG16">
        <f>IF(CG$4=1,IF(OR(INDEX('×入力'!$A$1:$L$1300,175+CG$3,2+CG$2)&lt;&gt;"",INDEX('×入力'!$A$1:$L$1300,174,2+CG$2)&lt;&gt;"",INDEX('×入力'!$A$1:$L$1300,175+CG$3,1)&lt;&gt;""),1,0),0)</f>
        <v/>
      </c>
      <c r="CH16">
        <f>IF(CH$4=1,IF(OR(INDEX('×入力'!$A$1:$L$1300,175+CH$3,2+CH$2)&lt;&gt;"",INDEX('×入力'!$A$1:$L$1300,174,2+CH$2)&lt;&gt;"",INDEX('×入力'!$A$1:$L$1300,175+CH$3,1)&lt;&gt;""),1,0),0)</f>
        <v/>
      </c>
      <c r="CI16">
        <f>IF(CI$4=1,IF(OR(INDEX('×入力'!$A$1:$L$1300,175+CI$3,2+CI$2)&lt;&gt;"",INDEX('×入力'!$A$1:$L$1300,174,2+CI$2)&lt;&gt;"",INDEX('×入力'!$A$1:$L$1300,175+CI$3,1)&lt;&gt;""),1,0),0)</f>
        <v/>
      </c>
      <c r="CJ16">
        <f>IF(CJ$4=1,IF(OR(INDEX('×入力'!$A$1:$L$1300,175+CJ$3,2+CJ$2)&lt;&gt;"",INDEX('×入力'!$A$1:$L$1300,174,2+CJ$2)&lt;&gt;"",INDEX('×入力'!$A$1:$L$1300,175+CJ$3,1)&lt;&gt;""),1,0),0)</f>
        <v/>
      </c>
      <c r="CK16">
        <f>IF(CK$4=1,IF(OR(INDEX('×入力'!$A$1:$L$1300,175+CK$3,2+CK$2)&lt;&gt;"",INDEX('×入力'!$A$1:$L$1300,174,2+CK$2)&lt;&gt;"",INDEX('×入力'!$A$1:$L$1300,175+CK$3,1)&lt;&gt;""),1,0),0)</f>
        <v/>
      </c>
      <c r="CL16">
        <f>IF(CL$4=1,IF(OR(INDEX('×入力'!$A$1:$L$1300,175+CL$3,2+CL$2)&lt;&gt;"",INDEX('×入力'!$A$1:$L$1300,174,2+CL$2)&lt;&gt;"",INDEX('×入力'!$A$1:$L$1300,175+CL$3,1)&lt;&gt;""),1,0),0)</f>
        <v/>
      </c>
      <c r="CM16">
        <f>IF(CM$4=1,IF(OR(INDEX('×入力'!$A$1:$L$1300,175+CM$3,2+CM$2)&lt;&gt;"",INDEX('×入力'!$A$1:$L$1300,174,2+CM$2)&lt;&gt;"",INDEX('×入力'!$A$1:$L$1300,175+CM$3,1)&lt;&gt;""),1,0),0)</f>
        <v/>
      </c>
      <c r="CN16">
        <f>IF(CN$4=1,IF(OR(INDEX('×入力'!$A$1:$L$1300,175+CN$3,2+CN$2)&lt;&gt;"",INDEX('×入力'!$A$1:$L$1300,174,2+CN$2)&lt;&gt;"",INDEX('×入力'!$A$1:$L$1300,175+CN$3,1)&lt;&gt;""),1,0),0)</f>
        <v/>
      </c>
      <c r="CO16">
        <f>IF(CO$4=1,IF(OR(INDEX('×入力'!$A$1:$L$1300,175+CO$3,2+CO$2)&lt;&gt;"",INDEX('×入力'!$A$1:$L$1300,174,2+CO$2)&lt;&gt;"",INDEX('×入力'!$A$1:$L$1300,175+CO$3,1)&lt;&gt;""),1,0),0)</f>
        <v/>
      </c>
      <c r="CP16">
        <f>IF(CP$4=1,IF(OR(INDEX('×入力'!$A$1:$L$1300,175+CP$3,2+CP$2)&lt;&gt;"",INDEX('×入力'!$A$1:$L$1300,174,2+CP$2)&lt;&gt;"",INDEX('×入力'!$A$1:$L$1300,175+CP$3,1)&lt;&gt;""),1,0),0)</f>
        <v/>
      </c>
      <c r="CQ16">
        <f>IF(CQ$4=1,IF(OR(INDEX('×入力'!$A$1:$L$1300,175+CQ$3,2+CQ$2)&lt;&gt;"",INDEX('×入力'!$A$1:$L$1300,174,2+CQ$2)&lt;&gt;"",INDEX('×入力'!$A$1:$L$1300,175+CQ$3,1)&lt;&gt;""),1,0),0)</f>
        <v/>
      </c>
      <c r="CR16">
        <f>IF(CR$4=1,IF(OR(INDEX('×入力'!$A$1:$L$1300,175+CR$3,2+CR$2)&lt;&gt;"",INDEX('×入力'!$A$1:$L$1300,174,2+CR$2)&lt;&gt;"",INDEX('×入力'!$A$1:$L$1300,175+CR$3,1)&lt;&gt;""),1,0),0)</f>
        <v/>
      </c>
      <c r="CS16">
        <f>IF(CS$4=1,IF(OR(INDEX('×入力'!$A$1:$L$1300,175+CS$3,2+CS$2)&lt;&gt;"",INDEX('×入力'!$A$1:$L$1300,174,2+CS$2)&lt;&gt;"",INDEX('×入力'!$A$1:$L$1300,175+CS$3,1)&lt;&gt;""),1,0),0)</f>
        <v/>
      </c>
      <c r="CT16">
        <f>IF(CT$4=1,IF(OR(INDEX('×入力'!$A$1:$L$1300,175+CT$3,2+CT$2)&lt;&gt;"",INDEX('×入力'!$A$1:$L$1300,174,2+CT$2)&lt;&gt;"",INDEX('×入力'!$A$1:$L$1300,175+CT$3,1)&lt;&gt;""),1,0),0)</f>
        <v/>
      </c>
      <c r="CU16">
        <f>IF(CU$4=1,IF(OR(INDEX('×入力'!$A$1:$L$1300,175+CU$3,2+CU$2)&lt;&gt;"",INDEX('×入力'!$A$1:$L$1300,174,2+CU$2)&lt;&gt;"",INDEX('×入力'!$A$1:$L$1300,175+CU$3,1)&lt;&gt;""),1,0),0)</f>
        <v/>
      </c>
      <c r="CV16">
        <f>IF(CV$4=1,IF(OR(INDEX('×入力'!$A$1:$L$1300,175+CV$3,2+CV$2)&lt;&gt;"",INDEX('×入力'!$A$1:$L$1300,174,2+CV$2)&lt;&gt;"",INDEX('×入力'!$A$1:$L$1300,175+CV$3,1)&lt;&gt;""),1,0),0)</f>
        <v/>
      </c>
      <c r="CW16">
        <f>IF(CW$4=1,IF(OR(INDEX('×入力'!$A$1:$L$1300,175+CW$3,2+CW$2)&lt;&gt;"",INDEX('×入力'!$A$1:$L$1300,174,2+CW$2)&lt;&gt;"",INDEX('×入力'!$A$1:$L$1300,175+CW$3,1)&lt;&gt;""),1,0),0)</f>
        <v/>
      </c>
      <c r="CX16">
        <f>IF(CX$4=1,IF(OR(INDEX('×入力'!$A$1:$L$1300,175+CX$3,2+CX$2)&lt;&gt;"",INDEX('×入力'!$A$1:$L$1300,174,2+CX$2)&lt;&gt;"",INDEX('×入力'!$A$1:$L$1300,175+CX$3,1)&lt;&gt;""),1,0),0)</f>
        <v/>
      </c>
      <c r="CY16">
        <f>IF(CY$4=1,IF(OR(INDEX('×入力'!$A$1:$L$1300,175+CY$3,2+CY$2)&lt;&gt;"",INDEX('×入力'!$A$1:$L$1300,174,2+CY$2)&lt;&gt;"",INDEX('×入力'!$A$1:$L$1300,175+CY$3,1)&lt;&gt;""),1,0),0)</f>
        <v/>
      </c>
      <c r="CZ16">
        <f>IF(CZ$4=1,IF(OR(INDEX('×入力'!$A$1:$L$1300,175+CZ$3,2+CZ$2)&lt;&gt;"",INDEX('×入力'!$A$1:$L$1300,174,2+CZ$2)&lt;&gt;"",INDEX('×入力'!$A$1:$L$1300,175+CZ$3,1)&lt;&gt;""),1,0),0)</f>
        <v/>
      </c>
      <c r="DA16">
        <f>IF(DA$4=1,IF(OR(INDEX('×入力'!$A$1:$L$1300,175+DA$3,2+DA$2)&lt;&gt;"",INDEX('×入力'!$A$1:$L$1300,174,2+DA$2)&lt;&gt;"",INDEX('×入力'!$A$1:$L$1300,175+DA$3,1)&lt;&gt;""),1,0),0)</f>
        <v/>
      </c>
      <c r="DB16">
        <f>IF(DB$4=1,IF(OR(INDEX('×入力'!$A$1:$L$1300,175+DB$3,2+DB$2)&lt;&gt;"",INDEX('×入力'!$A$1:$L$1300,174,2+DB$2)&lt;&gt;"",INDEX('×入力'!$A$1:$L$1300,175+DB$3,1)&lt;&gt;""),1,0),0)</f>
        <v/>
      </c>
      <c r="DC16">
        <f>IF(DC$4=1,IF(OR(INDEX('×入力'!$A$1:$L$1300,175+DC$3,2+DC$2)&lt;&gt;"",INDEX('×入力'!$A$1:$L$1300,174,2+DC$2)&lt;&gt;"",INDEX('×入力'!$A$1:$L$1300,175+DC$3,1)&lt;&gt;""),1,0),0)</f>
        <v/>
      </c>
      <c r="DD16">
        <f>IF(DD$4=1,IF(OR(INDEX('×入力'!$A$1:$L$1300,175+DD$3,2+DD$2)&lt;&gt;"",INDEX('×入力'!$A$1:$L$1300,174,2+DD$2)&lt;&gt;"",INDEX('×入力'!$A$1:$L$1300,175+DD$3,1)&lt;&gt;""),1,0),0)</f>
        <v/>
      </c>
      <c r="DE16">
        <f>IF(DE$4=1,IF(OR(INDEX('×入力'!$A$1:$L$1300,175+DE$3,2+DE$2)&lt;&gt;"",INDEX('×入力'!$A$1:$L$1300,174,2+DE$2)&lt;&gt;"",INDEX('×入力'!$A$1:$L$1300,175+DE$3,1)&lt;&gt;""),1,0),0)</f>
        <v/>
      </c>
      <c r="DF16">
        <f>IF(DF$4=1,IF(OR(INDEX('×入力'!$A$1:$L$1300,175+DF$3,2+DF$2)&lt;&gt;"",INDEX('×入力'!$A$1:$L$1300,174,2+DF$2)&lt;&gt;"",INDEX('×入力'!$A$1:$L$1300,175+DF$3,1)&lt;&gt;""),1,0),0)</f>
        <v/>
      </c>
      <c r="DG16">
        <f>IF(DG$4=1,IF(OR(INDEX('×入力'!$A$1:$L$1300,175+DG$3,2+DG$2)&lt;&gt;"",INDEX('×入力'!$A$1:$L$1300,174,2+DG$2)&lt;&gt;"",INDEX('×入力'!$A$1:$L$1300,175+DG$3,1)&lt;&gt;""),1,0),0)</f>
        <v/>
      </c>
      <c r="DH16">
        <f>IF(DH$4=1,IF(OR(INDEX('×入力'!$A$1:$L$1300,175+DH$3,2+DH$2)&lt;&gt;"",INDEX('×入力'!$A$1:$L$1300,174,2+DH$2)&lt;&gt;"",INDEX('×入力'!$A$1:$L$1300,175+DH$3,1)&lt;&gt;""),1,0),0)</f>
        <v/>
      </c>
      <c r="DI16">
        <f>IF(DI$4=1,IF(OR(INDEX('×入力'!$A$1:$L$1300,175+DI$3,2+DI$2)&lt;&gt;"",INDEX('×入力'!$A$1:$L$1300,174,2+DI$2)&lt;&gt;"",INDEX('×入力'!$A$1:$L$1300,175+DI$3,1)&lt;&gt;""),1,0),0)</f>
        <v/>
      </c>
      <c r="DJ16">
        <f>IF(DJ$4=1,IF(OR(INDEX('×入力'!$A$1:$L$1300,175+DJ$3,2+DJ$2)&lt;&gt;"",INDEX('×入力'!$A$1:$L$1300,174,2+DJ$2)&lt;&gt;"",INDEX('×入力'!$A$1:$L$1300,175+DJ$3,1)&lt;&gt;""),1,0),0)</f>
        <v/>
      </c>
      <c r="DK16">
        <f>IF(DK$4=1,IF(OR(INDEX('×入力'!$A$1:$L$1300,175+DK$3,2+DK$2)&lt;&gt;"",INDEX('×入力'!$A$1:$L$1300,174,2+DK$2)&lt;&gt;"",INDEX('×入力'!$A$1:$L$1300,175+DK$3,1)&lt;&gt;""),1,0),0)</f>
        <v/>
      </c>
      <c r="DL16">
        <f>IF(DL$4=1,IF(OR(INDEX('×入力'!$A$1:$L$1300,175+DL$3,2+DL$2)&lt;&gt;"",INDEX('×入力'!$A$1:$L$1300,174,2+DL$2)&lt;&gt;"",INDEX('×入力'!$A$1:$L$1300,175+DL$3,1)&lt;&gt;""),1,0),0)</f>
        <v/>
      </c>
      <c r="DM16">
        <f>IF(DM$4=1,IF(OR(INDEX('×入力'!$A$1:$L$1300,175+DM$3,2+DM$2)&lt;&gt;"",INDEX('×入力'!$A$1:$L$1300,174,2+DM$2)&lt;&gt;"",INDEX('×入力'!$A$1:$L$1300,175+DM$3,1)&lt;&gt;""),1,0),0)</f>
        <v/>
      </c>
      <c r="DN16">
        <f>IF(DN$4=1,IF(OR(INDEX('×入力'!$A$1:$L$1300,175+DN$3,2+DN$2)&lt;&gt;"",INDEX('×入力'!$A$1:$L$1300,174,2+DN$2)&lt;&gt;"",INDEX('×入力'!$A$1:$L$1300,175+DN$3,1)&lt;&gt;""),1,0),0)</f>
        <v/>
      </c>
      <c r="DO16">
        <f>IF(DO$4=1,IF(OR(INDEX('×入力'!$A$1:$L$1300,175+DO$3,2+DO$2)&lt;&gt;"",INDEX('×入力'!$A$1:$L$1300,174,2+DO$2)&lt;&gt;"",INDEX('×入力'!$A$1:$L$1300,175+DO$3,1)&lt;&gt;""),1,0),0)</f>
        <v/>
      </c>
      <c r="DP16">
        <f>IF(DP$4=1,IF(OR(INDEX('×入力'!$A$1:$L$1300,175+DP$3,2+DP$2)&lt;&gt;"",INDEX('×入力'!$A$1:$L$1300,174,2+DP$2)&lt;&gt;"",INDEX('×入力'!$A$1:$L$1300,175+DP$3,1)&lt;&gt;""),1,0),0)</f>
        <v/>
      </c>
      <c r="DQ16">
        <f>IF(DQ$4=1,IF(OR(INDEX('×入力'!$A$1:$L$1300,175+DQ$3,2+DQ$2)&lt;&gt;"",INDEX('×入力'!$A$1:$L$1300,174,2+DQ$2)&lt;&gt;"",INDEX('×入力'!$A$1:$L$1300,175+DQ$3,1)&lt;&gt;""),1,0),0)</f>
        <v/>
      </c>
      <c r="DR16">
        <f>IF(DR$4=1,IF(OR(INDEX('×入力'!$A$1:$L$1300,175+DR$3,2+DR$2)&lt;&gt;"",INDEX('×入力'!$A$1:$L$1300,174,2+DR$2)&lt;&gt;"",INDEX('×入力'!$A$1:$L$1300,175+DR$3,1)&lt;&gt;""),1,0),0)</f>
        <v/>
      </c>
      <c r="DS16">
        <f>IF(DS$4=1,IF(OR(INDEX('×入力'!$A$1:$L$1300,175+DS$3,2+DS$2)&lt;&gt;"",INDEX('×入力'!$A$1:$L$1300,174,2+DS$2)&lt;&gt;"",INDEX('×入力'!$A$1:$L$1300,175+DS$3,1)&lt;&gt;""),1,0),0)</f>
        <v/>
      </c>
      <c r="DT16">
        <f>IF(DT$4=1,IF(OR(INDEX('×入力'!$A$1:$L$1300,175+DT$3,2+DT$2)&lt;&gt;"",INDEX('×入力'!$A$1:$L$1300,174,2+DT$2)&lt;&gt;"",INDEX('×入力'!$A$1:$L$1300,175+DT$3,1)&lt;&gt;""),1,0),0)</f>
        <v/>
      </c>
      <c r="DU16">
        <f>IF(DU$4=1,IF(OR(INDEX('×入力'!$A$1:$L$1300,175+DU$3,2+DU$2)&lt;&gt;"",INDEX('×入力'!$A$1:$L$1300,174,2+DU$2)&lt;&gt;"",INDEX('×入力'!$A$1:$L$1300,175+DU$3,1)&lt;&gt;""),1,0),0)</f>
        <v/>
      </c>
      <c r="DV16">
        <f>IF(DV$4=1,IF(OR(INDEX('×入力'!$A$1:$L$1300,175+DV$3,2+DV$2)&lt;&gt;"",INDEX('×入力'!$A$1:$L$1300,174,2+DV$2)&lt;&gt;"",INDEX('×入力'!$A$1:$L$1300,175+DV$3,1)&lt;&gt;""),1,0),0)</f>
        <v/>
      </c>
      <c r="DW16">
        <f>IF(DW$4=1,IF(OR(INDEX('×入力'!$A$1:$L$1300,175+DW$3,2+DW$2)&lt;&gt;"",INDEX('×入力'!$A$1:$L$1300,174,2+DW$2)&lt;&gt;"",INDEX('×入力'!$A$1:$L$1300,175+DW$3,1)&lt;&gt;""),1,0),0)</f>
        <v/>
      </c>
      <c r="DX16">
        <f>IF(DX$4=1,IF(OR(INDEX('×入力'!$A$1:$L$1300,175+DX$3,2+DX$2)&lt;&gt;"",INDEX('×入力'!$A$1:$L$1300,174,2+DX$2)&lt;&gt;"",INDEX('×入力'!$A$1:$L$1300,175+DX$3,1)&lt;&gt;""),1,0),0)</f>
        <v/>
      </c>
      <c r="DY16">
        <f>IF(DY$4=1,IF(OR(INDEX('×入力'!$A$1:$L$1300,175+DY$3,2+DY$2)&lt;&gt;"",INDEX('×入力'!$A$1:$L$1300,174,2+DY$2)&lt;&gt;"",INDEX('×入力'!$A$1:$L$1300,175+DY$3,1)&lt;&gt;""),1,0),0)</f>
        <v/>
      </c>
      <c r="DZ16">
        <f>IF(DZ$4=1,IF(OR(INDEX('×入力'!$A$1:$L$1300,175+DZ$3,2+DZ$2)&lt;&gt;"",INDEX('×入力'!$A$1:$L$1300,174,2+DZ$2)&lt;&gt;"",INDEX('×入力'!$A$1:$L$1300,175+DZ$3,1)&lt;&gt;""),1,0),0)</f>
        <v/>
      </c>
      <c r="EA16">
        <f>IF(EA$4=1,IF(OR(INDEX('×入力'!$A$1:$L$1300,175+EA$3,2+EA$2)&lt;&gt;"",INDEX('×入力'!$A$1:$L$1300,174,2+EA$2)&lt;&gt;"",INDEX('×入力'!$A$1:$L$1300,175+EA$3,1)&lt;&gt;""),1,0),0)</f>
        <v/>
      </c>
      <c r="EB16">
        <f>IF(EB$4=1,IF(OR(INDEX('×入力'!$A$1:$L$1300,175+EB$3,2+EB$2)&lt;&gt;"",INDEX('×入力'!$A$1:$L$1300,174,2+EB$2)&lt;&gt;"",INDEX('×入力'!$A$1:$L$1300,175+EB$3,1)&lt;&gt;""),1,0),0)</f>
        <v/>
      </c>
      <c r="EC16">
        <f>IF(EC$4=1,IF(OR(INDEX('×入力'!$A$1:$L$1300,175+EC$3,2+EC$2)&lt;&gt;"",INDEX('×入力'!$A$1:$L$1300,174,2+EC$2)&lt;&gt;"",INDEX('×入力'!$A$1:$L$1300,175+EC$3,1)&lt;&gt;""),1,0),0)</f>
        <v/>
      </c>
      <c r="ED16">
        <f>IF(ED$4=1,IF(OR(INDEX('×入力'!$A$1:$L$1300,175+ED$3,2+ED$2)&lt;&gt;"",INDEX('×入力'!$A$1:$L$1300,174,2+ED$2)&lt;&gt;"",INDEX('×入力'!$A$1:$L$1300,175+ED$3,1)&lt;&gt;""),1,0),0)</f>
        <v/>
      </c>
      <c r="EE16">
        <f>IF(EE$4=1,IF(OR(INDEX('×入力'!$A$1:$L$1300,175+EE$3,2+EE$2)&lt;&gt;"",INDEX('×入力'!$A$1:$L$1300,174,2+EE$2)&lt;&gt;"",INDEX('×入力'!$A$1:$L$1300,175+EE$3,1)&lt;&gt;""),1,0),0)</f>
        <v/>
      </c>
      <c r="EF16">
        <f>IF(EF$4=1,IF(OR(INDEX('×入力'!$A$1:$L$1300,175+EF$3,2+EF$2)&lt;&gt;"",INDEX('×入力'!$A$1:$L$1300,174,2+EF$2)&lt;&gt;"",INDEX('×入力'!$A$1:$L$1300,175+EF$3,1)&lt;&gt;""),1,0),0)</f>
        <v/>
      </c>
      <c r="EG16">
        <f>IF(EG$4=1,IF(OR(INDEX('×入力'!$A$1:$L$1300,175+EG$3,2+EG$2)&lt;&gt;"",INDEX('×入力'!$A$1:$L$1300,174,2+EG$2)&lt;&gt;"",INDEX('×入力'!$A$1:$L$1300,175+EG$3,1)&lt;&gt;""),1,0),0)</f>
        <v/>
      </c>
      <c r="EH16">
        <f>IF(EH$4=1,IF(OR(INDEX('×入力'!$A$1:$L$1300,175+EH$3,2+EH$2)&lt;&gt;"",INDEX('×入力'!$A$1:$L$1300,174,2+EH$2)&lt;&gt;"",INDEX('×入力'!$A$1:$L$1300,175+EH$3,1)&lt;&gt;""),1,0),0)</f>
        <v/>
      </c>
      <c r="EI16">
        <f>IF(EI$4=1,IF(OR(INDEX('×入力'!$A$1:$L$1300,175+EI$3,2+EI$2)&lt;&gt;"",INDEX('×入力'!$A$1:$L$1300,174,2+EI$2)&lt;&gt;"",INDEX('×入力'!$A$1:$L$1300,175+EI$3,1)&lt;&gt;""),1,0),0)</f>
        <v/>
      </c>
      <c r="EJ16">
        <f>IF(EJ$4=1,IF(OR(INDEX('×入力'!$A$1:$L$1300,175+EJ$3,2+EJ$2)&lt;&gt;"",INDEX('×入力'!$A$1:$L$1300,174,2+EJ$2)&lt;&gt;"",INDEX('×入力'!$A$1:$L$1300,175+EJ$3,1)&lt;&gt;""),1,0),0)</f>
        <v/>
      </c>
      <c r="EK16">
        <f>IF(EK$4=1,IF(OR(INDEX('×入力'!$A$1:$L$1300,175+EK$3,2+EK$2)&lt;&gt;"",INDEX('×入力'!$A$1:$L$1300,174,2+EK$2)&lt;&gt;"",INDEX('×入力'!$A$1:$L$1300,175+EK$3,1)&lt;&gt;""),1,0),0)</f>
        <v/>
      </c>
      <c r="EL16">
        <f>IF(EL$4=1,IF(OR(INDEX('×入力'!$A$1:$L$1300,175+EL$3,2+EL$2)&lt;&gt;"",INDEX('×入力'!$A$1:$L$1300,174,2+EL$2)&lt;&gt;"",INDEX('×入力'!$A$1:$L$1300,175+EL$3,1)&lt;&gt;""),1,0),0)</f>
        <v/>
      </c>
      <c r="EM16">
        <f>IF(EM$4=1,IF(OR(INDEX('×入力'!$A$1:$L$1300,175+EM$3,2+EM$2)&lt;&gt;"",INDEX('×入力'!$A$1:$L$1300,174,2+EM$2)&lt;&gt;"",INDEX('×入力'!$A$1:$L$1300,175+EM$3,1)&lt;&gt;""),1,0),0)</f>
        <v/>
      </c>
      <c r="EN16">
        <f>IF(EN$4=1,IF(OR(INDEX('×入力'!$A$1:$L$1300,175+EN$3,2+EN$2)&lt;&gt;"",INDEX('×入力'!$A$1:$L$1300,174,2+EN$2)&lt;&gt;"",INDEX('×入力'!$A$1:$L$1300,175+EN$3,1)&lt;&gt;""),1,0),0)</f>
        <v/>
      </c>
      <c r="EO16">
        <f>IF(EO$4=1,IF(OR(INDEX('×入力'!$A$1:$L$1300,175+EO$3,2+EO$2)&lt;&gt;"",INDEX('×入力'!$A$1:$L$1300,174,2+EO$2)&lt;&gt;"",INDEX('×入力'!$A$1:$L$1300,175+EO$3,1)&lt;&gt;""),1,0),0)</f>
        <v/>
      </c>
      <c r="EP16">
        <f>IF(EP$4=1,IF(OR(INDEX('×入力'!$A$1:$L$1300,175+EP$3,2+EP$2)&lt;&gt;"",INDEX('×入力'!$A$1:$L$1300,174,2+EP$2)&lt;&gt;"",INDEX('×入力'!$A$1:$L$1300,175+EP$3,1)&lt;&gt;""),1,0),0)</f>
        <v/>
      </c>
      <c r="EQ16">
        <f>IF(EQ$4=1,IF(OR(INDEX('×入力'!$A$1:$L$1300,175+EQ$3,2+EQ$2)&lt;&gt;"",INDEX('×入力'!$A$1:$L$1300,174,2+EQ$2)&lt;&gt;"",INDEX('×入力'!$A$1:$L$1300,175+EQ$3,1)&lt;&gt;""),1,0),0)</f>
        <v/>
      </c>
      <c r="HA16">
        <f>MAX(0,IT16)</f>
        <v/>
      </c>
      <c r="HB16">
        <f>IF(HA16=0,0,INDEX($D$2:$EQ$2,HA16))</f>
        <v/>
      </c>
      <c r="HC16">
        <f>IF(HA16=0,0,INDEX($D$3:$EQ$3,HA16))</f>
        <v/>
      </c>
      <c r="HD16">
        <f>MAX(0,IY16)</f>
        <v/>
      </c>
      <c r="HE16">
        <f>IF(HD16=0,0,INDEX($D$2:$EQ$2,HD16))</f>
        <v/>
      </c>
      <c r="HF16">
        <f>IF(HD16=0,0,INDEX($D$3:$EQ$3,HD16))</f>
        <v/>
      </c>
      <c r="HG16">
        <f>MAX(0,IZ16)</f>
        <v/>
      </c>
      <c r="HH16">
        <f>IF(HG16=0,0,INDEX($D$2:$EQ$2,HG16))</f>
        <v/>
      </c>
      <c r="HI16">
        <f>IF(HG16=0,0,INDEX($D$3:$EQ$3,HG16))</f>
        <v/>
      </c>
      <c r="HJ16">
        <f>IF(AND(HA16&gt;0,HC16&gt;1,OR(HC16-1&lt;&gt;$A$3,$A$4=0)),HA16-1,-1)</f>
        <v/>
      </c>
      <c r="HK16">
        <f>IF(AND(HA16&gt;0,HC16&lt;24,OR(HC16&lt;&gt;$A$3,$A$4=0)),HA16+1,-1)</f>
        <v/>
      </c>
      <c r="HL16">
        <f>IF(AND(HD16&gt;0,HF16&gt;1,OR(HF16-1&lt;&gt;$A$3,$A$4=0)),HD16-1,-1)</f>
        <v/>
      </c>
      <c r="HM16">
        <f>IF(AND(HD16&gt;0,HF16&lt;24,OR(HF16&lt;&gt;$A$3,$A$4=0)),HD16+1,-1)</f>
        <v/>
      </c>
      <c r="HN16">
        <f>IF(AND(HG16&gt;0,HI16&gt;1,OR(HI16-1&lt;&gt;$A$3,$A$4=0)),HG16-1,-1)</f>
        <v/>
      </c>
      <c r="HO16">
        <f>IF(AND(HG16&gt;0,HI16&lt;24,OR(HI16&lt;&gt;$A$3,$A$4=0)),HG16+1,-1)</f>
        <v/>
      </c>
      <c r="IK16">
        <f>IFERROR(INDEX('calcB'!$C$3:$C$47,MATCH(A16,'calcB'!$B$3:$B$47,0)),0)</f>
        <v/>
      </c>
      <c r="IL16">
        <f>IF(AND(C16=1,IK16=0,calcA!$A$6&gt;0),1,0)</f>
        <v/>
      </c>
      <c r="IM16">
        <f>SUMPRODUCT(D66:EQ66*(1-$D$7:$EQ$7))</f>
        <v/>
      </c>
      <c r="IN16">
        <f>SUM(D16:EQ16)</f>
        <v/>
      </c>
      <c r="IO16">
        <f>IF(B16="",0,IF(COUNTIF('調整・決定'!$C$6:$H$29,B16)=1,SUMPRODUCT(('調整・決定'!$C$6:$H$29=B16)*((COLUMN('調整・決定'!$C$6:$H$29)-3)*24+ROW('調整・決定'!$C$6:$H$29)-5)),0))</f>
        <v/>
      </c>
      <c r="IP16">
        <f>IFERROR(MATCH('名簿'!C11,{"早い時刻","遅い時刻","早い日","遅い日"},0),0)</f>
        <v/>
      </c>
      <c r="IQ16">
        <f>IF('名簿'!D11="必ず空けたい",2,IF('名簿'!D11="出来れば空けたい",1,0))</f>
        <v/>
      </c>
      <c r="IR16">
        <f>IFERROR(INDEX('calcC'!$C$3:$C$47,MATCH(A16,'calcC'!$B$3:$B$47,0)),0)</f>
        <v/>
      </c>
      <c r="IS16">
        <f>IF(AND(C16=1,IR16=0,calcA!$A$6&gt;0),1,0)</f>
        <v/>
      </c>
      <c r="IT16">
        <f>IF(OR('名簿'!G11="",'名簿'!H11=""),0,IFERROR((MATCH('名簿'!G11,'設定'!$E$11:$E$16,0)-1)*24+MATCH('名簿'!H11,'設定'!$I$11:$I$34,0),-1))</f>
        <v/>
      </c>
      <c r="IV16">
        <f>IF(OR(JF16=0,IO16=0),1,IF(OR(IF(IT16&gt;0,AND(INDEX($D$2:$EQ$2,IO16)=INDEX($D$2:$EQ$2,IT16),OR(AND(IO16=IT16+1,OR(INDEX($D$3:$EQ$3,IT16)&lt;&gt;$A$3,$A$4=0)),AND(IO16=IT16-1,OR(INDEX($D$3:$EQ$3,IO16)&lt;&gt;$A$3,$A$4=0)))),FALSE),IF(IY16&gt;0,AND(INDEX($D$2:$EQ$2,IO16)=INDEX($D$2:$EQ$2,IY16),OR(AND(IO16=IY16+1,OR(INDEX($D$3:$EQ$3,IY16)&lt;&gt;$A$3,$A$4=0)),AND(IO16=IY16-1,OR(INDEX($D$3:$EQ$3,IO16)&lt;&gt;$A$3,$A$4=0)))),FALSE),IF(IZ16&gt;0,AND(INDEX($D$2:$EQ$2,IO16)=INDEX($D$2:$EQ$2,IZ16),OR(AND(IO16=IZ16+1,OR(INDEX($D$3:$EQ$3,IZ16)&lt;&gt;$A$3,$A$4=0)),AND(IO16=IZ16-1,OR(INDEX($D$3:$EQ$3,IO16)&lt;&gt;$A$3,$A$4=0)))),FALSE)),1,0))</f>
        <v/>
      </c>
      <c r="IW16">
        <f>IF(AND('名簿'!E11&lt;&gt;"",JF16=0),1,0)</f>
        <v/>
      </c>
      <c r="IX16">
        <f>IF('名簿'!D11="空けない",1,0)</f>
        <v/>
      </c>
      <c r="IY16">
        <f>IF(OR('名簿'!J11="",'名簿'!K11=""),0,IFERROR((MATCH('名簿'!J11,'設定'!$E$11:$E$16,0)-1)*24+MATCH('名簿'!K11,'設定'!$I$11:$I$34,0),-1))</f>
        <v/>
      </c>
      <c r="IZ16">
        <f>IF(OR('名簿'!M11="",'名簿'!N11=""),0,IFERROR((MATCH('名簿'!M11,'設定'!$E$11:$E$16,0)-1)*24+MATCH('名簿'!N11,'設定'!$I$11:$I$34,0),-1))</f>
        <v/>
      </c>
      <c r="JC16">
        <f>IF(RIGHT('名簿'!I11,2)="の前",1,IF(RIGHT('名簿'!I11,2)="の後",2,0))</f>
        <v/>
      </c>
      <c r="JD16">
        <f>IF(RIGHT('名簿'!L11,2)="の前",1,IF(RIGHT('名簿'!L11,2)="の後",2,0))</f>
        <v/>
      </c>
      <c r="JE16">
        <f>IF(RIGHT('名簿'!O11,2)="の前",1,IF(RIGHT('名簿'!O11,2)="の後",2,0))</f>
        <v/>
      </c>
      <c r="JF16">
        <f>IF(OR(IT16&gt;0,IY16&gt;0,IZ16&gt;0),1,0)</f>
        <v/>
      </c>
      <c r="JG16">
        <f>IF(OR(IT16&lt;0,IY16&lt;0,IZ16&lt;0),1,0)</f>
        <v/>
      </c>
    </row>
    <row r="17">
      <c r="A17" t="n">
        <v>8</v>
      </c>
      <c r="B17">
        <f>'名簿'!P12</f>
        <v/>
      </c>
      <c r="C17">
        <f>IF(AND(B17&lt;&gt;"",OR('名簿'!Q12="入力済み",'名簿'!Q12="×なし"),IO17=0,COUNTIF('調整・決定'!$C$6:$H$29,B17)=0),1,0)</f>
        <v/>
      </c>
      <c r="D17">
        <f>IF(D$4=1,IF(OR(INDEX('×入力'!$A$1:$L$1300,203+D$3,2+D$2)&lt;&gt;"",INDEX('×入力'!$A$1:$L$1300,202,2+D$2)&lt;&gt;"",INDEX('×入力'!$A$1:$L$1300,203+D$3,1)&lt;&gt;""),1,0),0)</f>
        <v/>
      </c>
      <c r="E17">
        <f>IF(E$4=1,IF(OR(INDEX('×入力'!$A$1:$L$1300,203+E$3,2+E$2)&lt;&gt;"",INDEX('×入力'!$A$1:$L$1300,202,2+E$2)&lt;&gt;"",INDEX('×入力'!$A$1:$L$1300,203+E$3,1)&lt;&gt;""),1,0),0)</f>
        <v/>
      </c>
      <c r="F17">
        <f>IF(F$4=1,IF(OR(INDEX('×入力'!$A$1:$L$1300,203+F$3,2+F$2)&lt;&gt;"",INDEX('×入力'!$A$1:$L$1300,202,2+F$2)&lt;&gt;"",INDEX('×入力'!$A$1:$L$1300,203+F$3,1)&lt;&gt;""),1,0),0)</f>
        <v/>
      </c>
      <c r="G17">
        <f>IF(G$4=1,IF(OR(INDEX('×入力'!$A$1:$L$1300,203+G$3,2+G$2)&lt;&gt;"",INDEX('×入力'!$A$1:$L$1300,202,2+G$2)&lt;&gt;"",INDEX('×入力'!$A$1:$L$1300,203+G$3,1)&lt;&gt;""),1,0),0)</f>
        <v/>
      </c>
      <c r="H17">
        <f>IF(H$4=1,IF(OR(INDEX('×入力'!$A$1:$L$1300,203+H$3,2+H$2)&lt;&gt;"",INDEX('×入力'!$A$1:$L$1300,202,2+H$2)&lt;&gt;"",INDEX('×入力'!$A$1:$L$1300,203+H$3,1)&lt;&gt;""),1,0),0)</f>
        <v/>
      </c>
      <c r="I17">
        <f>IF(I$4=1,IF(OR(INDEX('×入力'!$A$1:$L$1300,203+I$3,2+I$2)&lt;&gt;"",INDEX('×入力'!$A$1:$L$1300,202,2+I$2)&lt;&gt;"",INDEX('×入力'!$A$1:$L$1300,203+I$3,1)&lt;&gt;""),1,0),0)</f>
        <v/>
      </c>
      <c r="J17">
        <f>IF(J$4=1,IF(OR(INDEX('×入力'!$A$1:$L$1300,203+J$3,2+J$2)&lt;&gt;"",INDEX('×入力'!$A$1:$L$1300,202,2+J$2)&lt;&gt;"",INDEX('×入力'!$A$1:$L$1300,203+J$3,1)&lt;&gt;""),1,0),0)</f>
        <v/>
      </c>
      <c r="K17">
        <f>IF(K$4=1,IF(OR(INDEX('×入力'!$A$1:$L$1300,203+K$3,2+K$2)&lt;&gt;"",INDEX('×入力'!$A$1:$L$1300,202,2+K$2)&lt;&gt;"",INDEX('×入力'!$A$1:$L$1300,203+K$3,1)&lt;&gt;""),1,0),0)</f>
        <v/>
      </c>
      <c r="L17">
        <f>IF(L$4=1,IF(OR(INDEX('×入力'!$A$1:$L$1300,203+L$3,2+L$2)&lt;&gt;"",INDEX('×入力'!$A$1:$L$1300,202,2+L$2)&lt;&gt;"",INDEX('×入力'!$A$1:$L$1300,203+L$3,1)&lt;&gt;""),1,0),0)</f>
        <v/>
      </c>
      <c r="M17">
        <f>IF(M$4=1,IF(OR(INDEX('×入力'!$A$1:$L$1300,203+M$3,2+M$2)&lt;&gt;"",INDEX('×入力'!$A$1:$L$1300,202,2+M$2)&lt;&gt;"",INDEX('×入力'!$A$1:$L$1300,203+M$3,1)&lt;&gt;""),1,0),0)</f>
        <v/>
      </c>
      <c r="N17">
        <f>IF(N$4=1,IF(OR(INDEX('×入力'!$A$1:$L$1300,203+N$3,2+N$2)&lt;&gt;"",INDEX('×入力'!$A$1:$L$1300,202,2+N$2)&lt;&gt;"",INDEX('×入力'!$A$1:$L$1300,203+N$3,1)&lt;&gt;""),1,0),0)</f>
        <v/>
      </c>
      <c r="O17">
        <f>IF(O$4=1,IF(OR(INDEX('×入力'!$A$1:$L$1300,203+O$3,2+O$2)&lt;&gt;"",INDEX('×入力'!$A$1:$L$1300,202,2+O$2)&lt;&gt;"",INDEX('×入力'!$A$1:$L$1300,203+O$3,1)&lt;&gt;""),1,0),0)</f>
        <v/>
      </c>
      <c r="P17">
        <f>IF(P$4=1,IF(OR(INDEX('×入力'!$A$1:$L$1300,203+P$3,2+P$2)&lt;&gt;"",INDEX('×入力'!$A$1:$L$1300,202,2+P$2)&lt;&gt;"",INDEX('×入力'!$A$1:$L$1300,203+P$3,1)&lt;&gt;""),1,0),0)</f>
        <v/>
      </c>
      <c r="Q17">
        <f>IF(Q$4=1,IF(OR(INDEX('×入力'!$A$1:$L$1300,203+Q$3,2+Q$2)&lt;&gt;"",INDEX('×入力'!$A$1:$L$1300,202,2+Q$2)&lt;&gt;"",INDEX('×入力'!$A$1:$L$1300,203+Q$3,1)&lt;&gt;""),1,0),0)</f>
        <v/>
      </c>
      <c r="R17">
        <f>IF(R$4=1,IF(OR(INDEX('×入力'!$A$1:$L$1300,203+R$3,2+R$2)&lt;&gt;"",INDEX('×入力'!$A$1:$L$1300,202,2+R$2)&lt;&gt;"",INDEX('×入力'!$A$1:$L$1300,203+R$3,1)&lt;&gt;""),1,0),0)</f>
        <v/>
      </c>
      <c r="S17">
        <f>IF(S$4=1,IF(OR(INDEX('×入力'!$A$1:$L$1300,203+S$3,2+S$2)&lt;&gt;"",INDEX('×入力'!$A$1:$L$1300,202,2+S$2)&lt;&gt;"",INDEX('×入力'!$A$1:$L$1300,203+S$3,1)&lt;&gt;""),1,0),0)</f>
        <v/>
      </c>
      <c r="T17">
        <f>IF(T$4=1,IF(OR(INDEX('×入力'!$A$1:$L$1300,203+T$3,2+T$2)&lt;&gt;"",INDEX('×入力'!$A$1:$L$1300,202,2+T$2)&lt;&gt;"",INDEX('×入力'!$A$1:$L$1300,203+T$3,1)&lt;&gt;""),1,0),0)</f>
        <v/>
      </c>
      <c r="U17">
        <f>IF(U$4=1,IF(OR(INDEX('×入力'!$A$1:$L$1300,203+U$3,2+U$2)&lt;&gt;"",INDEX('×入力'!$A$1:$L$1300,202,2+U$2)&lt;&gt;"",INDEX('×入力'!$A$1:$L$1300,203+U$3,1)&lt;&gt;""),1,0),0)</f>
        <v/>
      </c>
      <c r="V17">
        <f>IF(V$4=1,IF(OR(INDEX('×入力'!$A$1:$L$1300,203+V$3,2+V$2)&lt;&gt;"",INDEX('×入力'!$A$1:$L$1300,202,2+V$2)&lt;&gt;"",INDEX('×入力'!$A$1:$L$1300,203+V$3,1)&lt;&gt;""),1,0),0)</f>
        <v/>
      </c>
      <c r="W17">
        <f>IF(W$4=1,IF(OR(INDEX('×入力'!$A$1:$L$1300,203+W$3,2+W$2)&lt;&gt;"",INDEX('×入力'!$A$1:$L$1300,202,2+W$2)&lt;&gt;"",INDEX('×入力'!$A$1:$L$1300,203+W$3,1)&lt;&gt;""),1,0),0)</f>
        <v/>
      </c>
      <c r="X17">
        <f>IF(X$4=1,IF(OR(INDEX('×入力'!$A$1:$L$1300,203+X$3,2+X$2)&lt;&gt;"",INDEX('×入力'!$A$1:$L$1300,202,2+X$2)&lt;&gt;"",INDEX('×入力'!$A$1:$L$1300,203+X$3,1)&lt;&gt;""),1,0),0)</f>
        <v/>
      </c>
      <c r="Y17">
        <f>IF(Y$4=1,IF(OR(INDEX('×入力'!$A$1:$L$1300,203+Y$3,2+Y$2)&lt;&gt;"",INDEX('×入力'!$A$1:$L$1300,202,2+Y$2)&lt;&gt;"",INDEX('×入力'!$A$1:$L$1300,203+Y$3,1)&lt;&gt;""),1,0),0)</f>
        <v/>
      </c>
      <c r="Z17">
        <f>IF(Z$4=1,IF(OR(INDEX('×入力'!$A$1:$L$1300,203+Z$3,2+Z$2)&lt;&gt;"",INDEX('×入力'!$A$1:$L$1300,202,2+Z$2)&lt;&gt;"",INDEX('×入力'!$A$1:$L$1300,203+Z$3,1)&lt;&gt;""),1,0),0)</f>
        <v/>
      </c>
      <c r="AA17">
        <f>IF(AA$4=1,IF(OR(INDEX('×入力'!$A$1:$L$1300,203+AA$3,2+AA$2)&lt;&gt;"",INDEX('×入力'!$A$1:$L$1300,202,2+AA$2)&lt;&gt;"",INDEX('×入力'!$A$1:$L$1300,203+AA$3,1)&lt;&gt;""),1,0),0)</f>
        <v/>
      </c>
      <c r="AB17">
        <f>IF(AB$4=1,IF(OR(INDEX('×入力'!$A$1:$L$1300,203+AB$3,2+AB$2)&lt;&gt;"",INDEX('×入力'!$A$1:$L$1300,202,2+AB$2)&lt;&gt;"",INDEX('×入力'!$A$1:$L$1300,203+AB$3,1)&lt;&gt;""),1,0),0)</f>
        <v/>
      </c>
      <c r="AC17">
        <f>IF(AC$4=1,IF(OR(INDEX('×入力'!$A$1:$L$1300,203+AC$3,2+AC$2)&lt;&gt;"",INDEX('×入力'!$A$1:$L$1300,202,2+AC$2)&lt;&gt;"",INDEX('×入力'!$A$1:$L$1300,203+AC$3,1)&lt;&gt;""),1,0),0)</f>
        <v/>
      </c>
      <c r="AD17">
        <f>IF(AD$4=1,IF(OR(INDEX('×入力'!$A$1:$L$1300,203+AD$3,2+AD$2)&lt;&gt;"",INDEX('×入力'!$A$1:$L$1300,202,2+AD$2)&lt;&gt;"",INDEX('×入力'!$A$1:$L$1300,203+AD$3,1)&lt;&gt;""),1,0),0)</f>
        <v/>
      </c>
      <c r="AE17">
        <f>IF(AE$4=1,IF(OR(INDEX('×入力'!$A$1:$L$1300,203+AE$3,2+AE$2)&lt;&gt;"",INDEX('×入力'!$A$1:$L$1300,202,2+AE$2)&lt;&gt;"",INDEX('×入力'!$A$1:$L$1300,203+AE$3,1)&lt;&gt;""),1,0),0)</f>
        <v/>
      </c>
      <c r="AF17">
        <f>IF(AF$4=1,IF(OR(INDEX('×入力'!$A$1:$L$1300,203+AF$3,2+AF$2)&lt;&gt;"",INDEX('×入力'!$A$1:$L$1300,202,2+AF$2)&lt;&gt;"",INDEX('×入力'!$A$1:$L$1300,203+AF$3,1)&lt;&gt;""),1,0),0)</f>
        <v/>
      </c>
      <c r="AG17">
        <f>IF(AG$4=1,IF(OR(INDEX('×入力'!$A$1:$L$1300,203+AG$3,2+AG$2)&lt;&gt;"",INDEX('×入力'!$A$1:$L$1300,202,2+AG$2)&lt;&gt;"",INDEX('×入力'!$A$1:$L$1300,203+AG$3,1)&lt;&gt;""),1,0),0)</f>
        <v/>
      </c>
      <c r="AH17">
        <f>IF(AH$4=1,IF(OR(INDEX('×入力'!$A$1:$L$1300,203+AH$3,2+AH$2)&lt;&gt;"",INDEX('×入力'!$A$1:$L$1300,202,2+AH$2)&lt;&gt;"",INDEX('×入力'!$A$1:$L$1300,203+AH$3,1)&lt;&gt;""),1,0),0)</f>
        <v/>
      </c>
      <c r="AI17">
        <f>IF(AI$4=1,IF(OR(INDEX('×入力'!$A$1:$L$1300,203+AI$3,2+AI$2)&lt;&gt;"",INDEX('×入力'!$A$1:$L$1300,202,2+AI$2)&lt;&gt;"",INDEX('×入力'!$A$1:$L$1300,203+AI$3,1)&lt;&gt;""),1,0),0)</f>
        <v/>
      </c>
      <c r="AJ17">
        <f>IF(AJ$4=1,IF(OR(INDEX('×入力'!$A$1:$L$1300,203+AJ$3,2+AJ$2)&lt;&gt;"",INDEX('×入力'!$A$1:$L$1300,202,2+AJ$2)&lt;&gt;"",INDEX('×入力'!$A$1:$L$1300,203+AJ$3,1)&lt;&gt;""),1,0),0)</f>
        <v/>
      </c>
      <c r="AK17">
        <f>IF(AK$4=1,IF(OR(INDEX('×入力'!$A$1:$L$1300,203+AK$3,2+AK$2)&lt;&gt;"",INDEX('×入力'!$A$1:$L$1300,202,2+AK$2)&lt;&gt;"",INDEX('×入力'!$A$1:$L$1300,203+AK$3,1)&lt;&gt;""),1,0),0)</f>
        <v/>
      </c>
      <c r="AL17">
        <f>IF(AL$4=1,IF(OR(INDEX('×入力'!$A$1:$L$1300,203+AL$3,2+AL$2)&lt;&gt;"",INDEX('×入力'!$A$1:$L$1300,202,2+AL$2)&lt;&gt;"",INDEX('×入力'!$A$1:$L$1300,203+AL$3,1)&lt;&gt;""),1,0),0)</f>
        <v/>
      </c>
      <c r="AM17">
        <f>IF(AM$4=1,IF(OR(INDEX('×入力'!$A$1:$L$1300,203+AM$3,2+AM$2)&lt;&gt;"",INDEX('×入力'!$A$1:$L$1300,202,2+AM$2)&lt;&gt;"",INDEX('×入力'!$A$1:$L$1300,203+AM$3,1)&lt;&gt;""),1,0),0)</f>
        <v/>
      </c>
      <c r="AN17">
        <f>IF(AN$4=1,IF(OR(INDEX('×入力'!$A$1:$L$1300,203+AN$3,2+AN$2)&lt;&gt;"",INDEX('×入力'!$A$1:$L$1300,202,2+AN$2)&lt;&gt;"",INDEX('×入力'!$A$1:$L$1300,203+AN$3,1)&lt;&gt;""),1,0),0)</f>
        <v/>
      </c>
      <c r="AO17">
        <f>IF(AO$4=1,IF(OR(INDEX('×入力'!$A$1:$L$1300,203+AO$3,2+AO$2)&lt;&gt;"",INDEX('×入力'!$A$1:$L$1300,202,2+AO$2)&lt;&gt;"",INDEX('×入力'!$A$1:$L$1300,203+AO$3,1)&lt;&gt;""),1,0),0)</f>
        <v/>
      </c>
      <c r="AP17">
        <f>IF(AP$4=1,IF(OR(INDEX('×入力'!$A$1:$L$1300,203+AP$3,2+AP$2)&lt;&gt;"",INDEX('×入力'!$A$1:$L$1300,202,2+AP$2)&lt;&gt;"",INDEX('×入力'!$A$1:$L$1300,203+AP$3,1)&lt;&gt;""),1,0),0)</f>
        <v/>
      </c>
      <c r="AQ17">
        <f>IF(AQ$4=1,IF(OR(INDEX('×入力'!$A$1:$L$1300,203+AQ$3,2+AQ$2)&lt;&gt;"",INDEX('×入力'!$A$1:$L$1300,202,2+AQ$2)&lt;&gt;"",INDEX('×入力'!$A$1:$L$1300,203+AQ$3,1)&lt;&gt;""),1,0),0)</f>
        <v/>
      </c>
      <c r="AR17">
        <f>IF(AR$4=1,IF(OR(INDEX('×入力'!$A$1:$L$1300,203+AR$3,2+AR$2)&lt;&gt;"",INDEX('×入力'!$A$1:$L$1300,202,2+AR$2)&lt;&gt;"",INDEX('×入力'!$A$1:$L$1300,203+AR$3,1)&lt;&gt;""),1,0),0)</f>
        <v/>
      </c>
      <c r="AS17">
        <f>IF(AS$4=1,IF(OR(INDEX('×入力'!$A$1:$L$1300,203+AS$3,2+AS$2)&lt;&gt;"",INDEX('×入力'!$A$1:$L$1300,202,2+AS$2)&lt;&gt;"",INDEX('×入力'!$A$1:$L$1300,203+AS$3,1)&lt;&gt;""),1,0),0)</f>
        <v/>
      </c>
      <c r="AT17">
        <f>IF(AT$4=1,IF(OR(INDEX('×入力'!$A$1:$L$1300,203+AT$3,2+AT$2)&lt;&gt;"",INDEX('×入力'!$A$1:$L$1300,202,2+AT$2)&lt;&gt;"",INDEX('×入力'!$A$1:$L$1300,203+AT$3,1)&lt;&gt;""),1,0),0)</f>
        <v/>
      </c>
      <c r="AU17">
        <f>IF(AU$4=1,IF(OR(INDEX('×入力'!$A$1:$L$1300,203+AU$3,2+AU$2)&lt;&gt;"",INDEX('×入力'!$A$1:$L$1300,202,2+AU$2)&lt;&gt;"",INDEX('×入力'!$A$1:$L$1300,203+AU$3,1)&lt;&gt;""),1,0),0)</f>
        <v/>
      </c>
      <c r="AV17">
        <f>IF(AV$4=1,IF(OR(INDEX('×入力'!$A$1:$L$1300,203+AV$3,2+AV$2)&lt;&gt;"",INDEX('×入力'!$A$1:$L$1300,202,2+AV$2)&lt;&gt;"",INDEX('×入力'!$A$1:$L$1300,203+AV$3,1)&lt;&gt;""),1,0),0)</f>
        <v/>
      </c>
      <c r="AW17">
        <f>IF(AW$4=1,IF(OR(INDEX('×入力'!$A$1:$L$1300,203+AW$3,2+AW$2)&lt;&gt;"",INDEX('×入力'!$A$1:$L$1300,202,2+AW$2)&lt;&gt;"",INDEX('×入力'!$A$1:$L$1300,203+AW$3,1)&lt;&gt;""),1,0),0)</f>
        <v/>
      </c>
      <c r="AX17">
        <f>IF(AX$4=1,IF(OR(INDEX('×入力'!$A$1:$L$1300,203+AX$3,2+AX$2)&lt;&gt;"",INDEX('×入力'!$A$1:$L$1300,202,2+AX$2)&lt;&gt;"",INDEX('×入力'!$A$1:$L$1300,203+AX$3,1)&lt;&gt;""),1,0),0)</f>
        <v/>
      </c>
      <c r="AY17">
        <f>IF(AY$4=1,IF(OR(INDEX('×入力'!$A$1:$L$1300,203+AY$3,2+AY$2)&lt;&gt;"",INDEX('×入力'!$A$1:$L$1300,202,2+AY$2)&lt;&gt;"",INDEX('×入力'!$A$1:$L$1300,203+AY$3,1)&lt;&gt;""),1,0),0)</f>
        <v/>
      </c>
      <c r="AZ17">
        <f>IF(AZ$4=1,IF(OR(INDEX('×入力'!$A$1:$L$1300,203+AZ$3,2+AZ$2)&lt;&gt;"",INDEX('×入力'!$A$1:$L$1300,202,2+AZ$2)&lt;&gt;"",INDEX('×入力'!$A$1:$L$1300,203+AZ$3,1)&lt;&gt;""),1,0),0)</f>
        <v/>
      </c>
      <c r="BA17">
        <f>IF(BA$4=1,IF(OR(INDEX('×入力'!$A$1:$L$1300,203+BA$3,2+BA$2)&lt;&gt;"",INDEX('×入力'!$A$1:$L$1300,202,2+BA$2)&lt;&gt;"",INDEX('×入力'!$A$1:$L$1300,203+BA$3,1)&lt;&gt;""),1,0),0)</f>
        <v/>
      </c>
      <c r="BB17">
        <f>IF(BB$4=1,IF(OR(INDEX('×入力'!$A$1:$L$1300,203+BB$3,2+BB$2)&lt;&gt;"",INDEX('×入力'!$A$1:$L$1300,202,2+BB$2)&lt;&gt;"",INDEX('×入力'!$A$1:$L$1300,203+BB$3,1)&lt;&gt;""),1,0),0)</f>
        <v/>
      </c>
      <c r="BC17">
        <f>IF(BC$4=1,IF(OR(INDEX('×入力'!$A$1:$L$1300,203+BC$3,2+BC$2)&lt;&gt;"",INDEX('×入力'!$A$1:$L$1300,202,2+BC$2)&lt;&gt;"",INDEX('×入力'!$A$1:$L$1300,203+BC$3,1)&lt;&gt;""),1,0),0)</f>
        <v/>
      </c>
      <c r="BD17">
        <f>IF(BD$4=1,IF(OR(INDEX('×入力'!$A$1:$L$1300,203+BD$3,2+BD$2)&lt;&gt;"",INDEX('×入力'!$A$1:$L$1300,202,2+BD$2)&lt;&gt;"",INDEX('×入力'!$A$1:$L$1300,203+BD$3,1)&lt;&gt;""),1,0),0)</f>
        <v/>
      </c>
      <c r="BE17">
        <f>IF(BE$4=1,IF(OR(INDEX('×入力'!$A$1:$L$1300,203+BE$3,2+BE$2)&lt;&gt;"",INDEX('×入力'!$A$1:$L$1300,202,2+BE$2)&lt;&gt;"",INDEX('×入力'!$A$1:$L$1300,203+BE$3,1)&lt;&gt;""),1,0),0)</f>
        <v/>
      </c>
      <c r="BF17">
        <f>IF(BF$4=1,IF(OR(INDEX('×入力'!$A$1:$L$1300,203+BF$3,2+BF$2)&lt;&gt;"",INDEX('×入力'!$A$1:$L$1300,202,2+BF$2)&lt;&gt;"",INDEX('×入力'!$A$1:$L$1300,203+BF$3,1)&lt;&gt;""),1,0),0)</f>
        <v/>
      </c>
      <c r="BG17">
        <f>IF(BG$4=1,IF(OR(INDEX('×入力'!$A$1:$L$1300,203+BG$3,2+BG$2)&lt;&gt;"",INDEX('×入力'!$A$1:$L$1300,202,2+BG$2)&lt;&gt;"",INDEX('×入力'!$A$1:$L$1300,203+BG$3,1)&lt;&gt;""),1,0),0)</f>
        <v/>
      </c>
      <c r="BH17">
        <f>IF(BH$4=1,IF(OR(INDEX('×入力'!$A$1:$L$1300,203+BH$3,2+BH$2)&lt;&gt;"",INDEX('×入力'!$A$1:$L$1300,202,2+BH$2)&lt;&gt;"",INDEX('×入力'!$A$1:$L$1300,203+BH$3,1)&lt;&gt;""),1,0),0)</f>
        <v/>
      </c>
      <c r="BI17">
        <f>IF(BI$4=1,IF(OR(INDEX('×入力'!$A$1:$L$1300,203+BI$3,2+BI$2)&lt;&gt;"",INDEX('×入力'!$A$1:$L$1300,202,2+BI$2)&lt;&gt;"",INDEX('×入力'!$A$1:$L$1300,203+BI$3,1)&lt;&gt;""),1,0),0)</f>
        <v/>
      </c>
      <c r="BJ17">
        <f>IF(BJ$4=1,IF(OR(INDEX('×入力'!$A$1:$L$1300,203+BJ$3,2+BJ$2)&lt;&gt;"",INDEX('×入力'!$A$1:$L$1300,202,2+BJ$2)&lt;&gt;"",INDEX('×入力'!$A$1:$L$1300,203+BJ$3,1)&lt;&gt;""),1,0),0)</f>
        <v/>
      </c>
      <c r="BK17">
        <f>IF(BK$4=1,IF(OR(INDEX('×入力'!$A$1:$L$1300,203+BK$3,2+BK$2)&lt;&gt;"",INDEX('×入力'!$A$1:$L$1300,202,2+BK$2)&lt;&gt;"",INDEX('×入力'!$A$1:$L$1300,203+BK$3,1)&lt;&gt;""),1,0),0)</f>
        <v/>
      </c>
      <c r="BL17">
        <f>IF(BL$4=1,IF(OR(INDEX('×入力'!$A$1:$L$1300,203+BL$3,2+BL$2)&lt;&gt;"",INDEX('×入力'!$A$1:$L$1300,202,2+BL$2)&lt;&gt;"",INDEX('×入力'!$A$1:$L$1300,203+BL$3,1)&lt;&gt;""),1,0),0)</f>
        <v/>
      </c>
      <c r="BM17">
        <f>IF(BM$4=1,IF(OR(INDEX('×入力'!$A$1:$L$1300,203+BM$3,2+BM$2)&lt;&gt;"",INDEX('×入力'!$A$1:$L$1300,202,2+BM$2)&lt;&gt;"",INDEX('×入力'!$A$1:$L$1300,203+BM$3,1)&lt;&gt;""),1,0),0)</f>
        <v/>
      </c>
      <c r="BN17">
        <f>IF(BN$4=1,IF(OR(INDEX('×入力'!$A$1:$L$1300,203+BN$3,2+BN$2)&lt;&gt;"",INDEX('×入力'!$A$1:$L$1300,202,2+BN$2)&lt;&gt;"",INDEX('×入力'!$A$1:$L$1300,203+BN$3,1)&lt;&gt;""),1,0),0)</f>
        <v/>
      </c>
      <c r="BO17">
        <f>IF(BO$4=1,IF(OR(INDEX('×入力'!$A$1:$L$1300,203+BO$3,2+BO$2)&lt;&gt;"",INDEX('×入力'!$A$1:$L$1300,202,2+BO$2)&lt;&gt;"",INDEX('×入力'!$A$1:$L$1300,203+BO$3,1)&lt;&gt;""),1,0),0)</f>
        <v/>
      </c>
      <c r="BP17">
        <f>IF(BP$4=1,IF(OR(INDEX('×入力'!$A$1:$L$1300,203+BP$3,2+BP$2)&lt;&gt;"",INDEX('×入力'!$A$1:$L$1300,202,2+BP$2)&lt;&gt;"",INDEX('×入力'!$A$1:$L$1300,203+BP$3,1)&lt;&gt;""),1,0),0)</f>
        <v/>
      </c>
      <c r="BQ17">
        <f>IF(BQ$4=1,IF(OR(INDEX('×入力'!$A$1:$L$1300,203+BQ$3,2+BQ$2)&lt;&gt;"",INDEX('×入力'!$A$1:$L$1300,202,2+BQ$2)&lt;&gt;"",INDEX('×入力'!$A$1:$L$1300,203+BQ$3,1)&lt;&gt;""),1,0),0)</f>
        <v/>
      </c>
      <c r="BR17">
        <f>IF(BR$4=1,IF(OR(INDEX('×入力'!$A$1:$L$1300,203+BR$3,2+BR$2)&lt;&gt;"",INDEX('×入力'!$A$1:$L$1300,202,2+BR$2)&lt;&gt;"",INDEX('×入力'!$A$1:$L$1300,203+BR$3,1)&lt;&gt;""),1,0),0)</f>
        <v/>
      </c>
      <c r="BS17">
        <f>IF(BS$4=1,IF(OR(INDEX('×入力'!$A$1:$L$1300,203+BS$3,2+BS$2)&lt;&gt;"",INDEX('×入力'!$A$1:$L$1300,202,2+BS$2)&lt;&gt;"",INDEX('×入力'!$A$1:$L$1300,203+BS$3,1)&lt;&gt;""),1,0),0)</f>
        <v/>
      </c>
      <c r="BT17">
        <f>IF(BT$4=1,IF(OR(INDEX('×入力'!$A$1:$L$1300,203+BT$3,2+BT$2)&lt;&gt;"",INDEX('×入力'!$A$1:$L$1300,202,2+BT$2)&lt;&gt;"",INDEX('×入力'!$A$1:$L$1300,203+BT$3,1)&lt;&gt;""),1,0),0)</f>
        <v/>
      </c>
      <c r="BU17">
        <f>IF(BU$4=1,IF(OR(INDEX('×入力'!$A$1:$L$1300,203+BU$3,2+BU$2)&lt;&gt;"",INDEX('×入力'!$A$1:$L$1300,202,2+BU$2)&lt;&gt;"",INDEX('×入力'!$A$1:$L$1300,203+BU$3,1)&lt;&gt;""),1,0),0)</f>
        <v/>
      </c>
      <c r="BV17">
        <f>IF(BV$4=1,IF(OR(INDEX('×入力'!$A$1:$L$1300,203+BV$3,2+BV$2)&lt;&gt;"",INDEX('×入力'!$A$1:$L$1300,202,2+BV$2)&lt;&gt;"",INDEX('×入力'!$A$1:$L$1300,203+BV$3,1)&lt;&gt;""),1,0),0)</f>
        <v/>
      </c>
      <c r="BW17">
        <f>IF(BW$4=1,IF(OR(INDEX('×入力'!$A$1:$L$1300,203+BW$3,2+BW$2)&lt;&gt;"",INDEX('×入力'!$A$1:$L$1300,202,2+BW$2)&lt;&gt;"",INDEX('×入力'!$A$1:$L$1300,203+BW$3,1)&lt;&gt;""),1,0),0)</f>
        <v/>
      </c>
      <c r="BX17">
        <f>IF(BX$4=1,IF(OR(INDEX('×入力'!$A$1:$L$1300,203+BX$3,2+BX$2)&lt;&gt;"",INDEX('×入力'!$A$1:$L$1300,202,2+BX$2)&lt;&gt;"",INDEX('×入力'!$A$1:$L$1300,203+BX$3,1)&lt;&gt;""),1,0),0)</f>
        <v/>
      </c>
      <c r="BY17">
        <f>IF(BY$4=1,IF(OR(INDEX('×入力'!$A$1:$L$1300,203+BY$3,2+BY$2)&lt;&gt;"",INDEX('×入力'!$A$1:$L$1300,202,2+BY$2)&lt;&gt;"",INDEX('×入力'!$A$1:$L$1300,203+BY$3,1)&lt;&gt;""),1,0),0)</f>
        <v/>
      </c>
      <c r="BZ17">
        <f>IF(BZ$4=1,IF(OR(INDEX('×入力'!$A$1:$L$1300,203+BZ$3,2+BZ$2)&lt;&gt;"",INDEX('×入力'!$A$1:$L$1300,202,2+BZ$2)&lt;&gt;"",INDEX('×入力'!$A$1:$L$1300,203+BZ$3,1)&lt;&gt;""),1,0),0)</f>
        <v/>
      </c>
      <c r="CA17">
        <f>IF(CA$4=1,IF(OR(INDEX('×入力'!$A$1:$L$1300,203+CA$3,2+CA$2)&lt;&gt;"",INDEX('×入力'!$A$1:$L$1300,202,2+CA$2)&lt;&gt;"",INDEX('×入力'!$A$1:$L$1300,203+CA$3,1)&lt;&gt;""),1,0),0)</f>
        <v/>
      </c>
      <c r="CB17">
        <f>IF(CB$4=1,IF(OR(INDEX('×入力'!$A$1:$L$1300,203+CB$3,2+CB$2)&lt;&gt;"",INDEX('×入力'!$A$1:$L$1300,202,2+CB$2)&lt;&gt;"",INDEX('×入力'!$A$1:$L$1300,203+CB$3,1)&lt;&gt;""),1,0),0)</f>
        <v/>
      </c>
      <c r="CC17">
        <f>IF(CC$4=1,IF(OR(INDEX('×入力'!$A$1:$L$1300,203+CC$3,2+CC$2)&lt;&gt;"",INDEX('×入力'!$A$1:$L$1300,202,2+CC$2)&lt;&gt;"",INDEX('×入力'!$A$1:$L$1300,203+CC$3,1)&lt;&gt;""),1,0),0)</f>
        <v/>
      </c>
      <c r="CD17">
        <f>IF(CD$4=1,IF(OR(INDEX('×入力'!$A$1:$L$1300,203+CD$3,2+CD$2)&lt;&gt;"",INDEX('×入力'!$A$1:$L$1300,202,2+CD$2)&lt;&gt;"",INDEX('×入力'!$A$1:$L$1300,203+CD$3,1)&lt;&gt;""),1,0),0)</f>
        <v/>
      </c>
      <c r="CE17">
        <f>IF(CE$4=1,IF(OR(INDEX('×入力'!$A$1:$L$1300,203+CE$3,2+CE$2)&lt;&gt;"",INDEX('×入力'!$A$1:$L$1300,202,2+CE$2)&lt;&gt;"",INDEX('×入力'!$A$1:$L$1300,203+CE$3,1)&lt;&gt;""),1,0),0)</f>
        <v/>
      </c>
      <c r="CF17">
        <f>IF(CF$4=1,IF(OR(INDEX('×入力'!$A$1:$L$1300,203+CF$3,2+CF$2)&lt;&gt;"",INDEX('×入力'!$A$1:$L$1300,202,2+CF$2)&lt;&gt;"",INDEX('×入力'!$A$1:$L$1300,203+CF$3,1)&lt;&gt;""),1,0),0)</f>
        <v/>
      </c>
      <c r="CG17">
        <f>IF(CG$4=1,IF(OR(INDEX('×入力'!$A$1:$L$1300,203+CG$3,2+CG$2)&lt;&gt;"",INDEX('×入力'!$A$1:$L$1300,202,2+CG$2)&lt;&gt;"",INDEX('×入力'!$A$1:$L$1300,203+CG$3,1)&lt;&gt;""),1,0),0)</f>
        <v/>
      </c>
      <c r="CH17">
        <f>IF(CH$4=1,IF(OR(INDEX('×入力'!$A$1:$L$1300,203+CH$3,2+CH$2)&lt;&gt;"",INDEX('×入力'!$A$1:$L$1300,202,2+CH$2)&lt;&gt;"",INDEX('×入力'!$A$1:$L$1300,203+CH$3,1)&lt;&gt;""),1,0),0)</f>
        <v/>
      </c>
      <c r="CI17">
        <f>IF(CI$4=1,IF(OR(INDEX('×入力'!$A$1:$L$1300,203+CI$3,2+CI$2)&lt;&gt;"",INDEX('×入力'!$A$1:$L$1300,202,2+CI$2)&lt;&gt;"",INDEX('×入力'!$A$1:$L$1300,203+CI$3,1)&lt;&gt;""),1,0),0)</f>
        <v/>
      </c>
      <c r="CJ17">
        <f>IF(CJ$4=1,IF(OR(INDEX('×入力'!$A$1:$L$1300,203+CJ$3,2+CJ$2)&lt;&gt;"",INDEX('×入力'!$A$1:$L$1300,202,2+CJ$2)&lt;&gt;"",INDEX('×入力'!$A$1:$L$1300,203+CJ$3,1)&lt;&gt;""),1,0),0)</f>
        <v/>
      </c>
      <c r="CK17">
        <f>IF(CK$4=1,IF(OR(INDEX('×入力'!$A$1:$L$1300,203+CK$3,2+CK$2)&lt;&gt;"",INDEX('×入力'!$A$1:$L$1300,202,2+CK$2)&lt;&gt;"",INDEX('×入力'!$A$1:$L$1300,203+CK$3,1)&lt;&gt;""),1,0),0)</f>
        <v/>
      </c>
      <c r="CL17">
        <f>IF(CL$4=1,IF(OR(INDEX('×入力'!$A$1:$L$1300,203+CL$3,2+CL$2)&lt;&gt;"",INDEX('×入力'!$A$1:$L$1300,202,2+CL$2)&lt;&gt;"",INDEX('×入力'!$A$1:$L$1300,203+CL$3,1)&lt;&gt;""),1,0),0)</f>
        <v/>
      </c>
      <c r="CM17">
        <f>IF(CM$4=1,IF(OR(INDEX('×入力'!$A$1:$L$1300,203+CM$3,2+CM$2)&lt;&gt;"",INDEX('×入力'!$A$1:$L$1300,202,2+CM$2)&lt;&gt;"",INDEX('×入力'!$A$1:$L$1300,203+CM$3,1)&lt;&gt;""),1,0),0)</f>
        <v/>
      </c>
      <c r="CN17">
        <f>IF(CN$4=1,IF(OR(INDEX('×入力'!$A$1:$L$1300,203+CN$3,2+CN$2)&lt;&gt;"",INDEX('×入力'!$A$1:$L$1300,202,2+CN$2)&lt;&gt;"",INDEX('×入力'!$A$1:$L$1300,203+CN$3,1)&lt;&gt;""),1,0),0)</f>
        <v/>
      </c>
      <c r="CO17">
        <f>IF(CO$4=1,IF(OR(INDEX('×入力'!$A$1:$L$1300,203+CO$3,2+CO$2)&lt;&gt;"",INDEX('×入力'!$A$1:$L$1300,202,2+CO$2)&lt;&gt;"",INDEX('×入力'!$A$1:$L$1300,203+CO$3,1)&lt;&gt;""),1,0),0)</f>
        <v/>
      </c>
      <c r="CP17">
        <f>IF(CP$4=1,IF(OR(INDEX('×入力'!$A$1:$L$1300,203+CP$3,2+CP$2)&lt;&gt;"",INDEX('×入力'!$A$1:$L$1300,202,2+CP$2)&lt;&gt;"",INDEX('×入力'!$A$1:$L$1300,203+CP$3,1)&lt;&gt;""),1,0),0)</f>
        <v/>
      </c>
      <c r="CQ17">
        <f>IF(CQ$4=1,IF(OR(INDEX('×入力'!$A$1:$L$1300,203+CQ$3,2+CQ$2)&lt;&gt;"",INDEX('×入力'!$A$1:$L$1300,202,2+CQ$2)&lt;&gt;"",INDEX('×入力'!$A$1:$L$1300,203+CQ$3,1)&lt;&gt;""),1,0),0)</f>
        <v/>
      </c>
      <c r="CR17">
        <f>IF(CR$4=1,IF(OR(INDEX('×入力'!$A$1:$L$1300,203+CR$3,2+CR$2)&lt;&gt;"",INDEX('×入力'!$A$1:$L$1300,202,2+CR$2)&lt;&gt;"",INDEX('×入力'!$A$1:$L$1300,203+CR$3,1)&lt;&gt;""),1,0),0)</f>
        <v/>
      </c>
      <c r="CS17">
        <f>IF(CS$4=1,IF(OR(INDEX('×入力'!$A$1:$L$1300,203+CS$3,2+CS$2)&lt;&gt;"",INDEX('×入力'!$A$1:$L$1300,202,2+CS$2)&lt;&gt;"",INDEX('×入力'!$A$1:$L$1300,203+CS$3,1)&lt;&gt;""),1,0),0)</f>
        <v/>
      </c>
      <c r="CT17">
        <f>IF(CT$4=1,IF(OR(INDEX('×入力'!$A$1:$L$1300,203+CT$3,2+CT$2)&lt;&gt;"",INDEX('×入力'!$A$1:$L$1300,202,2+CT$2)&lt;&gt;"",INDEX('×入力'!$A$1:$L$1300,203+CT$3,1)&lt;&gt;""),1,0),0)</f>
        <v/>
      </c>
      <c r="CU17">
        <f>IF(CU$4=1,IF(OR(INDEX('×入力'!$A$1:$L$1300,203+CU$3,2+CU$2)&lt;&gt;"",INDEX('×入力'!$A$1:$L$1300,202,2+CU$2)&lt;&gt;"",INDEX('×入力'!$A$1:$L$1300,203+CU$3,1)&lt;&gt;""),1,0),0)</f>
        <v/>
      </c>
      <c r="CV17">
        <f>IF(CV$4=1,IF(OR(INDEX('×入力'!$A$1:$L$1300,203+CV$3,2+CV$2)&lt;&gt;"",INDEX('×入力'!$A$1:$L$1300,202,2+CV$2)&lt;&gt;"",INDEX('×入力'!$A$1:$L$1300,203+CV$3,1)&lt;&gt;""),1,0),0)</f>
        <v/>
      </c>
      <c r="CW17">
        <f>IF(CW$4=1,IF(OR(INDEX('×入力'!$A$1:$L$1300,203+CW$3,2+CW$2)&lt;&gt;"",INDEX('×入力'!$A$1:$L$1300,202,2+CW$2)&lt;&gt;"",INDEX('×入力'!$A$1:$L$1300,203+CW$3,1)&lt;&gt;""),1,0),0)</f>
        <v/>
      </c>
      <c r="CX17">
        <f>IF(CX$4=1,IF(OR(INDEX('×入力'!$A$1:$L$1300,203+CX$3,2+CX$2)&lt;&gt;"",INDEX('×入力'!$A$1:$L$1300,202,2+CX$2)&lt;&gt;"",INDEX('×入力'!$A$1:$L$1300,203+CX$3,1)&lt;&gt;""),1,0),0)</f>
        <v/>
      </c>
      <c r="CY17">
        <f>IF(CY$4=1,IF(OR(INDEX('×入力'!$A$1:$L$1300,203+CY$3,2+CY$2)&lt;&gt;"",INDEX('×入力'!$A$1:$L$1300,202,2+CY$2)&lt;&gt;"",INDEX('×入力'!$A$1:$L$1300,203+CY$3,1)&lt;&gt;""),1,0),0)</f>
        <v/>
      </c>
      <c r="CZ17">
        <f>IF(CZ$4=1,IF(OR(INDEX('×入力'!$A$1:$L$1300,203+CZ$3,2+CZ$2)&lt;&gt;"",INDEX('×入力'!$A$1:$L$1300,202,2+CZ$2)&lt;&gt;"",INDEX('×入力'!$A$1:$L$1300,203+CZ$3,1)&lt;&gt;""),1,0),0)</f>
        <v/>
      </c>
      <c r="DA17">
        <f>IF(DA$4=1,IF(OR(INDEX('×入力'!$A$1:$L$1300,203+DA$3,2+DA$2)&lt;&gt;"",INDEX('×入力'!$A$1:$L$1300,202,2+DA$2)&lt;&gt;"",INDEX('×入力'!$A$1:$L$1300,203+DA$3,1)&lt;&gt;""),1,0),0)</f>
        <v/>
      </c>
      <c r="DB17">
        <f>IF(DB$4=1,IF(OR(INDEX('×入力'!$A$1:$L$1300,203+DB$3,2+DB$2)&lt;&gt;"",INDEX('×入力'!$A$1:$L$1300,202,2+DB$2)&lt;&gt;"",INDEX('×入力'!$A$1:$L$1300,203+DB$3,1)&lt;&gt;""),1,0),0)</f>
        <v/>
      </c>
      <c r="DC17">
        <f>IF(DC$4=1,IF(OR(INDEX('×入力'!$A$1:$L$1300,203+DC$3,2+DC$2)&lt;&gt;"",INDEX('×入力'!$A$1:$L$1300,202,2+DC$2)&lt;&gt;"",INDEX('×入力'!$A$1:$L$1300,203+DC$3,1)&lt;&gt;""),1,0),0)</f>
        <v/>
      </c>
      <c r="DD17">
        <f>IF(DD$4=1,IF(OR(INDEX('×入力'!$A$1:$L$1300,203+DD$3,2+DD$2)&lt;&gt;"",INDEX('×入力'!$A$1:$L$1300,202,2+DD$2)&lt;&gt;"",INDEX('×入力'!$A$1:$L$1300,203+DD$3,1)&lt;&gt;""),1,0),0)</f>
        <v/>
      </c>
      <c r="DE17">
        <f>IF(DE$4=1,IF(OR(INDEX('×入力'!$A$1:$L$1300,203+DE$3,2+DE$2)&lt;&gt;"",INDEX('×入力'!$A$1:$L$1300,202,2+DE$2)&lt;&gt;"",INDEX('×入力'!$A$1:$L$1300,203+DE$3,1)&lt;&gt;""),1,0),0)</f>
        <v/>
      </c>
      <c r="DF17">
        <f>IF(DF$4=1,IF(OR(INDEX('×入力'!$A$1:$L$1300,203+DF$3,2+DF$2)&lt;&gt;"",INDEX('×入力'!$A$1:$L$1300,202,2+DF$2)&lt;&gt;"",INDEX('×入力'!$A$1:$L$1300,203+DF$3,1)&lt;&gt;""),1,0),0)</f>
        <v/>
      </c>
      <c r="DG17">
        <f>IF(DG$4=1,IF(OR(INDEX('×入力'!$A$1:$L$1300,203+DG$3,2+DG$2)&lt;&gt;"",INDEX('×入力'!$A$1:$L$1300,202,2+DG$2)&lt;&gt;"",INDEX('×入力'!$A$1:$L$1300,203+DG$3,1)&lt;&gt;""),1,0),0)</f>
        <v/>
      </c>
      <c r="DH17">
        <f>IF(DH$4=1,IF(OR(INDEX('×入力'!$A$1:$L$1300,203+DH$3,2+DH$2)&lt;&gt;"",INDEX('×入力'!$A$1:$L$1300,202,2+DH$2)&lt;&gt;"",INDEX('×入力'!$A$1:$L$1300,203+DH$3,1)&lt;&gt;""),1,0),0)</f>
        <v/>
      </c>
      <c r="DI17">
        <f>IF(DI$4=1,IF(OR(INDEX('×入力'!$A$1:$L$1300,203+DI$3,2+DI$2)&lt;&gt;"",INDEX('×入力'!$A$1:$L$1300,202,2+DI$2)&lt;&gt;"",INDEX('×入力'!$A$1:$L$1300,203+DI$3,1)&lt;&gt;""),1,0),0)</f>
        <v/>
      </c>
      <c r="DJ17">
        <f>IF(DJ$4=1,IF(OR(INDEX('×入力'!$A$1:$L$1300,203+DJ$3,2+DJ$2)&lt;&gt;"",INDEX('×入力'!$A$1:$L$1300,202,2+DJ$2)&lt;&gt;"",INDEX('×入力'!$A$1:$L$1300,203+DJ$3,1)&lt;&gt;""),1,0),0)</f>
        <v/>
      </c>
      <c r="DK17">
        <f>IF(DK$4=1,IF(OR(INDEX('×入力'!$A$1:$L$1300,203+DK$3,2+DK$2)&lt;&gt;"",INDEX('×入力'!$A$1:$L$1300,202,2+DK$2)&lt;&gt;"",INDEX('×入力'!$A$1:$L$1300,203+DK$3,1)&lt;&gt;""),1,0),0)</f>
        <v/>
      </c>
      <c r="DL17">
        <f>IF(DL$4=1,IF(OR(INDEX('×入力'!$A$1:$L$1300,203+DL$3,2+DL$2)&lt;&gt;"",INDEX('×入力'!$A$1:$L$1300,202,2+DL$2)&lt;&gt;"",INDEX('×入力'!$A$1:$L$1300,203+DL$3,1)&lt;&gt;""),1,0),0)</f>
        <v/>
      </c>
      <c r="DM17">
        <f>IF(DM$4=1,IF(OR(INDEX('×入力'!$A$1:$L$1300,203+DM$3,2+DM$2)&lt;&gt;"",INDEX('×入力'!$A$1:$L$1300,202,2+DM$2)&lt;&gt;"",INDEX('×入力'!$A$1:$L$1300,203+DM$3,1)&lt;&gt;""),1,0),0)</f>
        <v/>
      </c>
      <c r="DN17">
        <f>IF(DN$4=1,IF(OR(INDEX('×入力'!$A$1:$L$1300,203+DN$3,2+DN$2)&lt;&gt;"",INDEX('×入力'!$A$1:$L$1300,202,2+DN$2)&lt;&gt;"",INDEX('×入力'!$A$1:$L$1300,203+DN$3,1)&lt;&gt;""),1,0),0)</f>
        <v/>
      </c>
      <c r="DO17">
        <f>IF(DO$4=1,IF(OR(INDEX('×入力'!$A$1:$L$1300,203+DO$3,2+DO$2)&lt;&gt;"",INDEX('×入力'!$A$1:$L$1300,202,2+DO$2)&lt;&gt;"",INDEX('×入力'!$A$1:$L$1300,203+DO$3,1)&lt;&gt;""),1,0),0)</f>
        <v/>
      </c>
      <c r="DP17">
        <f>IF(DP$4=1,IF(OR(INDEX('×入力'!$A$1:$L$1300,203+DP$3,2+DP$2)&lt;&gt;"",INDEX('×入力'!$A$1:$L$1300,202,2+DP$2)&lt;&gt;"",INDEX('×入力'!$A$1:$L$1300,203+DP$3,1)&lt;&gt;""),1,0),0)</f>
        <v/>
      </c>
      <c r="DQ17">
        <f>IF(DQ$4=1,IF(OR(INDEX('×入力'!$A$1:$L$1300,203+DQ$3,2+DQ$2)&lt;&gt;"",INDEX('×入力'!$A$1:$L$1300,202,2+DQ$2)&lt;&gt;"",INDEX('×入力'!$A$1:$L$1300,203+DQ$3,1)&lt;&gt;""),1,0),0)</f>
        <v/>
      </c>
      <c r="DR17">
        <f>IF(DR$4=1,IF(OR(INDEX('×入力'!$A$1:$L$1300,203+DR$3,2+DR$2)&lt;&gt;"",INDEX('×入力'!$A$1:$L$1300,202,2+DR$2)&lt;&gt;"",INDEX('×入力'!$A$1:$L$1300,203+DR$3,1)&lt;&gt;""),1,0),0)</f>
        <v/>
      </c>
      <c r="DS17">
        <f>IF(DS$4=1,IF(OR(INDEX('×入力'!$A$1:$L$1300,203+DS$3,2+DS$2)&lt;&gt;"",INDEX('×入力'!$A$1:$L$1300,202,2+DS$2)&lt;&gt;"",INDEX('×入力'!$A$1:$L$1300,203+DS$3,1)&lt;&gt;""),1,0),0)</f>
        <v/>
      </c>
      <c r="DT17">
        <f>IF(DT$4=1,IF(OR(INDEX('×入力'!$A$1:$L$1300,203+DT$3,2+DT$2)&lt;&gt;"",INDEX('×入力'!$A$1:$L$1300,202,2+DT$2)&lt;&gt;"",INDEX('×入力'!$A$1:$L$1300,203+DT$3,1)&lt;&gt;""),1,0),0)</f>
        <v/>
      </c>
      <c r="DU17">
        <f>IF(DU$4=1,IF(OR(INDEX('×入力'!$A$1:$L$1300,203+DU$3,2+DU$2)&lt;&gt;"",INDEX('×入力'!$A$1:$L$1300,202,2+DU$2)&lt;&gt;"",INDEX('×入力'!$A$1:$L$1300,203+DU$3,1)&lt;&gt;""),1,0),0)</f>
        <v/>
      </c>
      <c r="DV17">
        <f>IF(DV$4=1,IF(OR(INDEX('×入力'!$A$1:$L$1300,203+DV$3,2+DV$2)&lt;&gt;"",INDEX('×入力'!$A$1:$L$1300,202,2+DV$2)&lt;&gt;"",INDEX('×入力'!$A$1:$L$1300,203+DV$3,1)&lt;&gt;""),1,0),0)</f>
        <v/>
      </c>
      <c r="DW17">
        <f>IF(DW$4=1,IF(OR(INDEX('×入力'!$A$1:$L$1300,203+DW$3,2+DW$2)&lt;&gt;"",INDEX('×入力'!$A$1:$L$1300,202,2+DW$2)&lt;&gt;"",INDEX('×入力'!$A$1:$L$1300,203+DW$3,1)&lt;&gt;""),1,0),0)</f>
        <v/>
      </c>
      <c r="DX17">
        <f>IF(DX$4=1,IF(OR(INDEX('×入力'!$A$1:$L$1300,203+DX$3,2+DX$2)&lt;&gt;"",INDEX('×入力'!$A$1:$L$1300,202,2+DX$2)&lt;&gt;"",INDEX('×入力'!$A$1:$L$1300,203+DX$3,1)&lt;&gt;""),1,0),0)</f>
        <v/>
      </c>
      <c r="DY17">
        <f>IF(DY$4=1,IF(OR(INDEX('×入力'!$A$1:$L$1300,203+DY$3,2+DY$2)&lt;&gt;"",INDEX('×入力'!$A$1:$L$1300,202,2+DY$2)&lt;&gt;"",INDEX('×入力'!$A$1:$L$1300,203+DY$3,1)&lt;&gt;""),1,0),0)</f>
        <v/>
      </c>
      <c r="DZ17">
        <f>IF(DZ$4=1,IF(OR(INDEX('×入力'!$A$1:$L$1300,203+DZ$3,2+DZ$2)&lt;&gt;"",INDEX('×入力'!$A$1:$L$1300,202,2+DZ$2)&lt;&gt;"",INDEX('×入力'!$A$1:$L$1300,203+DZ$3,1)&lt;&gt;""),1,0),0)</f>
        <v/>
      </c>
      <c r="EA17">
        <f>IF(EA$4=1,IF(OR(INDEX('×入力'!$A$1:$L$1300,203+EA$3,2+EA$2)&lt;&gt;"",INDEX('×入力'!$A$1:$L$1300,202,2+EA$2)&lt;&gt;"",INDEX('×入力'!$A$1:$L$1300,203+EA$3,1)&lt;&gt;""),1,0),0)</f>
        <v/>
      </c>
      <c r="EB17">
        <f>IF(EB$4=1,IF(OR(INDEX('×入力'!$A$1:$L$1300,203+EB$3,2+EB$2)&lt;&gt;"",INDEX('×入力'!$A$1:$L$1300,202,2+EB$2)&lt;&gt;"",INDEX('×入力'!$A$1:$L$1300,203+EB$3,1)&lt;&gt;""),1,0),0)</f>
        <v/>
      </c>
      <c r="EC17">
        <f>IF(EC$4=1,IF(OR(INDEX('×入力'!$A$1:$L$1300,203+EC$3,2+EC$2)&lt;&gt;"",INDEX('×入力'!$A$1:$L$1300,202,2+EC$2)&lt;&gt;"",INDEX('×入力'!$A$1:$L$1300,203+EC$3,1)&lt;&gt;""),1,0),0)</f>
        <v/>
      </c>
      <c r="ED17">
        <f>IF(ED$4=1,IF(OR(INDEX('×入力'!$A$1:$L$1300,203+ED$3,2+ED$2)&lt;&gt;"",INDEX('×入力'!$A$1:$L$1300,202,2+ED$2)&lt;&gt;"",INDEX('×入力'!$A$1:$L$1300,203+ED$3,1)&lt;&gt;""),1,0),0)</f>
        <v/>
      </c>
      <c r="EE17">
        <f>IF(EE$4=1,IF(OR(INDEX('×入力'!$A$1:$L$1300,203+EE$3,2+EE$2)&lt;&gt;"",INDEX('×入力'!$A$1:$L$1300,202,2+EE$2)&lt;&gt;"",INDEX('×入力'!$A$1:$L$1300,203+EE$3,1)&lt;&gt;""),1,0),0)</f>
        <v/>
      </c>
      <c r="EF17">
        <f>IF(EF$4=1,IF(OR(INDEX('×入力'!$A$1:$L$1300,203+EF$3,2+EF$2)&lt;&gt;"",INDEX('×入力'!$A$1:$L$1300,202,2+EF$2)&lt;&gt;"",INDEX('×入力'!$A$1:$L$1300,203+EF$3,1)&lt;&gt;""),1,0),0)</f>
        <v/>
      </c>
      <c r="EG17">
        <f>IF(EG$4=1,IF(OR(INDEX('×入力'!$A$1:$L$1300,203+EG$3,2+EG$2)&lt;&gt;"",INDEX('×入力'!$A$1:$L$1300,202,2+EG$2)&lt;&gt;"",INDEX('×入力'!$A$1:$L$1300,203+EG$3,1)&lt;&gt;""),1,0),0)</f>
        <v/>
      </c>
      <c r="EH17">
        <f>IF(EH$4=1,IF(OR(INDEX('×入力'!$A$1:$L$1300,203+EH$3,2+EH$2)&lt;&gt;"",INDEX('×入力'!$A$1:$L$1300,202,2+EH$2)&lt;&gt;"",INDEX('×入力'!$A$1:$L$1300,203+EH$3,1)&lt;&gt;""),1,0),0)</f>
        <v/>
      </c>
      <c r="EI17">
        <f>IF(EI$4=1,IF(OR(INDEX('×入力'!$A$1:$L$1300,203+EI$3,2+EI$2)&lt;&gt;"",INDEX('×入力'!$A$1:$L$1300,202,2+EI$2)&lt;&gt;"",INDEX('×入力'!$A$1:$L$1300,203+EI$3,1)&lt;&gt;""),1,0),0)</f>
        <v/>
      </c>
      <c r="EJ17">
        <f>IF(EJ$4=1,IF(OR(INDEX('×入力'!$A$1:$L$1300,203+EJ$3,2+EJ$2)&lt;&gt;"",INDEX('×入力'!$A$1:$L$1300,202,2+EJ$2)&lt;&gt;"",INDEX('×入力'!$A$1:$L$1300,203+EJ$3,1)&lt;&gt;""),1,0),0)</f>
        <v/>
      </c>
      <c r="EK17">
        <f>IF(EK$4=1,IF(OR(INDEX('×入力'!$A$1:$L$1300,203+EK$3,2+EK$2)&lt;&gt;"",INDEX('×入力'!$A$1:$L$1300,202,2+EK$2)&lt;&gt;"",INDEX('×入力'!$A$1:$L$1300,203+EK$3,1)&lt;&gt;""),1,0),0)</f>
        <v/>
      </c>
      <c r="EL17">
        <f>IF(EL$4=1,IF(OR(INDEX('×入力'!$A$1:$L$1300,203+EL$3,2+EL$2)&lt;&gt;"",INDEX('×入力'!$A$1:$L$1300,202,2+EL$2)&lt;&gt;"",INDEX('×入力'!$A$1:$L$1300,203+EL$3,1)&lt;&gt;""),1,0),0)</f>
        <v/>
      </c>
      <c r="EM17">
        <f>IF(EM$4=1,IF(OR(INDEX('×入力'!$A$1:$L$1300,203+EM$3,2+EM$2)&lt;&gt;"",INDEX('×入力'!$A$1:$L$1300,202,2+EM$2)&lt;&gt;"",INDEX('×入力'!$A$1:$L$1300,203+EM$3,1)&lt;&gt;""),1,0),0)</f>
        <v/>
      </c>
      <c r="EN17">
        <f>IF(EN$4=1,IF(OR(INDEX('×入力'!$A$1:$L$1300,203+EN$3,2+EN$2)&lt;&gt;"",INDEX('×入力'!$A$1:$L$1300,202,2+EN$2)&lt;&gt;"",INDEX('×入力'!$A$1:$L$1300,203+EN$3,1)&lt;&gt;""),1,0),0)</f>
        <v/>
      </c>
      <c r="EO17">
        <f>IF(EO$4=1,IF(OR(INDEX('×入力'!$A$1:$L$1300,203+EO$3,2+EO$2)&lt;&gt;"",INDEX('×入力'!$A$1:$L$1300,202,2+EO$2)&lt;&gt;"",INDEX('×入力'!$A$1:$L$1300,203+EO$3,1)&lt;&gt;""),1,0),0)</f>
        <v/>
      </c>
      <c r="EP17">
        <f>IF(EP$4=1,IF(OR(INDEX('×入力'!$A$1:$L$1300,203+EP$3,2+EP$2)&lt;&gt;"",INDEX('×入力'!$A$1:$L$1300,202,2+EP$2)&lt;&gt;"",INDEX('×入力'!$A$1:$L$1300,203+EP$3,1)&lt;&gt;""),1,0),0)</f>
        <v/>
      </c>
      <c r="EQ17">
        <f>IF(EQ$4=1,IF(OR(INDEX('×入力'!$A$1:$L$1300,203+EQ$3,2+EQ$2)&lt;&gt;"",INDEX('×入力'!$A$1:$L$1300,202,2+EQ$2)&lt;&gt;"",INDEX('×入力'!$A$1:$L$1300,203+EQ$3,1)&lt;&gt;""),1,0),0)</f>
        <v/>
      </c>
      <c r="HA17">
        <f>MAX(0,IT17)</f>
        <v/>
      </c>
      <c r="HB17">
        <f>IF(HA17=0,0,INDEX($D$2:$EQ$2,HA17))</f>
        <v/>
      </c>
      <c r="HC17">
        <f>IF(HA17=0,0,INDEX($D$3:$EQ$3,HA17))</f>
        <v/>
      </c>
      <c r="HD17">
        <f>MAX(0,IY17)</f>
        <v/>
      </c>
      <c r="HE17">
        <f>IF(HD17=0,0,INDEX($D$2:$EQ$2,HD17))</f>
        <v/>
      </c>
      <c r="HF17">
        <f>IF(HD17=0,0,INDEX($D$3:$EQ$3,HD17))</f>
        <v/>
      </c>
      <c r="HG17">
        <f>MAX(0,IZ17)</f>
        <v/>
      </c>
      <c r="HH17">
        <f>IF(HG17=0,0,INDEX($D$2:$EQ$2,HG17))</f>
        <v/>
      </c>
      <c r="HI17">
        <f>IF(HG17=0,0,INDEX($D$3:$EQ$3,HG17))</f>
        <v/>
      </c>
      <c r="HJ17">
        <f>IF(AND(HA17&gt;0,HC17&gt;1,OR(HC17-1&lt;&gt;$A$3,$A$4=0)),HA17-1,-1)</f>
        <v/>
      </c>
      <c r="HK17">
        <f>IF(AND(HA17&gt;0,HC17&lt;24,OR(HC17&lt;&gt;$A$3,$A$4=0)),HA17+1,-1)</f>
        <v/>
      </c>
      <c r="HL17">
        <f>IF(AND(HD17&gt;0,HF17&gt;1,OR(HF17-1&lt;&gt;$A$3,$A$4=0)),HD17-1,-1)</f>
        <v/>
      </c>
      <c r="HM17">
        <f>IF(AND(HD17&gt;0,HF17&lt;24,OR(HF17&lt;&gt;$A$3,$A$4=0)),HD17+1,-1)</f>
        <v/>
      </c>
      <c r="HN17">
        <f>IF(AND(HG17&gt;0,HI17&gt;1,OR(HI17-1&lt;&gt;$A$3,$A$4=0)),HG17-1,-1)</f>
        <v/>
      </c>
      <c r="HO17">
        <f>IF(AND(HG17&gt;0,HI17&lt;24,OR(HI17&lt;&gt;$A$3,$A$4=0)),HG17+1,-1)</f>
        <v/>
      </c>
      <c r="IK17">
        <f>IFERROR(INDEX('calcB'!$C$3:$C$47,MATCH(A17,'calcB'!$B$3:$B$47,0)),0)</f>
        <v/>
      </c>
      <c r="IL17">
        <f>IF(AND(C17=1,IK17=0,calcA!$A$6&gt;0),1,0)</f>
        <v/>
      </c>
      <c r="IM17">
        <f>SUMPRODUCT(D67:EQ67*(1-$D$7:$EQ$7))</f>
        <v/>
      </c>
      <c r="IN17">
        <f>SUM(D17:EQ17)</f>
        <v/>
      </c>
      <c r="IO17">
        <f>IF(B17="",0,IF(COUNTIF('調整・決定'!$C$6:$H$29,B17)=1,SUMPRODUCT(('調整・決定'!$C$6:$H$29=B17)*((COLUMN('調整・決定'!$C$6:$H$29)-3)*24+ROW('調整・決定'!$C$6:$H$29)-5)),0))</f>
        <v/>
      </c>
      <c r="IP17">
        <f>IFERROR(MATCH('名簿'!C12,{"早い時刻","遅い時刻","早い日","遅い日"},0),0)</f>
        <v/>
      </c>
      <c r="IQ17">
        <f>IF('名簿'!D12="必ず空けたい",2,IF('名簿'!D12="出来れば空けたい",1,0))</f>
        <v/>
      </c>
      <c r="IR17">
        <f>IFERROR(INDEX('calcC'!$C$3:$C$47,MATCH(A17,'calcC'!$B$3:$B$47,0)),0)</f>
        <v/>
      </c>
      <c r="IS17">
        <f>IF(AND(C17=1,IR17=0,calcA!$A$6&gt;0),1,0)</f>
        <v/>
      </c>
      <c r="IT17">
        <f>IF(OR('名簿'!G12="",'名簿'!H12=""),0,IFERROR((MATCH('名簿'!G12,'設定'!$E$11:$E$16,0)-1)*24+MATCH('名簿'!H12,'設定'!$I$11:$I$34,0),-1))</f>
        <v/>
      </c>
      <c r="IV17">
        <f>IF(OR(JF17=0,IO17=0),1,IF(OR(IF(IT17&gt;0,AND(INDEX($D$2:$EQ$2,IO17)=INDEX($D$2:$EQ$2,IT17),OR(AND(IO17=IT17+1,OR(INDEX($D$3:$EQ$3,IT17)&lt;&gt;$A$3,$A$4=0)),AND(IO17=IT17-1,OR(INDEX($D$3:$EQ$3,IO17)&lt;&gt;$A$3,$A$4=0)))),FALSE),IF(IY17&gt;0,AND(INDEX($D$2:$EQ$2,IO17)=INDEX($D$2:$EQ$2,IY17),OR(AND(IO17=IY17+1,OR(INDEX($D$3:$EQ$3,IY17)&lt;&gt;$A$3,$A$4=0)),AND(IO17=IY17-1,OR(INDEX($D$3:$EQ$3,IO17)&lt;&gt;$A$3,$A$4=0)))),FALSE),IF(IZ17&gt;0,AND(INDEX($D$2:$EQ$2,IO17)=INDEX($D$2:$EQ$2,IZ17),OR(AND(IO17=IZ17+1,OR(INDEX($D$3:$EQ$3,IZ17)&lt;&gt;$A$3,$A$4=0)),AND(IO17=IZ17-1,OR(INDEX($D$3:$EQ$3,IO17)&lt;&gt;$A$3,$A$4=0)))),FALSE)),1,0))</f>
        <v/>
      </c>
      <c r="IW17">
        <f>IF(AND('名簿'!E12&lt;&gt;"",JF17=0),1,0)</f>
        <v/>
      </c>
      <c r="IX17">
        <f>IF('名簿'!D12="空けない",1,0)</f>
        <v/>
      </c>
      <c r="IY17">
        <f>IF(OR('名簿'!J12="",'名簿'!K12=""),0,IFERROR((MATCH('名簿'!J12,'設定'!$E$11:$E$16,0)-1)*24+MATCH('名簿'!K12,'設定'!$I$11:$I$34,0),-1))</f>
        <v/>
      </c>
      <c r="IZ17">
        <f>IF(OR('名簿'!M12="",'名簿'!N12=""),0,IFERROR((MATCH('名簿'!M12,'設定'!$E$11:$E$16,0)-1)*24+MATCH('名簿'!N12,'設定'!$I$11:$I$34,0),-1))</f>
        <v/>
      </c>
      <c r="JC17">
        <f>IF(RIGHT('名簿'!I12,2)="の前",1,IF(RIGHT('名簿'!I12,2)="の後",2,0))</f>
        <v/>
      </c>
      <c r="JD17">
        <f>IF(RIGHT('名簿'!L12,2)="の前",1,IF(RIGHT('名簿'!L12,2)="の後",2,0))</f>
        <v/>
      </c>
      <c r="JE17">
        <f>IF(RIGHT('名簿'!O12,2)="の前",1,IF(RIGHT('名簿'!O12,2)="の後",2,0))</f>
        <v/>
      </c>
      <c r="JF17">
        <f>IF(OR(IT17&gt;0,IY17&gt;0,IZ17&gt;0),1,0)</f>
        <v/>
      </c>
      <c r="JG17">
        <f>IF(OR(IT17&lt;0,IY17&lt;0,IZ17&lt;0),1,0)</f>
        <v/>
      </c>
    </row>
    <row r="18">
      <c r="A18" t="n">
        <v>9</v>
      </c>
      <c r="B18">
        <f>'名簿'!P13</f>
        <v/>
      </c>
      <c r="C18">
        <f>IF(AND(B18&lt;&gt;"",OR('名簿'!Q13="入力済み",'名簿'!Q13="×なし"),IO18=0,COUNTIF('調整・決定'!$C$6:$H$29,B18)=0),1,0)</f>
        <v/>
      </c>
      <c r="D18">
        <f>IF(D$4=1,IF(OR(INDEX('×入力'!$A$1:$L$1300,231+D$3,2+D$2)&lt;&gt;"",INDEX('×入力'!$A$1:$L$1300,230,2+D$2)&lt;&gt;"",INDEX('×入力'!$A$1:$L$1300,231+D$3,1)&lt;&gt;""),1,0),0)</f>
        <v/>
      </c>
      <c r="E18">
        <f>IF(E$4=1,IF(OR(INDEX('×入力'!$A$1:$L$1300,231+E$3,2+E$2)&lt;&gt;"",INDEX('×入力'!$A$1:$L$1300,230,2+E$2)&lt;&gt;"",INDEX('×入力'!$A$1:$L$1300,231+E$3,1)&lt;&gt;""),1,0),0)</f>
        <v/>
      </c>
      <c r="F18">
        <f>IF(F$4=1,IF(OR(INDEX('×入力'!$A$1:$L$1300,231+F$3,2+F$2)&lt;&gt;"",INDEX('×入力'!$A$1:$L$1300,230,2+F$2)&lt;&gt;"",INDEX('×入力'!$A$1:$L$1300,231+F$3,1)&lt;&gt;""),1,0),0)</f>
        <v/>
      </c>
      <c r="G18">
        <f>IF(G$4=1,IF(OR(INDEX('×入力'!$A$1:$L$1300,231+G$3,2+G$2)&lt;&gt;"",INDEX('×入力'!$A$1:$L$1300,230,2+G$2)&lt;&gt;"",INDEX('×入力'!$A$1:$L$1300,231+G$3,1)&lt;&gt;""),1,0),0)</f>
        <v/>
      </c>
      <c r="H18">
        <f>IF(H$4=1,IF(OR(INDEX('×入力'!$A$1:$L$1300,231+H$3,2+H$2)&lt;&gt;"",INDEX('×入力'!$A$1:$L$1300,230,2+H$2)&lt;&gt;"",INDEX('×入力'!$A$1:$L$1300,231+H$3,1)&lt;&gt;""),1,0),0)</f>
        <v/>
      </c>
      <c r="I18">
        <f>IF(I$4=1,IF(OR(INDEX('×入力'!$A$1:$L$1300,231+I$3,2+I$2)&lt;&gt;"",INDEX('×入力'!$A$1:$L$1300,230,2+I$2)&lt;&gt;"",INDEX('×入力'!$A$1:$L$1300,231+I$3,1)&lt;&gt;""),1,0),0)</f>
        <v/>
      </c>
      <c r="J18">
        <f>IF(J$4=1,IF(OR(INDEX('×入力'!$A$1:$L$1300,231+J$3,2+J$2)&lt;&gt;"",INDEX('×入力'!$A$1:$L$1300,230,2+J$2)&lt;&gt;"",INDEX('×入力'!$A$1:$L$1300,231+J$3,1)&lt;&gt;""),1,0),0)</f>
        <v/>
      </c>
      <c r="K18">
        <f>IF(K$4=1,IF(OR(INDEX('×入力'!$A$1:$L$1300,231+K$3,2+K$2)&lt;&gt;"",INDEX('×入力'!$A$1:$L$1300,230,2+K$2)&lt;&gt;"",INDEX('×入力'!$A$1:$L$1300,231+K$3,1)&lt;&gt;""),1,0),0)</f>
        <v/>
      </c>
      <c r="L18">
        <f>IF(L$4=1,IF(OR(INDEX('×入力'!$A$1:$L$1300,231+L$3,2+L$2)&lt;&gt;"",INDEX('×入力'!$A$1:$L$1300,230,2+L$2)&lt;&gt;"",INDEX('×入力'!$A$1:$L$1300,231+L$3,1)&lt;&gt;""),1,0),0)</f>
        <v/>
      </c>
      <c r="M18">
        <f>IF(M$4=1,IF(OR(INDEX('×入力'!$A$1:$L$1300,231+M$3,2+M$2)&lt;&gt;"",INDEX('×入力'!$A$1:$L$1300,230,2+M$2)&lt;&gt;"",INDEX('×入力'!$A$1:$L$1300,231+M$3,1)&lt;&gt;""),1,0),0)</f>
        <v/>
      </c>
      <c r="N18">
        <f>IF(N$4=1,IF(OR(INDEX('×入力'!$A$1:$L$1300,231+N$3,2+N$2)&lt;&gt;"",INDEX('×入力'!$A$1:$L$1300,230,2+N$2)&lt;&gt;"",INDEX('×入力'!$A$1:$L$1300,231+N$3,1)&lt;&gt;""),1,0),0)</f>
        <v/>
      </c>
      <c r="O18">
        <f>IF(O$4=1,IF(OR(INDEX('×入力'!$A$1:$L$1300,231+O$3,2+O$2)&lt;&gt;"",INDEX('×入力'!$A$1:$L$1300,230,2+O$2)&lt;&gt;"",INDEX('×入力'!$A$1:$L$1300,231+O$3,1)&lt;&gt;""),1,0),0)</f>
        <v/>
      </c>
      <c r="P18">
        <f>IF(P$4=1,IF(OR(INDEX('×入力'!$A$1:$L$1300,231+P$3,2+P$2)&lt;&gt;"",INDEX('×入力'!$A$1:$L$1300,230,2+P$2)&lt;&gt;"",INDEX('×入力'!$A$1:$L$1300,231+P$3,1)&lt;&gt;""),1,0),0)</f>
        <v/>
      </c>
      <c r="Q18">
        <f>IF(Q$4=1,IF(OR(INDEX('×入力'!$A$1:$L$1300,231+Q$3,2+Q$2)&lt;&gt;"",INDEX('×入力'!$A$1:$L$1300,230,2+Q$2)&lt;&gt;"",INDEX('×入力'!$A$1:$L$1300,231+Q$3,1)&lt;&gt;""),1,0),0)</f>
        <v/>
      </c>
      <c r="R18">
        <f>IF(R$4=1,IF(OR(INDEX('×入力'!$A$1:$L$1300,231+R$3,2+R$2)&lt;&gt;"",INDEX('×入力'!$A$1:$L$1300,230,2+R$2)&lt;&gt;"",INDEX('×入力'!$A$1:$L$1300,231+R$3,1)&lt;&gt;""),1,0),0)</f>
        <v/>
      </c>
      <c r="S18">
        <f>IF(S$4=1,IF(OR(INDEX('×入力'!$A$1:$L$1300,231+S$3,2+S$2)&lt;&gt;"",INDEX('×入力'!$A$1:$L$1300,230,2+S$2)&lt;&gt;"",INDEX('×入力'!$A$1:$L$1300,231+S$3,1)&lt;&gt;""),1,0),0)</f>
        <v/>
      </c>
      <c r="T18">
        <f>IF(T$4=1,IF(OR(INDEX('×入力'!$A$1:$L$1300,231+T$3,2+T$2)&lt;&gt;"",INDEX('×入力'!$A$1:$L$1300,230,2+T$2)&lt;&gt;"",INDEX('×入力'!$A$1:$L$1300,231+T$3,1)&lt;&gt;""),1,0),0)</f>
        <v/>
      </c>
      <c r="U18">
        <f>IF(U$4=1,IF(OR(INDEX('×入力'!$A$1:$L$1300,231+U$3,2+U$2)&lt;&gt;"",INDEX('×入力'!$A$1:$L$1300,230,2+U$2)&lt;&gt;"",INDEX('×入力'!$A$1:$L$1300,231+U$3,1)&lt;&gt;""),1,0),0)</f>
        <v/>
      </c>
      <c r="V18">
        <f>IF(V$4=1,IF(OR(INDEX('×入力'!$A$1:$L$1300,231+V$3,2+V$2)&lt;&gt;"",INDEX('×入力'!$A$1:$L$1300,230,2+V$2)&lt;&gt;"",INDEX('×入力'!$A$1:$L$1300,231+V$3,1)&lt;&gt;""),1,0),0)</f>
        <v/>
      </c>
      <c r="W18">
        <f>IF(W$4=1,IF(OR(INDEX('×入力'!$A$1:$L$1300,231+W$3,2+W$2)&lt;&gt;"",INDEX('×入力'!$A$1:$L$1300,230,2+W$2)&lt;&gt;"",INDEX('×入力'!$A$1:$L$1300,231+W$3,1)&lt;&gt;""),1,0),0)</f>
        <v/>
      </c>
      <c r="X18">
        <f>IF(X$4=1,IF(OR(INDEX('×入力'!$A$1:$L$1300,231+X$3,2+X$2)&lt;&gt;"",INDEX('×入力'!$A$1:$L$1300,230,2+X$2)&lt;&gt;"",INDEX('×入力'!$A$1:$L$1300,231+X$3,1)&lt;&gt;""),1,0),0)</f>
        <v/>
      </c>
      <c r="Y18">
        <f>IF(Y$4=1,IF(OR(INDEX('×入力'!$A$1:$L$1300,231+Y$3,2+Y$2)&lt;&gt;"",INDEX('×入力'!$A$1:$L$1300,230,2+Y$2)&lt;&gt;"",INDEX('×入力'!$A$1:$L$1300,231+Y$3,1)&lt;&gt;""),1,0),0)</f>
        <v/>
      </c>
      <c r="Z18">
        <f>IF(Z$4=1,IF(OR(INDEX('×入力'!$A$1:$L$1300,231+Z$3,2+Z$2)&lt;&gt;"",INDEX('×入力'!$A$1:$L$1300,230,2+Z$2)&lt;&gt;"",INDEX('×入力'!$A$1:$L$1300,231+Z$3,1)&lt;&gt;""),1,0),0)</f>
        <v/>
      </c>
      <c r="AA18">
        <f>IF(AA$4=1,IF(OR(INDEX('×入力'!$A$1:$L$1300,231+AA$3,2+AA$2)&lt;&gt;"",INDEX('×入力'!$A$1:$L$1300,230,2+AA$2)&lt;&gt;"",INDEX('×入力'!$A$1:$L$1300,231+AA$3,1)&lt;&gt;""),1,0),0)</f>
        <v/>
      </c>
      <c r="AB18">
        <f>IF(AB$4=1,IF(OR(INDEX('×入力'!$A$1:$L$1300,231+AB$3,2+AB$2)&lt;&gt;"",INDEX('×入力'!$A$1:$L$1300,230,2+AB$2)&lt;&gt;"",INDEX('×入力'!$A$1:$L$1300,231+AB$3,1)&lt;&gt;""),1,0),0)</f>
        <v/>
      </c>
      <c r="AC18">
        <f>IF(AC$4=1,IF(OR(INDEX('×入力'!$A$1:$L$1300,231+AC$3,2+AC$2)&lt;&gt;"",INDEX('×入力'!$A$1:$L$1300,230,2+AC$2)&lt;&gt;"",INDEX('×入力'!$A$1:$L$1300,231+AC$3,1)&lt;&gt;""),1,0),0)</f>
        <v/>
      </c>
      <c r="AD18">
        <f>IF(AD$4=1,IF(OR(INDEX('×入力'!$A$1:$L$1300,231+AD$3,2+AD$2)&lt;&gt;"",INDEX('×入力'!$A$1:$L$1300,230,2+AD$2)&lt;&gt;"",INDEX('×入力'!$A$1:$L$1300,231+AD$3,1)&lt;&gt;""),1,0),0)</f>
        <v/>
      </c>
      <c r="AE18">
        <f>IF(AE$4=1,IF(OR(INDEX('×入力'!$A$1:$L$1300,231+AE$3,2+AE$2)&lt;&gt;"",INDEX('×入力'!$A$1:$L$1300,230,2+AE$2)&lt;&gt;"",INDEX('×入力'!$A$1:$L$1300,231+AE$3,1)&lt;&gt;""),1,0),0)</f>
        <v/>
      </c>
      <c r="AF18">
        <f>IF(AF$4=1,IF(OR(INDEX('×入力'!$A$1:$L$1300,231+AF$3,2+AF$2)&lt;&gt;"",INDEX('×入力'!$A$1:$L$1300,230,2+AF$2)&lt;&gt;"",INDEX('×入力'!$A$1:$L$1300,231+AF$3,1)&lt;&gt;""),1,0),0)</f>
        <v/>
      </c>
      <c r="AG18">
        <f>IF(AG$4=1,IF(OR(INDEX('×入力'!$A$1:$L$1300,231+AG$3,2+AG$2)&lt;&gt;"",INDEX('×入力'!$A$1:$L$1300,230,2+AG$2)&lt;&gt;"",INDEX('×入力'!$A$1:$L$1300,231+AG$3,1)&lt;&gt;""),1,0),0)</f>
        <v/>
      </c>
      <c r="AH18">
        <f>IF(AH$4=1,IF(OR(INDEX('×入力'!$A$1:$L$1300,231+AH$3,2+AH$2)&lt;&gt;"",INDEX('×入力'!$A$1:$L$1300,230,2+AH$2)&lt;&gt;"",INDEX('×入力'!$A$1:$L$1300,231+AH$3,1)&lt;&gt;""),1,0),0)</f>
        <v/>
      </c>
      <c r="AI18">
        <f>IF(AI$4=1,IF(OR(INDEX('×入力'!$A$1:$L$1300,231+AI$3,2+AI$2)&lt;&gt;"",INDEX('×入力'!$A$1:$L$1300,230,2+AI$2)&lt;&gt;"",INDEX('×入力'!$A$1:$L$1300,231+AI$3,1)&lt;&gt;""),1,0),0)</f>
        <v/>
      </c>
      <c r="AJ18">
        <f>IF(AJ$4=1,IF(OR(INDEX('×入力'!$A$1:$L$1300,231+AJ$3,2+AJ$2)&lt;&gt;"",INDEX('×入力'!$A$1:$L$1300,230,2+AJ$2)&lt;&gt;"",INDEX('×入力'!$A$1:$L$1300,231+AJ$3,1)&lt;&gt;""),1,0),0)</f>
        <v/>
      </c>
      <c r="AK18">
        <f>IF(AK$4=1,IF(OR(INDEX('×入力'!$A$1:$L$1300,231+AK$3,2+AK$2)&lt;&gt;"",INDEX('×入力'!$A$1:$L$1300,230,2+AK$2)&lt;&gt;"",INDEX('×入力'!$A$1:$L$1300,231+AK$3,1)&lt;&gt;""),1,0),0)</f>
        <v/>
      </c>
      <c r="AL18">
        <f>IF(AL$4=1,IF(OR(INDEX('×入力'!$A$1:$L$1300,231+AL$3,2+AL$2)&lt;&gt;"",INDEX('×入力'!$A$1:$L$1300,230,2+AL$2)&lt;&gt;"",INDEX('×入力'!$A$1:$L$1300,231+AL$3,1)&lt;&gt;""),1,0),0)</f>
        <v/>
      </c>
      <c r="AM18">
        <f>IF(AM$4=1,IF(OR(INDEX('×入力'!$A$1:$L$1300,231+AM$3,2+AM$2)&lt;&gt;"",INDEX('×入力'!$A$1:$L$1300,230,2+AM$2)&lt;&gt;"",INDEX('×入力'!$A$1:$L$1300,231+AM$3,1)&lt;&gt;""),1,0),0)</f>
        <v/>
      </c>
      <c r="AN18">
        <f>IF(AN$4=1,IF(OR(INDEX('×入力'!$A$1:$L$1300,231+AN$3,2+AN$2)&lt;&gt;"",INDEX('×入力'!$A$1:$L$1300,230,2+AN$2)&lt;&gt;"",INDEX('×入力'!$A$1:$L$1300,231+AN$3,1)&lt;&gt;""),1,0),0)</f>
        <v/>
      </c>
      <c r="AO18">
        <f>IF(AO$4=1,IF(OR(INDEX('×入力'!$A$1:$L$1300,231+AO$3,2+AO$2)&lt;&gt;"",INDEX('×入力'!$A$1:$L$1300,230,2+AO$2)&lt;&gt;"",INDEX('×入力'!$A$1:$L$1300,231+AO$3,1)&lt;&gt;""),1,0),0)</f>
        <v/>
      </c>
      <c r="AP18">
        <f>IF(AP$4=1,IF(OR(INDEX('×入力'!$A$1:$L$1300,231+AP$3,2+AP$2)&lt;&gt;"",INDEX('×入力'!$A$1:$L$1300,230,2+AP$2)&lt;&gt;"",INDEX('×入力'!$A$1:$L$1300,231+AP$3,1)&lt;&gt;""),1,0),0)</f>
        <v/>
      </c>
      <c r="AQ18">
        <f>IF(AQ$4=1,IF(OR(INDEX('×入力'!$A$1:$L$1300,231+AQ$3,2+AQ$2)&lt;&gt;"",INDEX('×入力'!$A$1:$L$1300,230,2+AQ$2)&lt;&gt;"",INDEX('×入力'!$A$1:$L$1300,231+AQ$3,1)&lt;&gt;""),1,0),0)</f>
        <v/>
      </c>
      <c r="AR18">
        <f>IF(AR$4=1,IF(OR(INDEX('×入力'!$A$1:$L$1300,231+AR$3,2+AR$2)&lt;&gt;"",INDEX('×入力'!$A$1:$L$1300,230,2+AR$2)&lt;&gt;"",INDEX('×入力'!$A$1:$L$1300,231+AR$3,1)&lt;&gt;""),1,0),0)</f>
        <v/>
      </c>
      <c r="AS18">
        <f>IF(AS$4=1,IF(OR(INDEX('×入力'!$A$1:$L$1300,231+AS$3,2+AS$2)&lt;&gt;"",INDEX('×入力'!$A$1:$L$1300,230,2+AS$2)&lt;&gt;"",INDEX('×入力'!$A$1:$L$1300,231+AS$3,1)&lt;&gt;""),1,0),0)</f>
        <v/>
      </c>
      <c r="AT18">
        <f>IF(AT$4=1,IF(OR(INDEX('×入力'!$A$1:$L$1300,231+AT$3,2+AT$2)&lt;&gt;"",INDEX('×入力'!$A$1:$L$1300,230,2+AT$2)&lt;&gt;"",INDEX('×入力'!$A$1:$L$1300,231+AT$3,1)&lt;&gt;""),1,0),0)</f>
        <v/>
      </c>
      <c r="AU18">
        <f>IF(AU$4=1,IF(OR(INDEX('×入力'!$A$1:$L$1300,231+AU$3,2+AU$2)&lt;&gt;"",INDEX('×入力'!$A$1:$L$1300,230,2+AU$2)&lt;&gt;"",INDEX('×入力'!$A$1:$L$1300,231+AU$3,1)&lt;&gt;""),1,0),0)</f>
        <v/>
      </c>
      <c r="AV18">
        <f>IF(AV$4=1,IF(OR(INDEX('×入力'!$A$1:$L$1300,231+AV$3,2+AV$2)&lt;&gt;"",INDEX('×入力'!$A$1:$L$1300,230,2+AV$2)&lt;&gt;"",INDEX('×入力'!$A$1:$L$1300,231+AV$3,1)&lt;&gt;""),1,0),0)</f>
        <v/>
      </c>
      <c r="AW18">
        <f>IF(AW$4=1,IF(OR(INDEX('×入力'!$A$1:$L$1300,231+AW$3,2+AW$2)&lt;&gt;"",INDEX('×入力'!$A$1:$L$1300,230,2+AW$2)&lt;&gt;"",INDEX('×入力'!$A$1:$L$1300,231+AW$3,1)&lt;&gt;""),1,0),0)</f>
        <v/>
      </c>
      <c r="AX18">
        <f>IF(AX$4=1,IF(OR(INDEX('×入力'!$A$1:$L$1300,231+AX$3,2+AX$2)&lt;&gt;"",INDEX('×入力'!$A$1:$L$1300,230,2+AX$2)&lt;&gt;"",INDEX('×入力'!$A$1:$L$1300,231+AX$3,1)&lt;&gt;""),1,0),0)</f>
        <v/>
      </c>
      <c r="AY18">
        <f>IF(AY$4=1,IF(OR(INDEX('×入力'!$A$1:$L$1300,231+AY$3,2+AY$2)&lt;&gt;"",INDEX('×入力'!$A$1:$L$1300,230,2+AY$2)&lt;&gt;"",INDEX('×入力'!$A$1:$L$1300,231+AY$3,1)&lt;&gt;""),1,0),0)</f>
        <v/>
      </c>
      <c r="AZ18">
        <f>IF(AZ$4=1,IF(OR(INDEX('×入力'!$A$1:$L$1300,231+AZ$3,2+AZ$2)&lt;&gt;"",INDEX('×入力'!$A$1:$L$1300,230,2+AZ$2)&lt;&gt;"",INDEX('×入力'!$A$1:$L$1300,231+AZ$3,1)&lt;&gt;""),1,0),0)</f>
        <v/>
      </c>
      <c r="BA18">
        <f>IF(BA$4=1,IF(OR(INDEX('×入力'!$A$1:$L$1300,231+BA$3,2+BA$2)&lt;&gt;"",INDEX('×入力'!$A$1:$L$1300,230,2+BA$2)&lt;&gt;"",INDEX('×入力'!$A$1:$L$1300,231+BA$3,1)&lt;&gt;""),1,0),0)</f>
        <v/>
      </c>
      <c r="BB18">
        <f>IF(BB$4=1,IF(OR(INDEX('×入力'!$A$1:$L$1300,231+BB$3,2+BB$2)&lt;&gt;"",INDEX('×入力'!$A$1:$L$1300,230,2+BB$2)&lt;&gt;"",INDEX('×入力'!$A$1:$L$1300,231+BB$3,1)&lt;&gt;""),1,0),0)</f>
        <v/>
      </c>
      <c r="BC18">
        <f>IF(BC$4=1,IF(OR(INDEX('×入力'!$A$1:$L$1300,231+BC$3,2+BC$2)&lt;&gt;"",INDEX('×入力'!$A$1:$L$1300,230,2+BC$2)&lt;&gt;"",INDEX('×入力'!$A$1:$L$1300,231+BC$3,1)&lt;&gt;""),1,0),0)</f>
        <v/>
      </c>
      <c r="BD18">
        <f>IF(BD$4=1,IF(OR(INDEX('×入力'!$A$1:$L$1300,231+BD$3,2+BD$2)&lt;&gt;"",INDEX('×入力'!$A$1:$L$1300,230,2+BD$2)&lt;&gt;"",INDEX('×入力'!$A$1:$L$1300,231+BD$3,1)&lt;&gt;""),1,0),0)</f>
        <v/>
      </c>
      <c r="BE18">
        <f>IF(BE$4=1,IF(OR(INDEX('×入力'!$A$1:$L$1300,231+BE$3,2+BE$2)&lt;&gt;"",INDEX('×入力'!$A$1:$L$1300,230,2+BE$2)&lt;&gt;"",INDEX('×入力'!$A$1:$L$1300,231+BE$3,1)&lt;&gt;""),1,0),0)</f>
        <v/>
      </c>
      <c r="BF18">
        <f>IF(BF$4=1,IF(OR(INDEX('×入力'!$A$1:$L$1300,231+BF$3,2+BF$2)&lt;&gt;"",INDEX('×入力'!$A$1:$L$1300,230,2+BF$2)&lt;&gt;"",INDEX('×入力'!$A$1:$L$1300,231+BF$3,1)&lt;&gt;""),1,0),0)</f>
        <v/>
      </c>
      <c r="BG18">
        <f>IF(BG$4=1,IF(OR(INDEX('×入力'!$A$1:$L$1300,231+BG$3,2+BG$2)&lt;&gt;"",INDEX('×入力'!$A$1:$L$1300,230,2+BG$2)&lt;&gt;"",INDEX('×入力'!$A$1:$L$1300,231+BG$3,1)&lt;&gt;""),1,0),0)</f>
        <v/>
      </c>
      <c r="BH18">
        <f>IF(BH$4=1,IF(OR(INDEX('×入力'!$A$1:$L$1300,231+BH$3,2+BH$2)&lt;&gt;"",INDEX('×入力'!$A$1:$L$1300,230,2+BH$2)&lt;&gt;"",INDEX('×入力'!$A$1:$L$1300,231+BH$3,1)&lt;&gt;""),1,0),0)</f>
        <v/>
      </c>
      <c r="BI18">
        <f>IF(BI$4=1,IF(OR(INDEX('×入力'!$A$1:$L$1300,231+BI$3,2+BI$2)&lt;&gt;"",INDEX('×入力'!$A$1:$L$1300,230,2+BI$2)&lt;&gt;"",INDEX('×入力'!$A$1:$L$1300,231+BI$3,1)&lt;&gt;""),1,0),0)</f>
        <v/>
      </c>
      <c r="BJ18">
        <f>IF(BJ$4=1,IF(OR(INDEX('×入力'!$A$1:$L$1300,231+BJ$3,2+BJ$2)&lt;&gt;"",INDEX('×入力'!$A$1:$L$1300,230,2+BJ$2)&lt;&gt;"",INDEX('×入力'!$A$1:$L$1300,231+BJ$3,1)&lt;&gt;""),1,0),0)</f>
        <v/>
      </c>
      <c r="BK18">
        <f>IF(BK$4=1,IF(OR(INDEX('×入力'!$A$1:$L$1300,231+BK$3,2+BK$2)&lt;&gt;"",INDEX('×入力'!$A$1:$L$1300,230,2+BK$2)&lt;&gt;"",INDEX('×入力'!$A$1:$L$1300,231+BK$3,1)&lt;&gt;""),1,0),0)</f>
        <v/>
      </c>
      <c r="BL18">
        <f>IF(BL$4=1,IF(OR(INDEX('×入力'!$A$1:$L$1300,231+BL$3,2+BL$2)&lt;&gt;"",INDEX('×入力'!$A$1:$L$1300,230,2+BL$2)&lt;&gt;"",INDEX('×入力'!$A$1:$L$1300,231+BL$3,1)&lt;&gt;""),1,0),0)</f>
        <v/>
      </c>
      <c r="BM18">
        <f>IF(BM$4=1,IF(OR(INDEX('×入力'!$A$1:$L$1300,231+BM$3,2+BM$2)&lt;&gt;"",INDEX('×入力'!$A$1:$L$1300,230,2+BM$2)&lt;&gt;"",INDEX('×入力'!$A$1:$L$1300,231+BM$3,1)&lt;&gt;""),1,0),0)</f>
        <v/>
      </c>
      <c r="BN18">
        <f>IF(BN$4=1,IF(OR(INDEX('×入力'!$A$1:$L$1300,231+BN$3,2+BN$2)&lt;&gt;"",INDEX('×入力'!$A$1:$L$1300,230,2+BN$2)&lt;&gt;"",INDEX('×入力'!$A$1:$L$1300,231+BN$3,1)&lt;&gt;""),1,0),0)</f>
        <v/>
      </c>
      <c r="BO18">
        <f>IF(BO$4=1,IF(OR(INDEX('×入力'!$A$1:$L$1300,231+BO$3,2+BO$2)&lt;&gt;"",INDEX('×入力'!$A$1:$L$1300,230,2+BO$2)&lt;&gt;"",INDEX('×入力'!$A$1:$L$1300,231+BO$3,1)&lt;&gt;""),1,0),0)</f>
        <v/>
      </c>
      <c r="BP18">
        <f>IF(BP$4=1,IF(OR(INDEX('×入力'!$A$1:$L$1300,231+BP$3,2+BP$2)&lt;&gt;"",INDEX('×入力'!$A$1:$L$1300,230,2+BP$2)&lt;&gt;"",INDEX('×入力'!$A$1:$L$1300,231+BP$3,1)&lt;&gt;""),1,0),0)</f>
        <v/>
      </c>
      <c r="BQ18">
        <f>IF(BQ$4=1,IF(OR(INDEX('×入力'!$A$1:$L$1300,231+BQ$3,2+BQ$2)&lt;&gt;"",INDEX('×入力'!$A$1:$L$1300,230,2+BQ$2)&lt;&gt;"",INDEX('×入力'!$A$1:$L$1300,231+BQ$3,1)&lt;&gt;""),1,0),0)</f>
        <v/>
      </c>
      <c r="BR18">
        <f>IF(BR$4=1,IF(OR(INDEX('×入力'!$A$1:$L$1300,231+BR$3,2+BR$2)&lt;&gt;"",INDEX('×入力'!$A$1:$L$1300,230,2+BR$2)&lt;&gt;"",INDEX('×入力'!$A$1:$L$1300,231+BR$3,1)&lt;&gt;""),1,0),0)</f>
        <v/>
      </c>
      <c r="BS18">
        <f>IF(BS$4=1,IF(OR(INDEX('×入力'!$A$1:$L$1300,231+BS$3,2+BS$2)&lt;&gt;"",INDEX('×入力'!$A$1:$L$1300,230,2+BS$2)&lt;&gt;"",INDEX('×入力'!$A$1:$L$1300,231+BS$3,1)&lt;&gt;""),1,0),0)</f>
        <v/>
      </c>
      <c r="BT18">
        <f>IF(BT$4=1,IF(OR(INDEX('×入力'!$A$1:$L$1300,231+BT$3,2+BT$2)&lt;&gt;"",INDEX('×入力'!$A$1:$L$1300,230,2+BT$2)&lt;&gt;"",INDEX('×入力'!$A$1:$L$1300,231+BT$3,1)&lt;&gt;""),1,0),0)</f>
        <v/>
      </c>
      <c r="BU18">
        <f>IF(BU$4=1,IF(OR(INDEX('×入力'!$A$1:$L$1300,231+BU$3,2+BU$2)&lt;&gt;"",INDEX('×入力'!$A$1:$L$1300,230,2+BU$2)&lt;&gt;"",INDEX('×入力'!$A$1:$L$1300,231+BU$3,1)&lt;&gt;""),1,0),0)</f>
        <v/>
      </c>
      <c r="BV18">
        <f>IF(BV$4=1,IF(OR(INDEX('×入力'!$A$1:$L$1300,231+BV$3,2+BV$2)&lt;&gt;"",INDEX('×入力'!$A$1:$L$1300,230,2+BV$2)&lt;&gt;"",INDEX('×入力'!$A$1:$L$1300,231+BV$3,1)&lt;&gt;""),1,0),0)</f>
        <v/>
      </c>
      <c r="BW18">
        <f>IF(BW$4=1,IF(OR(INDEX('×入力'!$A$1:$L$1300,231+BW$3,2+BW$2)&lt;&gt;"",INDEX('×入力'!$A$1:$L$1300,230,2+BW$2)&lt;&gt;"",INDEX('×入力'!$A$1:$L$1300,231+BW$3,1)&lt;&gt;""),1,0),0)</f>
        <v/>
      </c>
      <c r="BX18">
        <f>IF(BX$4=1,IF(OR(INDEX('×入力'!$A$1:$L$1300,231+BX$3,2+BX$2)&lt;&gt;"",INDEX('×入力'!$A$1:$L$1300,230,2+BX$2)&lt;&gt;"",INDEX('×入力'!$A$1:$L$1300,231+BX$3,1)&lt;&gt;""),1,0),0)</f>
        <v/>
      </c>
      <c r="BY18">
        <f>IF(BY$4=1,IF(OR(INDEX('×入力'!$A$1:$L$1300,231+BY$3,2+BY$2)&lt;&gt;"",INDEX('×入力'!$A$1:$L$1300,230,2+BY$2)&lt;&gt;"",INDEX('×入力'!$A$1:$L$1300,231+BY$3,1)&lt;&gt;""),1,0),0)</f>
        <v/>
      </c>
      <c r="BZ18">
        <f>IF(BZ$4=1,IF(OR(INDEX('×入力'!$A$1:$L$1300,231+BZ$3,2+BZ$2)&lt;&gt;"",INDEX('×入力'!$A$1:$L$1300,230,2+BZ$2)&lt;&gt;"",INDEX('×入力'!$A$1:$L$1300,231+BZ$3,1)&lt;&gt;""),1,0),0)</f>
        <v/>
      </c>
      <c r="CA18">
        <f>IF(CA$4=1,IF(OR(INDEX('×入力'!$A$1:$L$1300,231+CA$3,2+CA$2)&lt;&gt;"",INDEX('×入力'!$A$1:$L$1300,230,2+CA$2)&lt;&gt;"",INDEX('×入力'!$A$1:$L$1300,231+CA$3,1)&lt;&gt;""),1,0),0)</f>
        <v/>
      </c>
      <c r="CB18">
        <f>IF(CB$4=1,IF(OR(INDEX('×入力'!$A$1:$L$1300,231+CB$3,2+CB$2)&lt;&gt;"",INDEX('×入力'!$A$1:$L$1300,230,2+CB$2)&lt;&gt;"",INDEX('×入力'!$A$1:$L$1300,231+CB$3,1)&lt;&gt;""),1,0),0)</f>
        <v/>
      </c>
      <c r="CC18">
        <f>IF(CC$4=1,IF(OR(INDEX('×入力'!$A$1:$L$1300,231+CC$3,2+CC$2)&lt;&gt;"",INDEX('×入力'!$A$1:$L$1300,230,2+CC$2)&lt;&gt;"",INDEX('×入力'!$A$1:$L$1300,231+CC$3,1)&lt;&gt;""),1,0),0)</f>
        <v/>
      </c>
      <c r="CD18">
        <f>IF(CD$4=1,IF(OR(INDEX('×入力'!$A$1:$L$1300,231+CD$3,2+CD$2)&lt;&gt;"",INDEX('×入力'!$A$1:$L$1300,230,2+CD$2)&lt;&gt;"",INDEX('×入力'!$A$1:$L$1300,231+CD$3,1)&lt;&gt;""),1,0),0)</f>
        <v/>
      </c>
      <c r="CE18">
        <f>IF(CE$4=1,IF(OR(INDEX('×入力'!$A$1:$L$1300,231+CE$3,2+CE$2)&lt;&gt;"",INDEX('×入力'!$A$1:$L$1300,230,2+CE$2)&lt;&gt;"",INDEX('×入力'!$A$1:$L$1300,231+CE$3,1)&lt;&gt;""),1,0),0)</f>
        <v/>
      </c>
      <c r="CF18">
        <f>IF(CF$4=1,IF(OR(INDEX('×入力'!$A$1:$L$1300,231+CF$3,2+CF$2)&lt;&gt;"",INDEX('×入力'!$A$1:$L$1300,230,2+CF$2)&lt;&gt;"",INDEX('×入力'!$A$1:$L$1300,231+CF$3,1)&lt;&gt;""),1,0),0)</f>
        <v/>
      </c>
      <c r="CG18">
        <f>IF(CG$4=1,IF(OR(INDEX('×入力'!$A$1:$L$1300,231+CG$3,2+CG$2)&lt;&gt;"",INDEX('×入力'!$A$1:$L$1300,230,2+CG$2)&lt;&gt;"",INDEX('×入力'!$A$1:$L$1300,231+CG$3,1)&lt;&gt;""),1,0),0)</f>
        <v/>
      </c>
      <c r="CH18">
        <f>IF(CH$4=1,IF(OR(INDEX('×入力'!$A$1:$L$1300,231+CH$3,2+CH$2)&lt;&gt;"",INDEX('×入力'!$A$1:$L$1300,230,2+CH$2)&lt;&gt;"",INDEX('×入力'!$A$1:$L$1300,231+CH$3,1)&lt;&gt;""),1,0),0)</f>
        <v/>
      </c>
      <c r="CI18">
        <f>IF(CI$4=1,IF(OR(INDEX('×入力'!$A$1:$L$1300,231+CI$3,2+CI$2)&lt;&gt;"",INDEX('×入力'!$A$1:$L$1300,230,2+CI$2)&lt;&gt;"",INDEX('×入力'!$A$1:$L$1300,231+CI$3,1)&lt;&gt;""),1,0),0)</f>
        <v/>
      </c>
      <c r="CJ18">
        <f>IF(CJ$4=1,IF(OR(INDEX('×入力'!$A$1:$L$1300,231+CJ$3,2+CJ$2)&lt;&gt;"",INDEX('×入力'!$A$1:$L$1300,230,2+CJ$2)&lt;&gt;"",INDEX('×入力'!$A$1:$L$1300,231+CJ$3,1)&lt;&gt;""),1,0),0)</f>
        <v/>
      </c>
      <c r="CK18">
        <f>IF(CK$4=1,IF(OR(INDEX('×入力'!$A$1:$L$1300,231+CK$3,2+CK$2)&lt;&gt;"",INDEX('×入力'!$A$1:$L$1300,230,2+CK$2)&lt;&gt;"",INDEX('×入力'!$A$1:$L$1300,231+CK$3,1)&lt;&gt;""),1,0),0)</f>
        <v/>
      </c>
      <c r="CL18">
        <f>IF(CL$4=1,IF(OR(INDEX('×入力'!$A$1:$L$1300,231+CL$3,2+CL$2)&lt;&gt;"",INDEX('×入力'!$A$1:$L$1300,230,2+CL$2)&lt;&gt;"",INDEX('×入力'!$A$1:$L$1300,231+CL$3,1)&lt;&gt;""),1,0),0)</f>
        <v/>
      </c>
      <c r="CM18">
        <f>IF(CM$4=1,IF(OR(INDEX('×入力'!$A$1:$L$1300,231+CM$3,2+CM$2)&lt;&gt;"",INDEX('×入力'!$A$1:$L$1300,230,2+CM$2)&lt;&gt;"",INDEX('×入力'!$A$1:$L$1300,231+CM$3,1)&lt;&gt;""),1,0),0)</f>
        <v/>
      </c>
      <c r="CN18">
        <f>IF(CN$4=1,IF(OR(INDEX('×入力'!$A$1:$L$1300,231+CN$3,2+CN$2)&lt;&gt;"",INDEX('×入力'!$A$1:$L$1300,230,2+CN$2)&lt;&gt;"",INDEX('×入力'!$A$1:$L$1300,231+CN$3,1)&lt;&gt;""),1,0),0)</f>
        <v/>
      </c>
      <c r="CO18">
        <f>IF(CO$4=1,IF(OR(INDEX('×入力'!$A$1:$L$1300,231+CO$3,2+CO$2)&lt;&gt;"",INDEX('×入力'!$A$1:$L$1300,230,2+CO$2)&lt;&gt;"",INDEX('×入力'!$A$1:$L$1300,231+CO$3,1)&lt;&gt;""),1,0),0)</f>
        <v/>
      </c>
      <c r="CP18">
        <f>IF(CP$4=1,IF(OR(INDEX('×入力'!$A$1:$L$1300,231+CP$3,2+CP$2)&lt;&gt;"",INDEX('×入力'!$A$1:$L$1300,230,2+CP$2)&lt;&gt;"",INDEX('×入力'!$A$1:$L$1300,231+CP$3,1)&lt;&gt;""),1,0),0)</f>
        <v/>
      </c>
      <c r="CQ18">
        <f>IF(CQ$4=1,IF(OR(INDEX('×入力'!$A$1:$L$1300,231+CQ$3,2+CQ$2)&lt;&gt;"",INDEX('×入力'!$A$1:$L$1300,230,2+CQ$2)&lt;&gt;"",INDEX('×入力'!$A$1:$L$1300,231+CQ$3,1)&lt;&gt;""),1,0),0)</f>
        <v/>
      </c>
      <c r="CR18">
        <f>IF(CR$4=1,IF(OR(INDEX('×入力'!$A$1:$L$1300,231+CR$3,2+CR$2)&lt;&gt;"",INDEX('×入力'!$A$1:$L$1300,230,2+CR$2)&lt;&gt;"",INDEX('×入力'!$A$1:$L$1300,231+CR$3,1)&lt;&gt;""),1,0),0)</f>
        <v/>
      </c>
      <c r="CS18">
        <f>IF(CS$4=1,IF(OR(INDEX('×入力'!$A$1:$L$1300,231+CS$3,2+CS$2)&lt;&gt;"",INDEX('×入力'!$A$1:$L$1300,230,2+CS$2)&lt;&gt;"",INDEX('×入力'!$A$1:$L$1300,231+CS$3,1)&lt;&gt;""),1,0),0)</f>
        <v/>
      </c>
      <c r="CT18">
        <f>IF(CT$4=1,IF(OR(INDEX('×入力'!$A$1:$L$1300,231+CT$3,2+CT$2)&lt;&gt;"",INDEX('×入力'!$A$1:$L$1300,230,2+CT$2)&lt;&gt;"",INDEX('×入力'!$A$1:$L$1300,231+CT$3,1)&lt;&gt;""),1,0),0)</f>
        <v/>
      </c>
      <c r="CU18">
        <f>IF(CU$4=1,IF(OR(INDEX('×入力'!$A$1:$L$1300,231+CU$3,2+CU$2)&lt;&gt;"",INDEX('×入力'!$A$1:$L$1300,230,2+CU$2)&lt;&gt;"",INDEX('×入力'!$A$1:$L$1300,231+CU$3,1)&lt;&gt;""),1,0),0)</f>
        <v/>
      </c>
      <c r="CV18">
        <f>IF(CV$4=1,IF(OR(INDEX('×入力'!$A$1:$L$1300,231+CV$3,2+CV$2)&lt;&gt;"",INDEX('×入力'!$A$1:$L$1300,230,2+CV$2)&lt;&gt;"",INDEX('×入力'!$A$1:$L$1300,231+CV$3,1)&lt;&gt;""),1,0),0)</f>
        <v/>
      </c>
      <c r="CW18">
        <f>IF(CW$4=1,IF(OR(INDEX('×入力'!$A$1:$L$1300,231+CW$3,2+CW$2)&lt;&gt;"",INDEX('×入力'!$A$1:$L$1300,230,2+CW$2)&lt;&gt;"",INDEX('×入力'!$A$1:$L$1300,231+CW$3,1)&lt;&gt;""),1,0),0)</f>
        <v/>
      </c>
      <c r="CX18">
        <f>IF(CX$4=1,IF(OR(INDEX('×入力'!$A$1:$L$1300,231+CX$3,2+CX$2)&lt;&gt;"",INDEX('×入力'!$A$1:$L$1300,230,2+CX$2)&lt;&gt;"",INDEX('×入力'!$A$1:$L$1300,231+CX$3,1)&lt;&gt;""),1,0),0)</f>
        <v/>
      </c>
      <c r="CY18">
        <f>IF(CY$4=1,IF(OR(INDEX('×入力'!$A$1:$L$1300,231+CY$3,2+CY$2)&lt;&gt;"",INDEX('×入力'!$A$1:$L$1300,230,2+CY$2)&lt;&gt;"",INDEX('×入力'!$A$1:$L$1300,231+CY$3,1)&lt;&gt;""),1,0),0)</f>
        <v/>
      </c>
      <c r="CZ18">
        <f>IF(CZ$4=1,IF(OR(INDEX('×入力'!$A$1:$L$1300,231+CZ$3,2+CZ$2)&lt;&gt;"",INDEX('×入力'!$A$1:$L$1300,230,2+CZ$2)&lt;&gt;"",INDEX('×入力'!$A$1:$L$1300,231+CZ$3,1)&lt;&gt;""),1,0),0)</f>
        <v/>
      </c>
      <c r="DA18">
        <f>IF(DA$4=1,IF(OR(INDEX('×入力'!$A$1:$L$1300,231+DA$3,2+DA$2)&lt;&gt;"",INDEX('×入力'!$A$1:$L$1300,230,2+DA$2)&lt;&gt;"",INDEX('×入力'!$A$1:$L$1300,231+DA$3,1)&lt;&gt;""),1,0),0)</f>
        <v/>
      </c>
      <c r="DB18">
        <f>IF(DB$4=1,IF(OR(INDEX('×入力'!$A$1:$L$1300,231+DB$3,2+DB$2)&lt;&gt;"",INDEX('×入力'!$A$1:$L$1300,230,2+DB$2)&lt;&gt;"",INDEX('×入力'!$A$1:$L$1300,231+DB$3,1)&lt;&gt;""),1,0),0)</f>
        <v/>
      </c>
      <c r="DC18">
        <f>IF(DC$4=1,IF(OR(INDEX('×入力'!$A$1:$L$1300,231+DC$3,2+DC$2)&lt;&gt;"",INDEX('×入力'!$A$1:$L$1300,230,2+DC$2)&lt;&gt;"",INDEX('×入力'!$A$1:$L$1300,231+DC$3,1)&lt;&gt;""),1,0),0)</f>
        <v/>
      </c>
      <c r="DD18">
        <f>IF(DD$4=1,IF(OR(INDEX('×入力'!$A$1:$L$1300,231+DD$3,2+DD$2)&lt;&gt;"",INDEX('×入力'!$A$1:$L$1300,230,2+DD$2)&lt;&gt;"",INDEX('×入力'!$A$1:$L$1300,231+DD$3,1)&lt;&gt;""),1,0),0)</f>
        <v/>
      </c>
      <c r="DE18">
        <f>IF(DE$4=1,IF(OR(INDEX('×入力'!$A$1:$L$1300,231+DE$3,2+DE$2)&lt;&gt;"",INDEX('×入力'!$A$1:$L$1300,230,2+DE$2)&lt;&gt;"",INDEX('×入力'!$A$1:$L$1300,231+DE$3,1)&lt;&gt;""),1,0),0)</f>
        <v/>
      </c>
      <c r="DF18">
        <f>IF(DF$4=1,IF(OR(INDEX('×入力'!$A$1:$L$1300,231+DF$3,2+DF$2)&lt;&gt;"",INDEX('×入力'!$A$1:$L$1300,230,2+DF$2)&lt;&gt;"",INDEX('×入力'!$A$1:$L$1300,231+DF$3,1)&lt;&gt;""),1,0),0)</f>
        <v/>
      </c>
      <c r="DG18">
        <f>IF(DG$4=1,IF(OR(INDEX('×入力'!$A$1:$L$1300,231+DG$3,2+DG$2)&lt;&gt;"",INDEX('×入力'!$A$1:$L$1300,230,2+DG$2)&lt;&gt;"",INDEX('×入力'!$A$1:$L$1300,231+DG$3,1)&lt;&gt;""),1,0),0)</f>
        <v/>
      </c>
      <c r="DH18">
        <f>IF(DH$4=1,IF(OR(INDEX('×入力'!$A$1:$L$1300,231+DH$3,2+DH$2)&lt;&gt;"",INDEX('×入力'!$A$1:$L$1300,230,2+DH$2)&lt;&gt;"",INDEX('×入力'!$A$1:$L$1300,231+DH$3,1)&lt;&gt;""),1,0),0)</f>
        <v/>
      </c>
      <c r="DI18">
        <f>IF(DI$4=1,IF(OR(INDEX('×入力'!$A$1:$L$1300,231+DI$3,2+DI$2)&lt;&gt;"",INDEX('×入力'!$A$1:$L$1300,230,2+DI$2)&lt;&gt;"",INDEX('×入力'!$A$1:$L$1300,231+DI$3,1)&lt;&gt;""),1,0),0)</f>
        <v/>
      </c>
      <c r="DJ18">
        <f>IF(DJ$4=1,IF(OR(INDEX('×入力'!$A$1:$L$1300,231+DJ$3,2+DJ$2)&lt;&gt;"",INDEX('×入力'!$A$1:$L$1300,230,2+DJ$2)&lt;&gt;"",INDEX('×入力'!$A$1:$L$1300,231+DJ$3,1)&lt;&gt;""),1,0),0)</f>
        <v/>
      </c>
      <c r="DK18">
        <f>IF(DK$4=1,IF(OR(INDEX('×入力'!$A$1:$L$1300,231+DK$3,2+DK$2)&lt;&gt;"",INDEX('×入力'!$A$1:$L$1300,230,2+DK$2)&lt;&gt;"",INDEX('×入力'!$A$1:$L$1300,231+DK$3,1)&lt;&gt;""),1,0),0)</f>
        <v/>
      </c>
      <c r="DL18">
        <f>IF(DL$4=1,IF(OR(INDEX('×入力'!$A$1:$L$1300,231+DL$3,2+DL$2)&lt;&gt;"",INDEX('×入力'!$A$1:$L$1300,230,2+DL$2)&lt;&gt;"",INDEX('×入力'!$A$1:$L$1300,231+DL$3,1)&lt;&gt;""),1,0),0)</f>
        <v/>
      </c>
      <c r="DM18">
        <f>IF(DM$4=1,IF(OR(INDEX('×入力'!$A$1:$L$1300,231+DM$3,2+DM$2)&lt;&gt;"",INDEX('×入力'!$A$1:$L$1300,230,2+DM$2)&lt;&gt;"",INDEX('×入力'!$A$1:$L$1300,231+DM$3,1)&lt;&gt;""),1,0),0)</f>
        <v/>
      </c>
      <c r="DN18">
        <f>IF(DN$4=1,IF(OR(INDEX('×入力'!$A$1:$L$1300,231+DN$3,2+DN$2)&lt;&gt;"",INDEX('×入力'!$A$1:$L$1300,230,2+DN$2)&lt;&gt;"",INDEX('×入力'!$A$1:$L$1300,231+DN$3,1)&lt;&gt;""),1,0),0)</f>
        <v/>
      </c>
      <c r="DO18">
        <f>IF(DO$4=1,IF(OR(INDEX('×入力'!$A$1:$L$1300,231+DO$3,2+DO$2)&lt;&gt;"",INDEX('×入力'!$A$1:$L$1300,230,2+DO$2)&lt;&gt;"",INDEX('×入力'!$A$1:$L$1300,231+DO$3,1)&lt;&gt;""),1,0),0)</f>
        <v/>
      </c>
      <c r="DP18">
        <f>IF(DP$4=1,IF(OR(INDEX('×入力'!$A$1:$L$1300,231+DP$3,2+DP$2)&lt;&gt;"",INDEX('×入力'!$A$1:$L$1300,230,2+DP$2)&lt;&gt;"",INDEX('×入力'!$A$1:$L$1300,231+DP$3,1)&lt;&gt;""),1,0),0)</f>
        <v/>
      </c>
      <c r="DQ18">
        <f>IF(DQ$4=1,IF(OR(INDEX('×入力'!$A$1:$L$1300,231+DQ$3,2+DQ$2)&lt;&gt;"",INDEX('×入力'!$A$1:$L$1300,230,2+DQ$2)&lt;&gt;"",INDEX('×入力'!$A$1:$L$1300,231+DQ$3,1)&lt;&gt;""),1,0),0)</f>
        <v/>
      </c>
      <c r="DR18">
        <f>IF(DR$4=1,IF(OR(INDEX('×入力'!$A$1:$L$1300,231+DR$3,2+DR$2)&lt;&gt;"",INDEX('×入力'!$A$1:$L$1300,230,2+DR$2)&lt;&gt;"",INDEX('×入力'!$A$1:$L$1300,231+DR$3,1)&lt;&gt;""),1,0),0)</f>
        <v/>
      </c>
      <c r="DS18">
        <f>IF(DS$4=1,IF(OR(INDEX('×入力'!$A$1:$L$1300,231+DS$3,2+DS$2)&lt;&gt;"",INDEX('×入力'!$A$1:$L$1300,230,2+DS$2)&lt;&gt;"",INDEX('×入力'!$A$1:$L$1300,231+DS$3,1)&lt;&gt;""),1,0),0)</f>
        <v/>
      </c>
      <c r="DT18">
        <f>IF(DT$4=1,IF(OR(INDEX('×入力'!$A$1:$L$1300,231+DT$3,2+DT$2)&lt;&gt;"",INDEX('×入力'!$A$1:$L$1300,230,2+DT$2)&lt;&gt;"",INDEX('×入力'!$A$1:$L$1300,231+DT$3,1)&lt;&gt;""),1,0),0)</f>
        <v/>
      </c>
      <c r="DU18">
        <f>IF(DU$4=1,IF(OR(INDEX('×入力'!$A$1:$L$1300,231+DU$3,2+DU$2)&lt;&gt;"",INDEX('×入力'!$A$1:$L$1300,230,2+DU$2)&lt;&gt;"",INDEX('×入力'!$A$1:$L$1300,231+DU$3,1)&lt;&gt;""),1,0),0)</f>
        <v/>
      </c>
      <c r="DV18">
        <f>IF(DV$4=1,IF(OR(INDEX('×入力'!$A$1:$L$1300,231+DV$3,2+DV$2)&lt;&gt;"",INDEX('×入力'!$A$1:$L$1300,230,2+DV$2)&lt;&gt;"",INDEX('×入力'!$A$1:$L$1300,231+DV$3,1)&lt;&gt;""),1,0),0)</f>
        <v/>
      </c>
      <c r="DW18">
        <f>IF(DW$4=1,IF(OR(INDEX('×入力'!$A$1:$L$1300,231+DW$3,2+DW$2)&lt;&gt;"",INDEX('×入力'!$A$1:$L$1300,230,2+DW$2)&lt;&gt;"",INDEX('×入力'!$A$1:$L$1300,231+DW$3,1)&lt;&gt;""),1,0),0)</f>
        <v/>
      </c>
      <c r="DX18">
        <f>IF(DX$4=1,IF(OR(INDEX('×入力'!$A$1:$L$1300,231+DX$3,2+DX$2)&lt;&gt;"",INDEX('×入力'!$A$1:$L$1300,230,2+DX$2)&lt;&gt;"",INDEX('×入力'!$A$1:$L$1300,231+DX$3,1)&lt;&gt;""),1,0),0)</f>
        <v/>
      </c>
      <c r="DY18">
        <f>IF(DY$4=1,IF(OR(INDEX('×入力'!$A$1:$L$1300,231+DY$3,2+DY$2)&lt;&gt;"",INDEX('×入力'!$A$1:$L$1300,230,2+DY$2)&lt;&gt;"",INDEX('×入力'!$A$1:$L$1300,231+DY$3,1)&lt;&gt;""),1,0),0)</f>
        <v/>
      </c>
      <c r="DZ18">
        <f>IF(DZ$4=1,IF(OR(INDEX('×入力'!$A$1:$L$1300,231+DZ$3,2+DZ$2)&lt;&gt;"",INDEX('×入力'!$A$1:$L$1300,230,2+DZ$2)&lt;&gt;"",INDEX('×入力'!$A$1:$L$1300,231+DZ$3,1)&lt;&gt;""),1,0),0)</f>
        <v/>
      </c>
      <c r="EA18">
        <f>IF(EA$4=1,IF(OR(INDEX('×入力'!$A$1:$L$1300,231+EA$3,2+EA$2)&lt;&gt;"",INDEX('×入力'!$A$1:$L$1300,230,2+EA$2)&lt;&gt;"",INDEX('×入力'!$A$1:$L$1300,231+EA$3,1)&lt;&gt;""),1,0),0)</f>
        <v/>
      </c>
      <c r="EB18">
        <f>IF(EB$4=1,IF(OR(INDEX('×入力'!$A$1:$L$1300,231+EB$3,2+EB$2)&lt;&gt;"",INDEX('×入力'!$A$1:$L$1300,230,2+EB$2)&lt;&gt;"",INDEX('×入力'!$A$1:$L$1300,231+EB$3,1)&lt;&gt;""),1,0),0)</f>
        <v/>
      </c>
      <c r="EC18">
        <f>IF(EC$4=1,IF(OR(INDEX('×入力'!$A$1:$L$1300,231+EC$3,2+EC$2)&lt;&gt;"",INDEX('×入力'!$A$1:$L$1300,230,2+EC$2)&lt;&gt;"",INDEX('×入力'!$A$1:$L$1300,231+EC$3,1)&lt;&gt;""),1,0),0)</f>
        <v/>
      </c>
      <c r="ED18">
        <f>IF(ED$4=1,IF(OR(INDEX('×入力'!$A$1:$L$1300,231+ED$3,2+ED$2)&lt;&gt;"",INDEX('×入力'!$A$1:$L$1300,230,2+ED$2)&lt;&gt;"",INDEX('×入力'!$A$1:$L$1300,231+ED$3,1)&lt;&gt;""),1,0),0)</f>
        <v/>
      </c>
      <c r="EE18">
        <f>IF(EE$4=1,IF(OR(INDEX('×入力'!$A$1:$L$1300,231+EE$3,2+EE$2)&lt;&gt;"",INDEX('×入力'!$A$1:$L$1300,230,2+EE$2)&lt;&gt;"",INDEX('×入力'!$A$1:$L$1300,231+EE$3,1)&lt;&gt;""),1,0),0)</f>
        <v/>
      </c>
      <c r="EF18">
        <f>IF(EF$4=1,IF(OR(INDEX('×入力'!$A$1:$L$1300,231+EF$3,2+EF$2)&lt;&gt;"",INDEX('×入力'!$A$1:$L$1300,230,2+EF$2)&lt;&gt;"",INDEX('×入力'!$A$1:$L$1300,231+EF$3,1)&lt;&gt;""),1,0),0)</f>
        <v/>
      </c>
      <c r="EG18">
        <f>IF(EG$4=1,IF(OR(INDEX('×入力'!$A$1:$L$1300,231+EG$3,2+EG$2)&lt;&gt;"",INDEX('×入力'!$A$1:$L$1300,230,2+EG$2)&lt;&gt;"",INDEX('×入力'!$A$1:$L$1300,231+EG$3,1)&lt;&gt;""),1,0),0)</f>
        <v/>
      </c>
      <c r="EH18">
        <f>IF(EH$4=1,IF(OR(INDEX('×入力'!$A$1:$L$1300,231+EH$3,2+EH$2)&lt;&gt;"",INDEX('×入力'!$A$1:$L$1300,230,2+EH$2)&lt;&gt;"",INDEX('×入力'!$A$1:$L$1300,231+EH$3,1)&lt;&gt;""),1,0),0)</f>
        <v/>
      </c>
      <c r="EI18">
        <f>IF(EI$4=1,IF(OR(INDEX('×入力'!$A$1:$L$1300,231+EI$3,2+EI$2)&lt;&gt;"",INDEX('×入力'!$A$1:$L$1300,230,2+EI$2)&lt;&gt;"",INDEX('×入力'!$A$1:$L$1300,231+EI$3,1)&lt;&gt;""),1,0),0)</f>
        <v/>
      </c>
      <c r="EJ18">
        <f>IF(EJ$4=1,IF(OR(INDEX('×入力'!$A$1:$L$1300,231+EJ$3,2+EJ$2)&lt;&gt;"",INDEX('×入力'!$A$1:$L$1300,230,2+EJ$2)&lt;&gt;"",INDEX('×入力'!$A$1:$L$1300,231+EJ$3,1)&lt;&gt;""),1,0),0)</f>
        <v/>
      </c>
      <c r="EK18">
        <f>IF(EK$4=1,IF(OR(INDEX('×入力'!$A$1:$L$1300,231+EK$3,2+EK$2)&lt;&gt;"",INDEX('×入力'!$A$1:$L$1300,230,2+EK$2)&lt;&gt;"",INDEX('×入力'!$A$1:$L$1300,231+EK$3,1)&lt;&gt;""),1,0),0)</f>
        <v/>
      </c>
      <c r="EL18">
        <f>IF(EL$4=1,IF(OR(INDEX('×入力'!$A$1:$L$1300,231+EL$3,2+EL$2)&lt;&gt;"",INDEX('×入力'!$A$1:$L$1300,230,2+EL$2)&lt;&gt;"",INDEX('×入力'!$A$1:$L$1300,231+EL$3,1)&lt;&gt;""),1,0),0)</f>
        <v/>
      </c>
      <c r="EM18">
        <f>IF(EM$4=1,IF(OR(INDEX('×入力'!$A$1:$L$1300,231+EM$3,2+EM$2)&lt;&gt;"",INDEX('×入力'!$A$1:$L$1300,230,2+EM$2)&lt;&gt;"",INDEX('×入力'!$A$1:$L$1300,231+EM$3,1)&lt;&gt;""),1,0),0)</f>
        <v/>
      </c>
      <c r="EN18">
        <f>IF(EN$4=1,IF(OR(INDEX('×入力'!$A$1:$L$1300,231+EN$3,2+EN$2)&lt;&gt;"",INDEX('×入力'!$A$1:$L$1300,230,2+EN$2)&lt;&gt;"",INDEX('×入力'!$A$1:$L$1300,231+EN$3,1)&lt;&gt;""),1,0),0)</f>
        <v/>
      </c>
      <c r="EO18">
        <f>IF(EO$4=1,IF(OR(INDEX('×入力'!$A$1:$L$1300,231+EO$3,2+EO$2)&lt;&gt;"",INDEX('×入力'!$A$1:$L$1300,230,2+EO$2)&lt;&gt;"",INDEX('×入力'!$A$1:$L$1300,231+EO$3,1)&lt;&gt;""),1,0),0)</f>
        <v/>
      </c>
      <c r="EP18">
        <f>IF(EP$4=1,IF(OR(INDEX('×入力'!$A$1:$L$1300,231+EP$3,2+EP$2)&lt;&gt;"",INDEX('×入力'!$A$1:$L$1300,230,2+EP$2)&lt;&gt;"",INDEX('×入力'!$A$1:$L$1300,231+EP$3,1)&lt;&gt;""),1,0),0)</f>
        <v/>
      </c>
      <c r="EQ18">
        <f>IF(EQ$4=1,IF(OR(INDEX('×入力'!$A$1:$L$1300,231+EQ$3,2+EQ$2)&lt;&gt;"",INDEX('×入力'!$A$1:$L$1300,230,2+EQ$2)&lt;&gt;"",INDEX('×入力'!$A$1:$L$1300,231+EQ$3,1)&lt;&gt;""),1,0),0)</f>
        <v/>
      </c>
      <c r="HA18">
        <f>MAX(0,IT18)</f>
        <v/>
      </c>
      <c r="HB18">
        <f>IF(HA18=0,0,INDEX($D$2:$EQ$2,HA18))</f>
        <v/>
      </c>
      <c r="HC18">
        <f>IF(HA18=0,0,INDEX($D$3:$EQ$3,HA18))</f>
        <v/>
      </c>
      <c r="HD18">
        <f>MAX(0,IY18)</f>
        <v/>
      </c>
      <c r="HE18">
        <f>IF(HD18=0,0,INDEX($D$2:$EQ$2,HD18))</f>
        <v/>
      </c>
      <c r="HF18">
        <f>IF(HD18=0,0,INDEX($D$3:$EQ$3,HD18))</f>
        <v/>
      </c>
      <c r="HG18">
        <f>MAX(0,IZ18)</f>
        <v/>
      </c>
      <c r="HH18">
        <f>IF(HG18=0,0,INDEX($D$2:$EQ$2,HG18))</f>
        <v/>
      </c>
      <c r="HI18">
        <f>IF(HG18=0,0,INDEX($D$3:$EQ$3,HG18))</f>
        <v/>
      </c>
      <c r="HJ18">
        <f>IF(AND(HA18&gt;0,HC18&gt;1,OR(HC18-1&lt;&gt;$A$3,$A$4=0)),HA18-1,-1)</f>
        <v/>
      </c>
      <c r="HK18">
        <f>IF(AND(HA18&gt;0,HC18&lt;24,OR(HC18&lt;&gt;$A$3,$A$4=0)),HA18+1,-1)</f>
        <v/>
      </c>
      <c r="HL18">
        <f>IF(AND(HD18&gt;0,HF18&gt;1,OR(HF18-1&lt;&gt;$A$3,$A$4=0)),HD18-1,-1)</f>
        <v/>
      </c>
      <c r="HM18">
        <f>IF(AND(HD18&gt;0,HF18&lt;24,OR(HF18&lt;&gt;$A$3,$A$4=0)),HD18+1,-1)</f>
        <v/>
      </c>
      <c r="HN18">
        <f>IF(AND(HG18&gt;0,HI18&gt;1,OR(HI18-1&lt;&gt;$A$3,$A$4=0)),HG18-1,-1)</f>
        <v/>
      </c>
      <c r="HO18">
        <f>IF(AND(HG18&gt;0,HI18&lt;24,OR(HI18&lt;&gt;$A$3,$A$4=0)),HG18+1,-1)</f>
        <v/>
      </c>
      <c r="IK18">
        <f>IFERROR(INDEX('calcB'!$C$3:$C$47,MATCH(A18,'calcB'!$B$3:$B$47,0)),0)</f>
        <v/>
      </c>
      <c r="IL18">
        <f>IF(AND(C18=1,IK18=0,calcA!$A$6&gt;0),1,0)</f>
        <v/>
      </c>
      <c r="IM18">
        <f>SUMPRODUCT(D68:EQ68*(1-$D$7:$EQ$7))</f>
        <v/>
      </c>
      <c r="IN18">
        <f>SUM(D18:EQ18)</f>
        <v/>
      </c>
      <c r="IO18">
        <f>IF(B18="",0,IF(COUNTIF('調整・決定'!$C$6:$H$29,B18)=1,SUMPRODUCT(('調整・決定'!$C$6:$H$29=B18)*((COLUMN('調整・決定'!$C$6:$H$29)-3)*24+ROW('調整・決定'!$C$6:$H$29)-5)),0))</f>
        <v/>
      </c>
      <c r="IP18">
        <f>IFERROR(MATCH('名簿'!C13,{"早い時刻","遅い時刻","早い日","遅い日"},0),0)</f>
        <v/>
      </c>
      <c r="IQ18">
        <f>IF('名簿'!D13="必ず空けたい",2,IF('名簿'!D13="出来れば空けたい",1,0))</f>
        <v/>
      </c>
      <c r="IR18">
        <f>IFERROR(INDEX('calcC'!$C$3:$C$47,MATCH(A18,'calcC'!$B$3:$B$47,0)),0)</f>
        <v/>
      </c>
      <c r="IS18">
        <f>IF(AND(C18=1,IR18=0,calcA!$A$6&gt;0),1,0)</f>
        <v/>
      </c>
      <c r="IT18">
        <f>IF(OR('名簿'!G13="",'名簿'!H13=""),0,IFERROR((MATCH('名簿'!G13,'設定'!$E$11:$E$16,0)-1)*24+MATCH('名簿'!H13,'設定'!$I$11:$I$34,0),-1))</f>
        <v/>
      </c>
      <c r="IV18">
        <f>IF(OR(JF18=0,IO18=0),1,IF(OR(IF(IT18&gt;0,AND(INDEX($D$2:$EQ$2,IO18)=INDEX($D$2:$EQ$2,IT18),OR(AND(IO18=IT18+1,OR(INDEX($D$3:$EQ$3,IT18)&lt;&gt;$A$3,$A$4=0)),AND(IO18=IT18-1,OR(INDEX($D$3:$EQ$3,IO18)&lt;&gt;$A$3,$A$4=0)))),FALSE),IF(IY18&gt;0,AND(INDEX($D$2:$EQ$2,IO18)=INDEX($D$2:$EQ$2,IY18),OR(AND(IO18=IY18+1,OR(INDEX($D$3:$EQ$3,IY18)&lt;&gt;$A$3,$A$4=0)),AND(IO18=IY18-1,OR(INDEX($D$3:$EQ$3,IO18)&lt;&gt;$A$3,$A$4=0)))),FALSE),IF(IZ18&gt;0,AND(INDEX($D$2:$EQ$2,IO18)=INDEX($D$2:$EQ$2,IZ18),OR(AND(IO18=IZ18+1,OR(INDEX($D$3:$EQ$3,IZ18)&lt;&gt;$A$3,$A$4=0)),AND(IO18=IZ18-1,OR(INDEX($D$3:$EQ$3,IO18)&lt;&gt;$A$3,$A$4=0)))),FALSE)),1,0))</f>
        <v/>
      </c>
      <c r="IW18">
        <f>IF(AND('名簿'!E13&lt;&gt;"",JF18=0),1,0)</f>
        <v/>
      </c>
      <c r="IX18">
        <f>IF('名簿'!D13="空けない",1,0)</f>
        <v/>
      </c>
      <c r="IY18">
        <f>IF(OR('名簿'!J13="",'名簿'!K13=""),0,IFERROR((MATCH('名簿'!J13,'設定'!$E$11:$E$16,0)-1)*24+MATCH('名簿'!K13,'設定'!$I$11:$I$34,0),-1))</f>
        <v/>
      </c>
      <c r="IZ18">
        <f>IF(OR('名簿'!M13="",'名簿'!N13=""),0,IFERROR((MATCH('名簿'!M13,'設定'!$E$11:$E$16,0)-1)*24+MATCH('名簿'!N13,'設定'!$I$11:$I$34,0),-1))</f>
        <v/>
      </c>
      <c r="JC18">
        <f>IF(RIGHT('名簿'!I13,2)="の前",1,IF(RIGHT('名簿'!I13,2)="の後",2,0))</f>
        <v/>
      </c>
      <c r="JD18">
        <f>IF(RIGHT('名簿'!L13,2)="の前",1,IF(RIGHT('名簿'!L13,2)="の後",2,0))</f>
        <v/>
      </c>
      <c r="JE18">
        <f>IF(RIGHT('名簿'!O13,2)="の前",1,IF(RIGHT('名簿'!O13,2)="の後",2,0))</f>
        <v/>
      </c>
      <c r="JF18">
        <f>IF(OR(IT18&gt;0,IY18&gt;0,IZ18&gt;0),1,0)</f>
        <v/>
      </c>
      <c r="JG18">
        <f>IF(OR(IT18&lt;0,IY18&lt;0,IZ18&lt;0),1,0)</f>
        <v/>
      </c>
    </row>
    <row r="19">
      <c r="A19" t="n">
        <v>10</v>
      </c>
      <c r="B19">
        <f>'名簿'!P14</f>
        <v/>
      </c>
      <c r="C19">
        <f>IF(AND(B19&lt;&gt;"",OR('名簿'!Q14="入力済み",'名簿'!Q14="×なし"),IO19=0,COUNTIF('調整・決定'!$C$6:$H$29,B19)=0),1,0)</f>
        <v/>
      </c>
      <c r="D19">
        <f>IF(D$4=1,IF(OR(INDEX('×入力'!$A$1:$L$1300,259+D$3,2+D$2)&lt;&gt;"",INDEX('×入力'!$A$1:$L$1300,258,2+D$2)&lt;&gt;"",INDEX('×入力'!$A$1:$L$1300,259+D$3,1)&lt;&gt;""),1,0),0)</f>
        <v/>
      </c>
      <c r="E19">
        <f>IF(E$4=1,IF(OR(INDEX('×入力'!$A$1:$L$1300,259+E$3,2+E$2)&lt;&gt;"",INDEX('×入力'!$A$1:$L$1300,258,2+E$2)&lt;&gt;"",INDEX('×入力'!$A$1:$L$1300,259+E$3,1)&lt;&gt;""),1,0),0)</f>
        <v/>
      </c>
      <c r="F19">
        <f>IF(F$4=1,IF(OR(INDEX('×入力'!$A$1:$L$1300,259+F$3,2+F$2)&lt;&gt;"",INDEX('×入力'!$A$1:$L$1300,258,2+F$2)&lt;&gt;"",INDEX('×入力'!$A$1:$L$1300,259+F$3,1)&lt;&gt;""),1,0),0)</f>
        <v/>
      </c>
      <c r="G19">
        <f>IF(G$4=1,IF(OR(INDEX('×入力'!$A$1:$L$1300,259+G$3,2+G$2)&lt;&gt;"",INDEX('×入力'!$A$1:$L$1300,258,2+G$2)&lt;&gt;"",INDEX('×入力'!$A$1:$L$1300,259+G$3,1)&lt;&gt;""),1,0),0)</f>
        <v/>
      </c>
      <c r="H19">
        <f>IF(H$4=1,IF(OR(INDEX('×入力'!$A$1:$L$1300,259+H$3,2+H$2)&lt;&gt;"",INDEX('×入力'!$A$1:$L$1300,258,2+H$2)&lt;&gt;"",INDEX('×入力'!$A$1:$L$1300,259+H$3,1)&lt;&gt;""),1,0),0)</f>
        <v/>
      </c>
      <c r="I19">
        <f>IF(I$4=1,IF(OR(INDEX('×入力'!$A$1:$L$1300,259+I$3,2+I$2)&lt;&gt;"",INDEX('×入力'!$A$1:$L$1300,258,2+I$2)&lt;&gt;"",INDEX('×入力'!$A$1:$L$1300,259+I$3,1)&lt;&gt;""),1,0),0)</f>
        <v/>
      </c>
      <c r="J19">
        <f>IF(J$4=1,IF(OR(INDEX('×入力'!$A$1:$L$1300,259+J$3,2+J$2)&lt;&gt;"",INDEX('×入力'!$A$1:$L$1300,258,2+J$2)&lt;&gt;"",INDEX('×入力'!$A$1:$L$1300,259+J$3,1)&lt;&gt;""),1,0),0)</f>
        <v/>
      </c>
      <c r="K19">
        <f>IF(K$4=1,IF(OR(INDEX('×入力'!$A$1:$L$1300,259+K$3,2+K$2)&lt;&gt;"",INDEX('×入力'!$A$1:$L$1300,258,2+K$2)&lt;&gt;"",INDEX('×入力'!$A$1:$L$1300,259+K$3,1)&lt;&gt;""),1,0),0)</f>
        <v/>
      </c>
      <c r="L19">
        <f>IF(L$4=1,IF(OR(INDEX('×入力'!$A$1:$L$1300,259+L$3,2+L$2)&lt;&gt;"",INDEX('×入力'!$A$1:$L$1300,258,2+L$2)&lt;&gt;"",INDEX('×入力'!$A$1:$L$1300,259+L$3,1)&lt;&gt;""),1,0),0)</f>
        <v/>
      </c>
      <c r="M19">
        <f>IF(M$4=1,IF(OR(INDEX('×入力'!$A$1:$L$1300,259+M$3,2+M$2)&lt;&gt;"",INDEX('×入力'!$A$1:$L$1300,258,2+M$2)&lt;&gt;"",INDEX('×入力'!$A$1:$L$1300,259+M$3,1)&lt;&gt;""),1,0),0)</f>
        <v/>
      </c>
      <c r="N19">
        <f>IF(N$4=1,IF(OR(INDEX('×入力'!$A$1:$L$1300,259+N$3,2+N$2)&lt;&gt;"",INDEX('×入力'!$A$1:$L$1300,258,2+N$2)&lt;&gt;"",INDEX('×入力'!$A$1:$L$1300,259+N$3,1)&lt;&gt;""),1,0),0)</f>
        <v/>
      </c>
      <c r="O19">
        <f>IF(O$4=1,IF(OR(INDEX('×入力'!$A$1:$L$1300,259+O$3,2+O$2)&lt;&gt;"",INDEX('×入力'!$A$1:$L$1300,258,2+O$2)&lt;&gt;"",INDEX('×入力'!$A$1:$L$1300,259+O$3,1)&lt;&gt;""),1,0),0)</f>
        <v/>
      </c>
      <c r="P19">
        <f>IF(P$4=1,IF(OR(INDEX('×入力'!$A$1:$L$1300,259+P$3,2+P$2)&lt;&gt;"",INDEX('×入力'!$A$1:$L$1300,258,2+P$2)&lt;&gt;"",INDEX('×入力'!$A$1:$L$1300,259+P$3,1)&lt;&gt;""),1,0),0)</f>
        <v/>
      </c>
      <c r="Q19">
        <f>IF(Q$4=1,IF(OR(INDEX('×入力'!$A$1:$L$1300,259+Q$3,2+Q$2)&lt;&gt;"",INDEX('×入力'!$A$1:$L$1300,258,2+Q$2)&lt;&gt;"",INDEX('×入力'!$A$1:$L$1300,259+Q$3,1)&lt;&gt;""),1,0),0)</f>
        <v/>
      </c>
      <c r="R19">
        <f>IF(R$4=1,IF(OR(INDEX('×入力'!$A$1:$L$1300,259+R$3,2+R$2)&lt;&gt;"",INDEX('×入力'!$A$1:$L$1300,258,2+R$2)&lt;&gt;"",INDEX('×入力'!$A$1:$L$1300,259+R$3,1)&lt;&gt;""),1,0),0)</f>
        <v/>
      </c>
      <c r="S19">
        <f>IF(S$4=1,IF(OR(INDEX('×入力'!$A$1:$L$1300,259+S$3,2+S$2)&lt;&gt;"",INDEX('×入力'!$A$1:$L$1300,258,2+S$2)&lt;&gt;"",INDEX('×入力'!$A$1:$L$1300,259+S$3,1)&lt;&gt;""),1,0),0)</f>
        <v/>
      </c>
      <c r="T19">
        <f>IF(T$4=1,IF(OR(INDEX('×入力'!$A$1:$L$1300,259+T$3,2+T$2)&lt;&gt;"",INDEX('×入力'!$A$1:$L$1300,258,2+T$2)&lt;&gt;"",INDEX('×入力'!$A$1:$L$1300,259+T$3,1)&lt;&gt;""),1,0),0)</f>
        <v/>
      </c>
      <c r="U19">
        <f>IF(U$4=1,IF(OR(INDEX('×入力'!$A$1:$L$1300,259+U$3,2+U$2)&lt;&gt;"",INDEX('×入力'!$A$1:$L$1300,258,2+U$2)&lt;&gt;"",INDEX('×入力'!$A$1:$L$1300,259+U$3,1)&lt;&gt;""),1,0),0)</f>
        <v/>
      </c>
      <c r="V19">
        <f>IF(V$4=1,IF(OR(INDEX('×入力'!$A$1:$L$1300,259+V$3,2+V$2)&lt;&gt;"",INDEX('×入力'!$A$1:$L$1300,258,2+V$2)&lt;&gt;"",INDEX('×入力'!$A$1:$L$1300,259+V$3,1)&lt;&gt;""),1,0),0)</f>
        <v/>
      </c>
      <c r="W19">
        <f>IF(W$4=1,IF(OR(INDEX('×入力'!$A$1:$L$1300,259+W$3,2+W$2)&lt;&gt;"",INDEX('×入力'!$A$1:$L$1300,258,2+W$2)&lt;&gt;"",INDEX('×入力'!$A$1:$L$1300,259+W$3,1)&lt;&gt;""),1,0),0)</f>
        <v/>
      </c>
      <c r="X19">
        <f>IF(X$4=1,IF(OR(INDEX('×入力'!$A$1:$L$1300,259+X$3,2+X$2)&lt;&gt;"",INDEX('×入力'!$A$1:$L$1300,258,2+X$2)&lt;&gt;"",INDEX('×入力'!$A$1:$L$1300,259+X$3,1)&lt;&gt;""),1,0),0)</f>
        <v/>
      </c>
      <c r="Y19">
        <f>IF(Y$4=1,IF(OR(INDEX('×入力'!$A$1:$L$1300,259+Y$3,2+Y$2)&lt;&gt;"",INDEX('×入力'!$A$1:$L$1300,258,2+Y$2)&lt;&gt;"",INDEX('×入力'!$A$1:$L$1300,259+Y$3,1)&lt;&gt;""),1,0),0)</f>
        <v/>
      </c>
      <c r="Z19">
        <f>IF(Z$4=1,IF(OR(INDEX('×入力'!$A$1:$L$1300,259+Z$3,2+Z$2)&lt;&gt;"",INDEX('×入力'!$A$1:$L$1300,258,2+Z$2)&lt;&gt;"",INDEX('×入力'!$A$1:$L$1300,259+Z$3,1)&lt;&gt;""),1,0),0)</f>
        <v/>
      </c>
      <c r="AA19">
        <f>IF(AA$4=1,IF(OR(INDEX('×入力'!$A$1:$L$1300,259+AA$3,2+AA$2)&lt;&gt;"",INDEX('×入力'!$A$1:$L$1300,258,2+AA$2)&lt;&gt;"",INDEX('×入力'!$A$1:$L$1300,259+AA$3,1)&lt;&gt;""),1,0),0)</f>
        <v/>
      </c>
      <c r="AB19">
        <f>IF(AB$4=1,IF(OR(INDEX('×入力'!$A$1:$L$1300,259+AB$3,2+AB$2)&lt;&gt;"",INDEX('×入力'!$A$1:$L$1300,258,2+AB$2)&lt;&gt;"",INDEX('×入力'!$A$1:$L$1300,259+AB$3,1)&lt;&gt;""),1,0),0)</f>
        <v/>
      </c>
      <c r="AC19">
        <f>IF(AC$4=1,IF(OR(INDEX('×入力'!$A$1:$L$1300,259+AC$3,2+AC$2)&lt;&gt;"",INDEX('×入力'!$A$1:$L$1300,258,2+AC$2)&lt;&gt;"",INDEX('×入力'!$A$1:$L$1300,259+AC$3,1)&lt;&gt;""),1,0),0)</f>
        <v/>
      </c>
      <c r="AD19">
        <f>IF(AD$4=1,IF(OR(INDEX('×入力'!$A$1:$L$1300,259+AD$3,2+AD$2)&lt;&gt;"",INDEX('×入力'!$A$1:$L$1300,258,2+AD$2)&lt;&gt;"",INDEX('×入力'!$A$1:$L$1300,259+AD$3,1)&lt;&gt;""),1,0),0)</f>
        <v/>
      </c>
      <c r="AE19">
        <f>IF(AE$4=1,IF(OR(INDEX('×入力'!$A$1:$L$1300,259+AE$3,2+AE$2)&lt;&gt;"",INDEX('×入力'!$A$1:$L$1300,258,2+AE$2)&lt;&gt;"",INDEX('×入力'!$A$1:$L$1300,259+AE$3,1)&lt;&gt;""),1,0),0)</f>
        <v/>
      </c>
      <c r="AF19">
        <f>IF(AF$4=1,IF(OR(INDEX('×入力'!$A$1:$L$1300,259+AF$3,2+AF$2)&lt;&gt;"",INDEX('×入力'!$A$1:$L$1300,258,2+AF$2)&lt;&gt;"",INDEX('×入力'!$A$1:$L$1300,259+AF$3,1)&lt;&gt;""),1,0),0)</f>
        <v/>
      </c>
      <c r="AG19">
        <f>IF(AG$4=1,IF(OR(INDEX('×入力'!$A$1:$L$1300,259+AG$3,2+AG$2)&lt;&gt;"",INDEX('×入力'!$A$1:$L$1300,258,2+AG$2)&lt;&gt;"",INDEX('×入力'!$A$1:$L$1300,259+AG$3,1)&lt;&gt;""),1,0),0)</f>
        <v/>
      </c>
      <c r="AH19">
        <f>IF(AH$4=1,IF(OR(INDEX('×入力'!$A$1:$L$1300,259+AH$3,2+AH$2)&lt;&gt;"",INDEX('×入力'!$A$1:$L$1300,258,2+AH$2)&lt;&gt;"",INDEX('×入力'!$A$1:$L$1300,259+AH$3,1)&lt;&gt;""),1,0),0)</f>
        <v/>
      </c>
      <c r="AI19">
        <f>IF(AI$4=1,IF(OR(INDEX('×入力'!$A$1:$L$1300,259+AI$3,2+AI$2)&lt;&gt;"",INDEX('×入力'!$A$1:$L$1300,258,2+AI$2)&lt;&gt;"",INDEX('×入力'!$A$1:$L$1300,259+AI$3,1)&lt;&gt;""),1,0),0)</f>
        <v/>
      </c>
      <c r="AJ19">
        <f>IF(AJ$4=1,IF(OR(INDEX('×入力'!$A$1:$L$1300,259+AJ$3,2+AJ$2)&lt;&gt;"",INDEX('×入力'!$A$1:$L$1300,258,2+AJ$2)&lt;&gt;"",INDEX('×入力'!$A$1:$L$1300,259+AJ$3,1)&lt;&gt;""),1,0),0)</f>
        <v/>
      </c>
      <c r="AK19">
        <f>IF(AK$4=1,IF(OR(INDEX('×入力'!$A$1:$L$1300,259+AK$3,2+AK$2)&lt;&gt;"",INDEX('×入力'!$A$1:$L$1300,258,2+AK$2)&lt;&gt;"",INDEX('×入力'!$A$1:$L$1300,259+AK$3,1)&lt;&gt;""),1,0),0)</f>
        <v/>
      </c>
      <c r="AL19">
        <f>IF(AL$4=1,IF(OR(INDEX('×入力'!$A$1:$L$1300,259+AL$3,2+AL$2)&lt;&gt;"",INDEX('×入力'!$A$1:$L$1300,258,2+AL$2)&lt;&gt;"",INDEX('×入力'!$A$1:$L$1300,259+AL$3,1)&lt;&gt;""),1,0),0)</f>
        <v/>
      </c>
      <c r="AM19">
        <f>IF(AM$4=1,IF(OR(INDEX('×入力'!$A$1:$L$1300,259+AM$3,2+AM$2)&lt;&gt;"",INDEX('×入力'!$A$1:$L$1300,258,2+AM$2)&lt;&gt;"",INDEX('×入力'!$A$1:$L$1300,259+AM$3,1)&lt;&gt;""),1,0),0)</f>
        <v/>
      </c>
      <c r="AN19">
        <f>IF(AN$4=1,IF(OR(INDEX('×入力'!$A$1:$L$1300,259+AN$3,2+AN$2)&lt;&gt;"",INDEX('×入力'!$A$1:$L$1300,258,2+AN$2)&lt;&gt;"",INDEX('×入力'!$A$1:$L$1300,259+AN$3,1)&lt;&gt;""),1,0),0)</f>
        <v/>
      </c>
      <c r="AO19">
        <f>IF(AO$4=1,IF(OR(INDEX('×入力'!$A$1:$L$1300,259+AO$3,2+AO$2)&lt;&gt;"",INDEX('×入力'!$A$1:$L$1300,258,2+AO$2)&lt;&gt;"",INDEX('×入力'!$A$1:$L$1300,259+AO$3,1)&lt;&gt;""),1,0),0)</f>
        <v/>
      </c>
      <c r="AP19">
        <f>IF(AP$4=1,IF(OR(INDEX('×入力'!$A$1:$L$1300,259+AP$3,2+AP$2)&lt;&gt;"",INDEX('×入力'!$A$1:$L$1300,258,2+AP$2)&lt;&gt;"",INDEX('×入力'!$A$1:$L$1300,259+AP$3,1)&lt;&gt;""),1,0),0)</f>
        <v/>
      </c>
      <c r="AQ19">
        <f>IF(AQ$4=1,IF(OR(INDEX('×入力'!$A$1:$L$1300,259+AQ$3,2+AQ$2)&lt;&gt;"",INDEX('×入力'!$A$1:$L$1300,258,2+AQ$2)&lt;&gt;"",INDEX('×入力'!$A$1:$L$1300,259+AQ$3,1)&lt;&gt;""),1,0),0)</f>
        <v/>
      </c>
      <c r="AR19">
        <f>IF(AR$4=1,IF(OR(INDEX('×入力'!$A$1:$L$1300,259+AR$3,2+AR$2)&lt;&gt;"",INDEX('×入力'!$A$1:$L$1300,258,2+AR$2)&lt;&gt;"",INDEX('×入力'!$A$1:$L$1300,259+AR$3,1)&lt;&gt;""),1,0),0)</f>
        <v/>
      </c>
      <c r="AS19">
        <f>IF(AS$4=1,IF(OR(INDEX('×入力'!$A$1:$L$1300,259+AS$3,2+AS$2)&lt;&gt;"",INDEX('×入力'!$A$1:$L$1300,258,2+AS$2)&lt;&gt;"",INDEX('×入力'!$A$1:$L$1300,259+AS$3,1)&lt;&gt;""),1,0),0)</f>
        <v/>
      </c>
      <c r="AT19">
        <f>IF(AT$4=1,IF(OR(INDEX('×入力'!$A$1:$L$1300,259+AT$3,2+AT$2)&lt;&gt;"",INDEX('×入力'!$A$1:$L$1300,258,2+AT$2)&lt;&gt;"",INDEX('×入力'!$A$1:$L$1300,259+AT$3,1)&lt;&gt;""),1,0),0)</f>
        <v/>
      </c>
      <c r="AU19">
        <f>IF(AU$4=1,IF(OR(INDEX('×入力'!$A$1:$L$1300,259+AU$3,2+AU$2)&lt;&gt;"",INDEX('×入力'!$A$1:$L$1300,258,2+AU$2)&lt;&gt;"",INDEX('×入力'!$A$1:$L$1300,259+AU$3,1)&lt;&gt;""),1,0),0)</f>
        <v/>
      </c>
      <c r="AV19">
        <f>IF(AV$4=1,IF(OR(INDEX('×入力'!$A$1:$L$1300,259+AV$3,2+AV$2)&lt;&gt;"",INDEX('×入力'!$A$1:$L$1300,258,2+AV$2)&lt;&gt;"",INDEX('×入力'!$A$1:$L$1300,259+AV$3,1)&lt;&gt;""),1,0),0)</f>
        <v/>
      </c>
      <c r="AW19">
        <f>IF(AW$4=1,IF(OR(INDEX('×入力'!$A$1:$L$1300,259+AW$3,2+AW$2)&lt;&gt;"",INDEX('×入力'!$A$1:$L$1300,258,2+AW$2)&lt;&gt;"",INDEX('×入力'!$A$1:$L$1300,259+AW$3,1)&lt;&gt;""),1,0),0)</f>
        <v/>
      </c>
      <c r="AX19">
        <f>IF(AX$4=1,IF(OR(INDEX('×入力'!$A$1:$L$1300,259+AX$3,2+AX$2)&lt;&gt;"",INDEX('×入力'!$A$1:$L$1300,258,2+AX$2)&lt;&gt;"",INDEX('×入力'!$A$1:$L$1300,259+AX$3,1)&lt;&gt;""),1,0),0)</f>
        <v/>
      </c>
      <c r="AY19">
        <f>IF(AY$4=1,IF(OR(INDEX('×入力'!$A$1:$L$1300,259+AY$3,2+AY$2)&lt;&gt;"",INDEX('×入力'!$A$1:$L$1300,258,2+AY$2)&lt;&gt;"",INDEX('×入力'!$A$1:$L$1300,259+AY$3,1)&lt;&gt;""),1,0),0)</f>
        <v/>
      </c>
      <c r="AZ19">
        <f>IF(AZ$4=1,IF(OR(INDEX('×入力'!$A$1:$L$1300,259+AZ$3,2+AZ$2)&lt;&gt;"",INDEX('×入力'!$A$1:$L$1300,258,2+AZ$2)&lt;&gt;"",INDEX('×入力'!$A$1:$L$1300,259+AZ$3,1)&lt;&gt;""),1,0),0)</f>
        <v/>
      </c>
      <c r="BA19">
        <f>IF(BA$4=1,IF(OR(INDEX('×入力'!$A$1:$L$1300,259+BA$3,2+BA$2)&lt;&gt;"",INDEX('×入力'!$A$1:$L$1300,258,2+BA$2)&lt;&gt;"",INDEX('×入力'!$A$1:$L$1300,259+BA$3,1)&lt;&gt;""),1,0),0)</f>
        <v/>
      </c>
      <c r="BB19">
        <f>IF(BB$4=1,IF(OR(INDEX('×入力'!$A$1:$L$1300,259+BB$3,2+BB$2)&lt;&gt;"",INDEX('×入力'!$A$1:$L$1300,258,2+BB$2)&lt;&gt;"",INDEX('×入力'!$A$1:$L$1300,259+BB$3,1)&lt;&gt;""),1,0),0)</f>
        <v/>
      </c>
      <c r="BC19">
        <f>IF(BC$4=1,IF(OR(INDEX('×入力'!$A$1:$L$1300,259+BC$3,2+BC$2)&lt;&gt;"",INDEX('×入力'!$A$1:$L$1300,258,2+BC$2)&lt;&gt;"",INDEX('×入力'!$A$1:$L$1300,259+BC$3,1)&lt;&gt;""),1,0),0)</f>
        <v/>
      </c>
      <c r="BD19">
        <f>IF(BD$4=1,IF(OR(INDEX('×入力'!$A$1:$L$1300,259+BD$3,2+BD$2)&lt;&gt;"",INDEX('×入力'!$A$1:$L$1300,258,2+BD$2)&lt;&gt;"",INDEX('×入力'!$A$1:$L$1300,259+BD$3,1)&lt;&gt;""),1,0),0)</f>
        <v/>
      </c>
      <c r="BE19">
        <f>IF(BE$4=1,IF(OR(INDEX('×入力'!$A$1:$L$1300,259+BE$3,2+BE$2)&lt;&gt;"",INDEX('×入力'!$A$1:$L$1300,258,2+BE$2)&lt;&gt;"",INDEX('×入力'!$A$1:$L$1300,259+BE$3,1)&lt;&gt;""),1,0),0)</f>
        <v/>
      </c>
      <c r="BF19">
        <f>IF(BF$4=1,IF(OR(INDEX('×入力'!$A$1:$L$1300,259+BF$3,2+BF$2)&lt;&gt;"",INDEX('×入力'!$A$1:$L$1300,258,2+BF$2)&lt;&gt;"",INDEX('×入力'!$A$1:$L$1300,259+BF$3,1)&lt;&gt;""),1,0),0)</f>
        <v/>
      </c>
      <c r="BG19">
        <f>IF(BG$4=1,IF(OR(INDEX('×入力'!$A$1:$L$1300,259+BG$3,2+BG$2)&lt;&gt;"",INDEX('×入力'!$A$1:$L$1300,258,2+BG$2)&lt;&gt;"",INDEX('×入力'!$A$1:$L$1300,259+BG$3,1)&lt;&gt;""),1,0),0)</f>
        <v/>
      </c>
      <c r="BH19">
        <f>IF(BH$4=1,IF(OR(INDEX('×入力'!$A$1:$L$1300,259+BH$3,2+BH$2)&lt;&gt;"",INDEX('×入力'!$A$1:$L$1300,258,2+BH$2)&lt;&gt;"",INDEX('×入力'!$A$1:$L$1300,259+BH$3,1)&lt;&gt;""),1,0),0)</f>
        <v/>
      </c>
      <c r="BI19">
        <f>IF(BI$4=1,IF(OR(INDEX('×入力'!$A$1:$L$1300,259+BI$3,2+BI$2)&lt;&gt;"",INDEX('×入力'!$A$1:$L$1300,258,2+BI$2)&lt;&gt;"",INDEX('×入力'!$A$1:$L$1300,259+BI$3,1)&lt;&gt;""),1,0),0)</f>
        <v/>
      </c>
      <c r="BJ19">
        <f>IF(BJ$4=1,IF(OR(INDEX('×入力'!$A$1:$L$1300,259+BJ$3,2+BJ$2)&lt;&gt;"",INDEX('×入力'!$A$1:$L$1300,258,2+BJ$2)&lt;&gt;"",INDEX('×入力'!$A$1:$L$1300,259+BJ$3,1)&lt;&gt;""),1,0),0)</f>
        <v/>
      </c>
      <c r="BK19">
        <f>IF(BK$4=1,IF(OR(INDEX('×入力'!$A$1:$L$1300,259+BK$3,2+BK$2)&lt;&gt;"",INDEX('×入力'!$A$1:$L$1300,258,2+BK$2)&lt;&gt;"",INDEX('×入力'!$A$1:$L$1300,259+BK$3,1)&lt;&gt;""),1,0),0)</f>
        <v/>
      </c>
      <c r="BL19">
        <f>IF(BL$4=1,IF(OR(INDEX('×入力'!$A$1:$L$1300,259+BL$3,2+BL$2)&lt;&gt;"",INDEX('×入力'!$A$1:$L$1300,258,2+BL$2)&lt;&gt;"",INDEX('×入力'!$A$1:$L$1300,259+BL$3,1)&lt;&gt;""),1,0),0)</f>
        <v/>
      </c>
      <c r="BM19">
        <f>IF(BM$4=1,IF(OR(INDEX('×入力'!$A$1:$L$1300,259+BM$3,2+BM$2)&lt;&gt;"",INDEX('×入力'!$A$1:$L$1300,258,2+BM$2)&lt;&gt;"",INDEX('×入力'!$A$1:$L$1300,259+BM$3,1)&lt;&gt;""),1,0),0)</f>
        <v/>
      </c>
      <c r="BN19">
        <f>IF(BN$4=1,IF(OR(INDEX('×入力'!$A$1:$L$1300,259+BN$3,2+BN$2)&lt;&gt;"",INDEX('×入力'!$A$1:$L$1300,258,2+BN$2)&lt;&gt;"",INDEX('×入力'!$A$1:$L$1300,259+BN$3,1)&lt;&gt;""),1,0),0)</f>
        <v/>
      </c>
      <c r="BO19">
        <f>IF(BO$4=1,IF(OR(INDEX('×入力'!$A$1:$L$1300,259+BO$3,2+BO$2)&lt;&gt;"",INDEX('×入力'!$A$1:$L$1300,258,2+BO$2)&lt;&gt;"",INDEX('×入力'!$A$1:$L$1300,259+BO$3,1)&lt;&gt;""),1,0),0)</f>
        <v/>
      </c>
      <c r="BP19">
        <f>IF(BP$4=1,IF(OR(INDEX('×入力'!$A$1:$L$1300,259+BP$3,2+BP$2)&lt;&gt;"",INDEX('×入力'!$A$1:$L$1300,258,2+BP$2)&lt;&gt;"",INDEX('×入力'!$A$1:$L$1300,259+BP$3,1)&lt;&gt;""),1,0),0)</f>
        <v/>
      </c>
      <c r="BQ19">
        <f>IF(BQ$4=1,IF(OR(INDEX('×入力'!$A$1:$L$1300,259+BQ$3,2+BQ$2)&lt;&gt;"",INDEX('×入力'!$A$1:$L$1300,258,2+BQ$2)&lt;&gt;"",INDEX('×入力'!$A$1:$L$1300,259+BQ$3,1)&lt;&gt;""),1,0),0)</f>
        <v/>
      </c>
      <c r="BR19">
        <f>IF(BR$4=1,IF(OR(INDEX('×入力'!$A$1:$L$1300,259+BR$3,2+BR$2)&lt;&gt;"",INDEX('×入力'!$A$1:$L$1300,258,2+BR$2)&lt;&gt;"",INDEX('×入力'!$A$1:$L$1300,259+BR$3,1)&lt;&gt;""),1,0),0)</f>
        <v/>
      </c>
      <c r="BS19">
        <f>IF(BS$4=1,IF(OR(INDEX('×入力'!$A$1:$L$1300,259+BS$3,2+BS$2)&lt;&gt;"",INDEX('×入力'!$A$1:$L$1300,258,2+BS$2)&lt;&gt;"",INDEX('×入力'!$A$1:$L$1300,259+BS$3,1)&lt;&gt;""),1,0),0)</f>
        <v/>
      </c>
      <c r="BT19">
        <f>IF(BT$4=1,IF(OR(INDEX('×入力'!$A$1:$L$1300,259+BT$3,2+BT$2)&lt;&gt;"",INDEX('×入力'!$A$1:$L$1300,258,2+BT$2)&lt;&gt;"",INDEX('×入力'!$A$1:$L$1300,259+BT$3,1)&lt;&gt;""),1,0),0)</f>
        <v/>
      </c>
      <c r="BU19">
        <f>IF(BU$4=1,IF(OR(INDEX('×入力'!$A$1:$L$1300,259+BU$3,2+BU$2)&lt;&gt;"",INDEX('×入力'!$A$1:$L$1300,258,2+BU$2)&lt;&gt;"",INDEX('×入力'!$A$1:$L$1300,259+BU$3,1)&lt;&gt;""),1,0),0)</f>
        <v/>
      </c>
      <c r="BV19">
        <f>IF(BV$4=1,IF(OR(INDEX('×入力'!$A$1:$L$1300,259+BV$3,2+BV$2)&lt;&gt;"",INDEX('×入力'!$A$1:$L$1300,258,2+BV$2)&lt;&gt;"",INDEX('×入力'!$A$1:$L$1300,259+BV$3,1)&lt;&gt;""),1,0),0)</f>
        <v/>
      </c>
      <c r="BW19">
        <f>IF(BW$4=1,IF(OR(INDEX('×入力'!$A$1:$L$1300,259+BW$3,2+BW$2)&lt;&gt;"",INDEX('×入力'!$A$1:$L$1300,258,2+BW$2)&lt;&gt;"",INDEX('×入力'!$A$1:$L$1300,259+BW$3,1)&lt;&gt;""),1,0),0)</f>
        <v/>
      </c>
      <c r="BX19">
        <f>IF(BX$4=1,IF(OR(INDEX('×入力'!$A$1:$L$1300,259+BX$3,2+BX$2)&lt;&gt;"",INDEX('×入力'!$A$1:$L$1300,258,2+BX$2)&lt;&gt;"",INDEX('×入力'!$A$1:$L$1300,259+BX$3,1)&lt;&gt;""),1,0),0)</f>
        <v/>
      </c>
      <c r="BY19">
        <f>IF(BY$4=1,IF(OR(INDEX('×入力'!$A$1:$L$1300,259+BY$3,2+BY$2)&lt;&gt;"",INDEX('×入力'!$A$1:$L$1300,258,2+BY$2)&lt;&gt;"",INDEX('×入力'!$A$1:$L$1300,259+BY$3,1)&lt;&gt;""),1,0),0)</f>
        <v/>
      </c>
      <c r="BZ19">
        <f>IF(BZ$4=1,IF(OR(INDEX('×入力'!$A$1:$L$1300,259+BZ$3,2+BZ$2)&lt;&gt;"",INDEX('×入力'!$A$1:$L$1300,258,2+BZ$2)&lt;&gt;"",INDEX('×入力'!$A$1:$L$1300,259+BZ$3,1)&lt;&gt;""),1,0),0)</f>
        <v/>
      </c>
      <c r="CA19">
        <f>IF(CA$4=1,IF(OR(INDEX('×入力'!$A$1:$L$1300,259+CA$3,2+CA$2)&lt;&gt;"",INDEX('×入力'!$A$1:$L$1300,258,2+CA$2)&lt;&gt;"",INDEX('×入力'!$A$1:$L$1300,259+CA$3,1)&lt;&gt;""),1,0),0)</f>
        <v/>
      </c>
      <c r="CB19">
        <f>IF(CB$4=1,IF(OR(INDEX('×入力'!$A$1:$L$1300,259+CB$3,2+CB$2)&lt;&gt;"",INDEX('×入力'!$A$1:$L$1300,258,2+CB$2)&lt;&gt;"",INDEX('×入力'!$A$1:$L$1300,259+CB$3,1)&lt;&gt;""),1,0),0)</f>
        <v/>
      </c>
      <c r="CC19">
        <f>IF(CC$4=1,IF(OR(INDEX('×入力'!$A$1:$L$1300,259+CC$3,2+CC$2)&lt;&gt;"",INDEX('×入力'!$A$1:$L$1300,258,2+CC$2)&lt;&gt;"",INDEX('×入力'!$A$1:$L$1300,259+CC$3,1)&lt;&gt;""),1,0),0)</f>
        <v/>
      </c>
      <c r="CD19">
        <f>IF(CD$4=1,IF(OR(INDEX('×入力'!$A$1:$L$1300,259+CD$3,2+CD$2)&lt;&gt;"",INDEX('×入力'!$A$1:$L$1300,258,2+CD$2)&lt;&gt;"",INDEX('×入力'!$A$1:$L$1300,259+CD$3,1)&lt;&gt;""),1,0),0)</f>
        <v/>
      </c>
      <c r="CE19">
        <f>IF(CE$4=1,IF(OR(INDEX('×入力'!$A$1:$L$1300,259+CE$3,2+CE$2)&lt;&gt;"",INDEX('×入力'!$A$1:$L$1300,258,2+CE$2)&lt;&gt;"",INDEX('×入力'!$A$1:$L$1300,259+CE$3,1)&lt;&gt;""),1,0),0)</f>
        <v/>
      </c>
      <c r="CF19">
        <f>IF(CF$4=1,IF(OR(INDEX('×入力'!$A$1:$L$1300,259+CF$3,2+CF$2)&lt;&gt;"",INDEX('×入力'!$A$1:$L$1300,258,2+CF$2)&lt;&gt;"",INDEX('×入力'!$A$1:$L$1300,259+CF$3,1)&lt;&gt;""),1,0),0)</f>
        <v/>
      </c>
      <c r="CG19">
        <f>IF(CG$4=1,IF(OR(INDEX('×入力'!$A$1:$L$1300,259+CG$3,2+CG$2)&lt;&gt;"",INDEX('×入力'!$A$1:$L$1300,258,2+CG$2)&lt;&gt;"",INDEX('×入力'!$A$1:$L$1300,259+CG$3,1)&lt;&gt;""),1,0),0)</f>
        <v/>
      </c>
      <c r="CH19">
        <f>IF(CH$4=1,IF(OR(INDEX('×入力'!$A$1:$L$1300,259+CH$3,2+CH$2)&lt;&gt;"",INDEX('×入力'!$A$1:$L$1300,258,2+CH$2)&lt;&gt;"",INDEX('×入力'!$A$1:$L$1300,259+CH$3,1)&lt;&gt;""),1,0),0)</f>
        <v/>
      </c>
      <c r="CI19">
        <f>IF(CI$4=1,IF(OR(INDEX('×入力'!$A$1:$L$1300,259+CI$3,2+CI$2)&lt;&gt;"",INDEX('×入力'!$A$1:$L$1300,258,2+CI$2)&lt;&gt;"",INDEX('×入力'!$A$1:$L$1300,259+CI$3,1)&lt;&gt;""),1,0),0)</f>
        <v/>
      </c>
      <c r="CJ19">
        <f>IF(CJ$4=1,IF(OR(INDEX('×入力'!$A$1:$L$1300,259+CJ$3,2+CJ$2)&lt;&gt;"",INDEX('×入力'!$A$1:$L$1300,258,2+CJ$2)&lt;&gt;"",INDEX('×入力'!$A$1:$L$1300,259+CJ$3,1)&lt;&gt;""),1,0),0)</f>
        <v/>
      </c>
      <c r="CK19">
        <f>IF(CK$4=1,IF(OR(INDEX('×入力'!$A$1:$L$1300,259+CK$3,2+CK$2)&lt;&gt;"",INDEX('×入力'!$A$1:$L$1300,258,2+CK$2)&lt;&gt;"",INDEX('×入力'!$A$1:$L$1300,259+CK$3,1)&lt;&gt;""),1,0),0)</f>
        <v/>
      </c>
      <c r="CL19">
        <f>IF(CL$4=1,IF(OR(INDEX('×入力'!$A$1:$L$1300,259+CL$3,2+CL$2)&lt;&gt;"",INDEX('×入力'!$A$1:$L$1300,258,2+CL$2)&lt;&gt;"",INDEX('×入力'!$A$1:$L$1300,259+CL$3,1)&lt;&gt;""),1,0),0)</f>
        <v/>
      </c>
      <c r="CM19">
        <f>IF(CM$4=1,IF(OR(INDEX('×入力'!$A$1:$L$1300,259+CM$3,2+CM$2)&lt;&gt;"",INDEX('×入力'!$A$1:$L$1300,258,2+CM$2)&lt;&gt;"",INDEX('×入力'!$A$1:$L$1300,259+CM$3,1)&lt;&gt;""),1,0),0)</f>
        <v/>
      </c>
      <c r="CN19">
        <f>IF(CN$4=1,IF(OR(INDEX('×入力'!$A$1:$L$1300,259+CN$3,2+CN$2)&lt;&gt;"",INDEX('×入力'!$A$1:$L$1300,258,2+CN$2)&lt;&gt;"",INDEX('×入力'!$A$1:$L$1300,259+CN$3,1)&lt;&gt;""),1,0),0)</f>
        <v/>
      </c>
      <c r="CO19">
        <f>IF(CO$4=1,IF(OR(INDEX('×入力'!$A$1:$L$1300,259+CO$3,2+CO$2)&lt;&gt;"",INDEX('×入力'!$A$1:$L$1300,258,2+CO$2)&lt;&gt;"",INDEX('×入力'!$A$1:$L$1300,259+CO$3,1)&lt;&gt;""),1,0),0)</f>
        <v/>
      </c>
      <c r="CP19">
        <f>IF(CP$4=1,IF(OR(INDEX('×入力'!$A$1:$L$1300,259+CP$3,2+CP$2)&lt;&gt;"",INDEX('×入力'!$A$1:$L$1300,258,2+CP$2)&lt;&gt;"",INDEX('×入力'!$A$1:$L$1300,259+CP$3,1)&lt;&gt;""),1,0),0)</f>
        <v/>
      </c>
      <c r="CQ19">
        <f>IF(CQ$4=1,IF(OR(INDEX('×入力'!$A$1:$L$1300,259+CQ$3,2+CQ$2)&lt;&gt;"",INDEX('×入力'!$A$1:$L$1300,258,2+CQ$2)&lt;&gt;"",INDEX('×入力'!$A$1:$L$1300,259+CQ$3,1)&lt;&gt;""),1,0),0)</f>
        <v/>
      </c>
      <c r="CR19">
        <f>IF(CR$4=1,IF(OR(INDEX('×入力'!$A$1:$L$1300,259+CR$3,2+CR$2)&lt;&gt;"",INDEX('×入力'!$A$1:$L$1300,258,2+CR$2)&lt;&gt;"",INDEX('×入力'!$A$1:$L$1300,259+CR$3,1)&lt;&gt;""),1,0),0)</f>
        <v/>
      </c>
      <c r="CS19">
        <f>IF(CS$4=1,IF(OR(INDEX('×入力'!$A$1:$L$1300,259+CS$3,2+CS$2)&lt;&gt;"",INDEX('×入力'!$A$1:$L$1300,258,2+CS$2)&lt;&gt;"",INDEX('×入力'!$A$1:$L$1300,259+CS$3,1)&lt;&gt;""),1,0),0)</f>
        <v/>
      </c>
      <c r="CT19">
        <f>IF(CT$4=1,IF(OR(INDEX('×入力'!$A$1:$L$1300,259+CT$3,2+CT$2)&lt;&gt;"",INDEX('×入力'!$A$1:$L$1300,258,2+CT$2)&lt;&gt;"",INDEX('×入力'!$A$1:$L$1300,259+CT$3,1)&lt;&gt;""),1,0),0)</f>
        <v/>
      </c>
      <c r="CU19">
        <f>IF(CU$4=1,IF(OR(INDEX('×入力'!$A$1:$L$1300,259+CU$3,2+CU$2)&lt;&gt;"",INDEX('×入力'!$A$1:$L$1300,258,2+CU$2)&lt;&gt;"",INDEX('×入力'!$A$1:$L$1300,259+CU$3,1)&lt;&gt;""),1,0),0)</f>
        <v/>
      </c>
      <c r="CV19">
        <f>IF(CV$4=1,IF(OR(INDEX('×入力'!$A$1:$L$1300,259+CV$3,2+CV$2)&lt;&gt;"",INDEX('×入力'!$A$1:$L$1300,258,2+CV$2)&lt;&gt;"",INDEX('×入力'!$A$1:$L$1300,259+CV$3,1)&lt;&gt;""),1,0),0)</f>
        <v/>
      </c>
      <c r="CW19">
        <f>IF(CW$4=1,IF(OR(INDEX('×入力'!$A$1:$L$1300,259+CW$3,2+CW$2)&lt;&gt;"",INDEX('×入力'!$A$1:$L$1300,258,2+CW$2)&lt;&gt;"",INDEX('×入力'!$A$1:$L$1300,259+CW$3,1)&lt;&gt;""),1,0),0)</f>
        <v/>
      </c>
      <c r="CX19">
        <f>IF(CX$4=1,IF(OR(INDEX('×入力'!$A$1:$L$1300,259+CX$3,2+CX$2)&lt;&gt;"",INDEX('×入力'!$A$1:$L$1300,258,2+CX$2)&lt;&gt;"",INDEX('×入力'!$A$1:$L$1300,259+CX$3,1)&lt;&gt;""),1,0),0)</f>
        <v/>
      </c>
      <c r="CY19">
        <f>IF(CY$4=1,IF(OR(INDEX('×入力'!$A$1:$L$1300,259+CY$3,2+CY$2)&lt;&gt;"",INDEX('×入力'!$A$1:$L$1300,258,2+CY$2)&lt;&gt;"",INDEX('×入力'!$A$1:$L$1300,259+CY$3,1)&lt;&gt;""),1,0),0)</f>
        <v/>
      </c>
      <c r="CZ19">
        <f>IF(CZ$4=1,IF(OR(INDEX('×入力'!$A$1:$L$1300,259+CZ$3,2+CZ$2)&lt;&gt;"",INDEX('×入力'!$A$1:$L$1300,258,2+CZ$2)&lt;&gt;"",INDEX('×入力'!$A$1:$L$1300,259+CZ$3,1)&lt;&gt;""),1,0),0)</f>
        <v/>
      </c>
      <c r="DA19">
        <f>IF(DA$4=1,IF(OR(INDEX('×入力'!$A$1:$L$1300,259+DA$3,2+DA$2)&lt;&gt;"",INDEX('×入力'!$A$1:$L$1300,258,2+DA$2)&lt;&gt;"",INDEX('×入力'!$A$1:$L$1300,259+DA$3,1)&lt;&gt;""),1,0),0)</f>
        <v/>
      </c>
      <c r="DB19">
        <f>IF(DB$4=1,IF(OR(INDEX('×入力'!$A$1:$L$1300,259+DB$3,2+DB$2)&lt;&gt;"",INDEX('×入力'!$A$1:$L$1300,258,2+DB$2)&lt;&gt;"",INDEX('×入力'!$A$1:$L$1300,259+DB$3,1)&lt;&gt;""),1,0),0)</f>
        <v/>
      </c>
      <c r="DC19">
        <f>IF(DC$4=1,IF(OR(INDEX('×入力'!$A$1:$L$1300,259+DC$3,2+DC$2)&lt;&gt;"",INDEX('×入力'!$A$1:$L$1300,258,2+DC$2)&lt;&gt;"",INDEX('×入力'!$A$1:$L$1300,259+DC$3,1)&lt;&gt;""),1,0),0)</f>
        <v/>
      </c>
      <c r="DD19">
        <f>IF(DD$4=1,IF(OR(INDEX('×入力'!$A$1:$L$1300,259+DD$3,2+DD$2)&lt;&gt;"",INDEX('×入力'!$A$1:$L$1300,258,2+DD$2)&lt;&gt;"",INDEX('×入力'!$A$1:$L$1300,259+DD$3,1)&lt;&gt;""),1,0),0)</f>
        <v/>
      </c>
      <c r="DE19">
        <f>IF(DE$4=1,IF(OR(INDEX('×入力'!$A$1:$L$1300,259+DE$3,2+DE$2)&lt;&gt;"",INDEX('×入力'!$A$1:$L$1300,258,2+DE$2)&lt;&gt;"",INDEX('×入力'!$A$1:$L$1300,259+DE$3,1)&lt;&gt;""),1,0),0)</f>
        <v/>
      </c>
      <c r="DF19">
        <f>IF(DF$4=1,IF(OR(INDEX('×入力'!$A$1:$L$1300,259+DF$3,2+DF$2)&lt;&gt;"",INDEX('×入力'!$A$1:$L$1300,258,2+DF$2)&lt;&gt;"",INDEX('×入力'!$A$1:$L$1300,259+DF$3,1)&lt;&gt;""),1,0),0)</f>
        <v/>
      </c>
      <c r="DG19">
        <f>IF(DG$4=1,IF(OR(INDEX('×入力'!$A$1:$L$1300,259+DG$3,2+DG$2)&lt;&gt;"",INDEX('×入力'!$A$1:$L$1300,258,2+DG$2)&lt;&gt;"",INDEX('×入力'!$A$1:$L$1300,259+DG$3,1)&lt;&gt;""),1,0),0)</f>
        <v/>
      </c>
      <c r="DH19">
        <f>IF(DH$4=1,IF(OR(INDEX('×入力'!$A$1:$L$1300,259+DH$3,2+DH$2)&lt;&gt;"",INDEX('×入力'!$A$1:$L$1300,258,2+DH$2)&lt;&gt;"",INDEX('×入力'!$A$1:$L$1300,259+DH$3,1)&lt;&gt;""),1,0),0)</f>
        <v/>
      </c>
      <c r="DI19">
        <f>IF(DI$4=1,IF(OR(INDEX('×入力'!$A$1:$L$1300,259+DI$3,2+DI$2)&lt;&gt;"",INDEX('×入力'!$A$1:$L$1300,258,2+DI$2)&lt;&gt;"",INDEX('×入力'!$A$1:$L$1300,259+DI$3,1)&lt;&gt;""),1,0),0)</f>
        <v/>
      </c>
      <c r="DJ19">
        <f>IF(DJ$4=1,IF(OR(INDEX('×入力'!$A$1:$L$1300,259+DJ$3,2+DJ$2)&lt;&gt;"",INDEX('×入力'!$A$1:$L$1300,258,2+DJ$2)&lt;&gt;"",INDEX('×入力'!$A$1:$L$1300,259+DJ$3,1)&lt;&gt;""),1,0),0)</f>
        <v/>
      </c>
      <c r="DK19">
        <f>IF(DK$4=1,IF(OR(INDEX('×入力'!$A$1:$L$1300,259+DK$3,2+DK$2)&lt;&gt;"",INDEX('×入力'!$A$1:$L$1300,258,2+DK$2)&lt;&gt;"",INDEX('×入力'!$A$1:$L$1300,259+DK$3,1)&lt;&gt;""),1,0),0)</f>
        <v/>
      </c>
      <c r="DL19">
        <f>IF(DL$4=1,IF(OR(INDEX('×入力'!$A$1:$L$1300,259+DL$3,2+DL$2)&lt;&gt;"",INDEX('×入力'!$A$1:$L$1300,258,2+DL$2)&lt;&gt;"",INDEX('×入力'!$A$1:$L$1300,259+DL$3,1)&lt;&gt;""),1,0),0)</f>
        <v/>
      </c>
      <c r="DM19">
        <f>IF(DM$4=1,IF(OR(INDEX('×入力'!$A$1:$L$1300,259+DM$3,2+DM$2)&lt;&gt;"",INDEX('×入力'!$A$1:$L$1300,258,2+DM$2)&lt;&gt;"",INDEX('×入力'!$A$1:$L$1300,259+DM$3,1)&lt;&gt;""),1,0),0)</f>
        <v/>
      </c>
      <c r="DN19">
        <f>IF(DN$4=1,IF(OR(INDEX('×入力'!$A$1:$L$1300,259+DN$3,2+DN$2)&lt;&gt;"",INDEX('×入力'!$A$1:$L$1300,258,2+DN$2)&lt;&gt;"",INDEX('×入力'!$A$1:$L$1300,259+DN$3,1)&lt;&gt;""),1,0),0)</f>
        <v/>
      </c>
      <c r="DO19">
        <f>IF(DO$4=1,IF(OR(INDEX('×入力'!$A$1:$L$1300,259+DO$3,2+DO$2)&lt;&gt;"",INDEX('×入力'!$A$1:$L$1300,258,2+DO$2)&lt;&gt;"",INDEX('×入力'!$A$1:$L$1300,259+DO$3,1)&lt;&gt;""),1,0),0)</f>
        <v/>
      </c>
      <c r="DP19">
        <f>IF(DP$4=1,IF(OR(INDEX('×入力'!$A$1:$L$1300,259+DP$3,2+DP$2)&lt;&gt;"",INDEX('×入力'!$A$1:$L$1300,258,2+DP$2)&lt;&gt;"",INDEX('×入力'!$A$1:$L$1300,259+DP$3,1)&lt;&gt;""),1,0),0)</f>
        <v/>
      </c>
      <c r="DQ19">
        <f>IF(DQ$4=1,IF(OR(INDEX('×入力'!$A$1:$L$1300,259+DQ$3,2+DQ$2)&lt;&gt;"",INDEX('×入力'!$A$1:$L$1300,258,2+DQ$2)&lt;&gt;"",INDEX('×入力'!$A$1:$L$1300,259+DQ$3,1)&lt;&gt;""),1,0),0)</f>
        <v/>
      </c>
      <c r="DR19">
        <f>IF(DR$4=1,IF(OR(INDEX('×入力'!$A$1:$L$1300,259+DR$3,2+DR$2)&lt;&gt;"",INDEX('×入力'!$A$1:$L$1300,258,2+DR$2)&lt;&gt;"",INDEX('×入力'!$A$1:$L$1300,259+DR$3,1)&lt;&gt;""),1,0),0)</f>
        <v/>
      </c>
      <c r="DS19">
        <f>IF(DS$4=1,IF(OR(INDEX('×入力'!$A$1:$L$1300,259+DS$3,2+DS$2)&lt;&gt;"",INDEX('×入力'!$A$1:$L$1300,258,2+DS$2)&lt;&gt;"",INDEX('×入力'!$A$1:$L$1300,259+DS$3,1)&lt;&gt;""),1,0),0)</f>
        <v/>
      </c>
      <c r="DT19">
        <f>IF(DT$4=1,IF(OR(INDEX('×入力'!$A$1:$L$1300,259+DT$3,2+DT$2)&lt;&gt;"",INDEX('×入力'!$A$1:$L$1300,258,2+DT$2)&lt;&gt;"",INDEX('×入力'!$A$1:$L$1300,259+DT$3,1)&lt;&gt;""),1,0),0)</f>
        <v/>
      </c>
      <c r="DU19">
        <f>IF(DU$4=1,IF(OR(INDEX('×入力'!$A$1:$L$1300,259+DU$3,2+DU$2)&lt;&gt;"",INDEX('×入力'!$A$1:$L$1300,258,2+DU$2)&lt;&gt;"",INDEX('×入力'!$A$1:$L$1300,259+DU$3,1)&lt;&gt;""),1,0),0)</f>
        <v/>
      </c>
      <c r="DV19">
        <f>IF(DV$4=1,IF(OR(INDEX('×入力'!$A$1:$L$1300,259+DV$3,2+DV$2)&lt;&gt;"",INDEX('×入力'!$A$1:$L$1300,258,2+DV$2)&lt;&gt;"",INDEX('×入力'!$A$1:$L$1300,259+DV$3,1)&lt;&gt;""),1,0),0)</f>
        <v/>
      </c>
      <c r="DW19">
        <f>IF(DW$4=1,IF(OR(INDEX('×入力'!$A$1:$L$1300,259+DW$3,2+DW$2)&lt;&gt;"",INDEX('×入力'!$A$1:$L$1300,258,2+DW$2)&lt;&gt;"",INDEX('×入力'!$A$1:$L$1300,259+DW$3,1)&lt;&gt;""),1,0),0)</f>
        <v/>
      </c>
      <c r="DX19">
        <f>IF(DX$4=1,IF(OR(INDEX('×入力'!$A$1:$L$1300,259+DX$3,2+DX$2)&lt;&gt;"",INDEX('×入力'!$A$1:$L$1300,258,2+DX$2)&lt;&gt;"",INDEX('×入力'!$A$1:$L$1300,259+DX$3,1)&lt;&gt;""),1,0),0)</f>
        <v/>
      </c>
      <c r="DY19">
        <f>IF(DY$4=1,IF(OR(INDEX('×入力'!$A$1:$L$1300,259+DY$3,2+DY$2)&lt;&gt;"",INDEX('×入力'!$A$1:$L$1300,258,2+DY$2)&lt;&gt;"",INDEX('×入力'!$A$1:$L$1300,259+DY$3,1)&lt;&gt;""),1,0),0)</f>
        <v/>
      </c>
      <c r="DZ19">
        <f>IF(DZ$4=1,IF(OR(INDEX('×入力'!$A$1:$L$1300,259+DZ$3,2+DZ$2)&lt;&gt;"",INDEX('×入力'!$A$1:$L$1300,258,2+DZ$2)&lt;&gt;"",INDEX('×入力'!$A$1:$L$1300,259+DZ$3,1)&lt;&gt;""),1,0),0)</f>
        <v/>
      </c>
      <c r="EA19">
        <f>IF(EA$4=1,IF(OR(INDEX('×入力'!$A$1:$L$1300,259+EA$3,2+EA$2)&lt;&gt;"",INDEX('×入力'!$A$1:$L$1300,258,2+EA$2)&lt;&gt;"",INDEX('×入力'!$A$1:$L$1300,259+EA$3,1)&lt;&gt;""),1,0),0)</f>
        <v/>
      </c>
      <c r="EB19">
        <f>IF(EB$4=1,IF(OR(INDEX('×入力'!$A$1:$L$1300,259+EB$3,2+EB$2)&lt;&gt;"",INDEX('×入力'!$A$1:$L$1300,258,2+EB$2)&lt;&gt;"",INDEX('×入力'!$A$1:$L$1300,259+EB$3,1)&lt;&gt;""),1,0),0)</f>
        <v/>
      </c>
      <c r="EC19">
        <f>IF(EC$4=1,IF(OR(INDEX('×入力'!$A$1:$L$1300,259+EC$3,2+EC$2)&lt;&gt;"",INDEX('×入力'!$A$1:$L$1300,258,2+EC$2)&lt;&gt;"",INDEX('×入力'!$A$1:$L$1300,259+EC$3,1)&lt;&gt;""),1,0),0)</f>
        <v/>
      </c>
      <c r="ED19">
        <f>IF(ED$4=1,IF(OR(INDEX('×入力'!$A$1:$L$1300,259+ED$3,2+ED$2)&lt;&gt;"",INDEX('×入力'!$A$1:$L$1300,258,2+ED$2)&lt;&gt;"",INDEX('×入力'!$A$1:$L$1300,259+ED$3,1)&lt;&gt;""),1,0),0)</f>
        <v/>
      </c>
      <c r="EE19">
        <f>IF(EE$4=1,IF(OR(INDEX('×入力'!$A$1:$L$1300,259+EE$3,2+EE$2)&lt;&gt;"",INDEX('×入力'!$A$1:$L$1300,258,2+EE$2)&lt;&gt;"",INDEX('×入力'!$A$1:$L$1300,259+EE$3,1)&lt;&gt;""),1,0),0)</f>
        <v/>
      </c>
      <c r="EF19">
        <f>IF(EF$4=1,IF(OR(INDEX('×入力'!$A$1:$L$1300,259+EF$3,2+EF$2)&lt;&gt;"",INDEX('×入力'!$A$1:$L$1300,258,2+EF$2)&lt;&gt;"",INDEX('×入力'!$A$1:$L$1300,259+EF$3,1)&lt;&gt;""),1,0),0)</f>
        <v/>
      </c>
      <c r="EG19">
        <f>IF(EG$4=1,IF(OR(INDEX('×入力'!$A$1:$L$1300,259+EG$3,2+EG$2)&lt;&gt;"",INDEX('×入力'!$A$1:$L$1300,258,2+EG$2)&lt;&gt;"",INDEX('×入力'!$A$1:$L$1300,259+EG$3,1)&lt;&gt;""),1,0),0)</f>
        <v/>
      </c>
      <c r="EH19">
        <f>IF(EH$4=1,IF(OR(INDEX('×入力'!$A$1:$L$1300,259+EH$3,2+EH$2)&lt;&gt;"",INDEX('×入力'!$A$1:$L$1300,258,2+EH$2)&lt;&gt;"",INDEX('×入力'!$A$1:$L$1300,259+EH$3,1)&lt;&gt;""),1,0),0)</f>
        <v/>
      </c>
      <c r="EI19">
        <f>IF(EI$4=1,IF(OR(INDEX('×入力'!$A$1:$L$1300,259+EI$3,2+EI$2)&lt;&gt;"",INDEX('×入力'!$A$1:$L$1300,258,2+EI$2)&lt;&gt;"",INDEX('×入力'!$A$1:$L$1300,259+EI$3,1)&lt;&gt;""),1,0),0)</f>
        <v/>
      </c>
      <c r="EJ19">
        <f>IF(EJ$4=1,IF(OR(INDEX('×入力'!$A$1:$L$1300,259+EJ$3,2+EJ$2)&lt;&gt;"",INDEX('×入力'!$A$1:$L$1300,258,2+EJ$2)&lt;&gt;"",INDEX('×入力'!$A$1:$L$1300,259+EJ$3,1)&lt;&gt;""),1,0),0)</f>
        <v/>
      </c>
      <c r="EK19">
        <f>IF(EK$4=1,IF(OR(INDEX('×入力'!$A$1:$L$1300,259+EK$3,2+EK$2)&lt;&gt;"",INDEX('×入力'!$A$1:$L$1300,258,2+EK$2)&lt;&gt;"",INDEX('×入力'!$A$1:$L$1300,259+EK$3,1)&lt;&gt;""),1,0),0)</f>
        <v/>
      </c>
      <c r="EL19">
        <f>IF(EL$4=1,IF(OR(INDEX('×入力'!$A$1:$L$1300,259+EL$3,2+EL$2)&lt;&gt;"",INDEX('×入力'!$A$1:$L$1300,258,2+EL$2)&lt;&gt;"",INDEX('×入力'!$A$1:$L$1300,259+EL$3,1)&lt;&gt;""),1,0),0)</f>
        <v/>
      </c>
      <c r="EM19">
        <f>IF(EM$4=1,IF(OR(INDEX('×入力'!$A$1:$L$1300,259+EM$3,2+EM$2)&lt;&gt;"",INDEX('×入力'!$A$1:$L$1300,258,2+EM$2)&lt;&gt;"",INDEX('×入力'!$A$1:$L$1300,259+EM$3,1)&lt;&gt;""),1,0),0)</f>
        <v/>
      </c>
      <c r="EN19">
        <f>IF(EN$4=1,IF(OR(INDEX('×入力'!$A$1:$L$1300,259+EN$3,2+EN$2)&lt;&gt;"",INDEX('×入力'!$A$1:$L$1300,258,2+EN$2)&lt;&gt;"",INDEX('×入力'!$A$1:$L$1300,259+EN$3,1)&lt;&gt;""),1,0),0)</f>
        <v/>
      </c>
      <c r="EO19">
        <f>IF(EO$4=1,IF(OR(INDEX('×入力'!$A$1:$L$1300,259+EO$3,2+EO$2)&lt;&gt;"",INDEX('×入力'!$A$1:$L$1300,258,2+EO$2)&lt;&gt;"",INDEX('×入力'!$A$1:$L$1300,259+EO$3,1)&lt;&gt;""),1,0),0)</f>
        <v/>
      </c>
      <c r="EP19">
        <f>IF(EP$4=1,IF(OR(INDEX('×入力'!$A$1:$L$1300,259+EP$3,2+EP$2)&lt;&gt;"",INDEX('×入力'!$A$1:$L$1300,258,2+EP$2)&lt;&gt;"",INDEX('×入力'!$A$1:$L$1300,259+EP$3,1)&lt;&gt;""),1,0),0)</f>
        <v/>
      </c>
      <c r="EQ19">
        <f>IF(EQ$4=1,IF(OR(INDEX('×入力'!$A$1:$L$1300,259+EQ$3,2+EQ$2)&lt;&gt;"",INDEX('×入力'!$A$1:$L$1300,258,2+EQ$2)&lt;&gt;"",INDEX('×入力'!$A$1:$L$1300,259+EQ$3,1)&lt;&gt;""),1,0),0)</f>
        <v/>
      </c>
      <c r="HA19">
        <f>MAX(0,IT19)</f>
        <v/>
      </c>
      <c r="HB19">
        <f>IF(HA19=0,0,INDEX($D$2:$EQ$2,HA19))</f>
        <v/>
      </c>
      <c r="HC19">
        <f>IF(HA19=0,0,INDEX($D$3:$EQ$3,HA19))</f>
        <v/>
      </c>
      <c r="HD19">
        <f>MAX(0,IY19)</f>
        <v/>
      </c>
      <c r="HE19">
        <f>IF(HD19=0,0,INDEX($D$2:$EQ$2,HD19))</f>
        <v/>
      </c>
      <c r="HF19">
        <f>IF(HD19=0,0,INDEX($D$3:$EQ$3,HD19))</f>
        <v/>
      </c>
      <c r="HG19">
        <f>MAX(0,IZ19)</f>
        <v/>
      </c>
      <c r="HH19">
        <f>IF(HG19=0,0,INDEX($D$2:$EQ$2,HG19))</f>
        <v/>
      </c>
      <c r="HI19">
        <f>IF(HG19=0,0,INDEX($D$3:$EQ$3,HG19))</f>
        <v/>
      </c>
      <c r="HJ19">
        <f>IF(AND(HA19&gt;0,HC19&gt;1,OR(HC19-1&lt;&gt;$A$3,$A$4=0)),HA19-1,-1)</f>
        <v/>
      </c>
      <c r="HK19">
        <f>IF(AND(HA19&gt;0,HC19&lt;24,OR(HC19&lt;&gt;$A$3,$A$4=0)),HA19+1,-1)</f>
        <v/>
      </c>
      <c r="HL19">
        <f>IF(AND(HD19&gt;0,HF19&gt;1,OR(HF19-1&lt;&gt;$A$3,$A$4=0)),HD19-1,-1)</f>
        <v/>
      </c>
      <c r="HM19">
        <f>IF(AND(HD19&gt;0,HF19&lt;24,OR(HF19&lt;&gt;$A$3,$A$4=0)),HD19+1,-1)</f>
        <v/>
      </c>
      <c r="HN19">
        <f>IF(AND(HG19&gt;0,HI19&gt;1,OR(HI19-1&lt;&gt;$A$3,$A$4=0)),HG19-1,-1)</f>
        <v/>
      </c>
      <c r="HO19">
        <f>IF(AND(HG19&gt;0,HI19&lt;24,OR(HI19&lt;&gt;$A$3,$A$4=0)),HG19+1,-1)</f>
        <v/>
      </c>
      <c r="IK19">
        <f>IFERROR(INDEX('calcB'!$C$3:$C$47,MATCH(A19,'calcB'!$B$3:$B$47,0)),0)</f>
        <v/>
      </c>
      <c r="IL19">
        <f>IF(AND(C19=1,IK19=0,calcA!$A$6&gt;0),1,0)</f>
        <v/>
      </c>
      <c r="IM19">
        <f>SUMPRODUCT(D69:EQ69*(1-$D$7:$EQ$7))</f>
        <v/>
      </c>
      <c r="IN19">
        <f>SUM(D19:EQ19)</f>
        <v/>
      </c>
      <c r="IO19">
        <f>IF(B19="",0,IF(COUNTIF('調整・決定'!$C$6:$H$29,B19)=1,SUMPRODUCT(('調整・決定'!$C$6:$H$29=B19)*((COLUMN('調整・決定'!$C$6:$H$29)-3)*24+ROW('調整・決定'!$C$6:$H$29)-5)),0))</f>
        <v/>
      </c>
      <c r="IP19">
        <f>IFERROR(MATCH('名簿'!C14,{"早い時刻","遅い時刻","早い日","遅い日"},0),0)</f>
        <v/>
      </c>
      <c r="IQ19">
        <f>IF('名簿'!D14="必ず空けたい",2,IF('名簿'!D14="出来れば空けたい",1,0))</f>
        <v/>
      </c>
      <c r="IR19">
        <f>IFERROR(INDEX('calcC'!$C$3:$C$47,MATCH(A19,'calcC'!$B$3:$B$47,0)),0)</f>
        <v/>
      </c>
      <c r="IS19">
        <f>IF(AND(C19=1,IR19=0,calcA!$A$6&gt;0),1,0)</f>
        <v/>
      </c>
      <c r="IT19">
        <f>IF(OR('名簿'!G14="",'名簿'!H14=""),0,IFERROR((MATCH('名簿'!G14,'設定'!$E$11:$E$16,0)-1)*24+MATCH('名簿'!H14,'設定'!$I$11:$I$34,0),-1))</f>
        <v/>
      </c>
      <c r="IV19">
        <f>IF(OR(JF19=0,IO19=0),1,IF(OR(IF(IT19&gt;0,AND(INDEX($D$2:$EQ$2,IO19)=INDEX($D$2:$EQ$2,IT19),OR(AND(IO19=IT19+1,OR(INDEX($D$3:$EQ$3,IT19)&lt;&gt;$A$3,$A$4=0)),AND(IO19=IT19-1,OR(INDEX($D$3:$EQ$3,IO19)&lt;&gt;$A$3,$A$4=0)))),FALSE),IF(IY19&gt;0,AND(INDEX($D$2:$EQ$2,IO19)=INDEX($D$2:$EQ$2,IY19),OR(AND(IO19=IY19+1,OR(INDEX($D$3:$EQ$3,IY19)&lt;&gt;$A$3,$A$4=0)),AND(IO19=IY19-1,OR(INDEX($D$3:$EQ$3,IO19)&lt;&gt;$A$3,$A$4=0)))),FALSE),IF(IZ19&gt;0,AND(INDEX($D$2:$EQ$2,IO19)=INDEX($D$2:$EQ$2,IZ19),OR(AND(IO19=IZ19+1,OR(INDEX($D$3:$EQ$3,IZ19)&lt;&gt;$A$3,$A$4=0)),AND(IO19=IZ19-1,OR(INDEX($D$3:$EQ$3,IO19)&lt;&gt;$A$3,$A$4=0)))),FALSE)),1,0))</f>
        <v/>
      </c>
      <c r="IW19">
        <f>IF(AND('名簿'!E14&lt;&gt;"",JF19=0),1,0)</f>
        <v/>
      </c>
      <c r="IX19">
        <f>IF('名簿'!D14="空けない",1,0)</f>
        <v/>
      </c>
      <c r="IY19">
        <f>IF(OR('名簿'!J14="",'名簿'!K14=""),0,IFERROR((MATCH('名簿'!J14,'設定'!$E$11:$E$16,0)-1)*24+MATCH('名簿'!K14,'設定'!$I$11:$I$34,0),-1))</f>
        <v/>
      </c>
      <c r="IZ19">
        <f>IF(OR('名簿'!M14="",'名簿'!N14=""),0,IFERROR((MATCH('名簿'!M14,'設定'!$E$11:$E$16,0)-1)*24+MATCH('名簿'!N14,'設定'!$I$11:$I$34,0),-1))</f>
        <v/>
      </c>
      <c r="JC19">
        <f>IF(RIGHT('名簿'!I14,2)="の前",1,IF(RIGHT('名簿'!I14,2)="の後",2,0))</f>
        <v/>
      </c>
      <c r="JD19">
        <f>IF(RIGHT('名簿'!L14,2)="の前",1,IF(RIGHT('名簿'!L14,2)="の後",2,0))</f>
        <v/>
      </c>
      <c r="JE19">
        <f>IF(RIGHT('名簿'!O14,2)="の前",1,IF(RIGHT('名簿'!O14,2)="の後",2,0))</f>
        <v/>
      </c>
      <c r="JF19">
        <f>IF(OR(IT19&gt;0,IY19&gt;0,IZ19&gt;0),1,0)</f>
        <v/>
      </c>
      <c r="JG19">
        <f>IF(OR(IT19&lt;0,IY19&lt;0,IZ19&lt;0),1,0)</f>
        <v/>
      </c>
    </row>
    <row r="20">
      <c r="A20" t="n">
        <v>11</v>
      </c>
      <c r="B20">
        <f>'名簿'!P15</f>
        <v/>
      </c>
      <c r="C20">
        <f>IF(AND(B20&lt;&gt;"",OR('名簿'!Q15="入力済み",'名簿'!Q15="×なし"),IO20=0,COUNTIF('調整・決定'!$C$6:$H$29,B20)=0),1,0)</f>
        <v/>
      </c>
      <c r="D20">
        <f>IF(D$4=1,IF(OR(INDEX('×入力'!$A$1:$L$1300,287+D$3,2+D$2)&lt;&gt;"",INDEX('×入力'!$A$1:$L$1300,286,2+D$2)&lt;&gt;"",INDEX('×入力'!$A$1:$L$1300,287+D$3,1)&lt;&gt;""),1,0),0)</f>
        <v/>
      </c>
      <c r="E20">
        <f>IF(E$4=1,IF(OR(INDEX('×入力'!$A$1:$L$1300,287+E$3,2+E$2)&lt;&gt;"",INDEX('×入力'!$A$1:$L$1300,286,2+E$2)&lt;&gt;"",INDEX('×入力'!$A$1:$L$1300,287+E$3,1)&lt;&gt;""),1,0),0)</f>
        <v/>
      </c>
      <c r="F20">
        <f>IF(F$4=1,IF(OR(INDEX('×入力'!$A$1:$L$1300,287+F$3,2+F$2)&lt;&gt;"",INDEX('×入力'!$A$1:$L$1300,286,2+F$2)&lt;&gt;"",INDEX('×入力'!$A$1:$L$1300,287+F$3,1)&lt;&gt;""),1,0),0)</f>
        <v/>
      </c>
      <c r="G20">
        <f>IF(G$4=1,IF(OR(INDEX('×入力'!$A$1:$L$1300,287+G$3,2+G$2)&lt;&gt;"",INDEX('×入力'!$A$1:$L$1300,286,2+G$2)&lt;&gt;"",INDEX('×入力'!$A$1:$L$1300,287+G$3,1)&lt;&gt;""),1,0),0)</f>
        <v/>
      </c>
      <c r="H20">
        <f>IF(H$4=1,IF(OR(INDEX('×入力'!$A$1:$L$1300,287+H$3,2+H$2)&lt;&gt;"",INDEX('×入力'!$A$1:$L$1300,286,2+H$2)&lt;&gt;"",INDEX('×入力'!$A$1:$L$1300,287+H$3,1)&lt;&gt;""),1,0),0)</f>
        <v/>
      </c>
      <c r="I20">
        <f>IF(I$4=1,IF(OR(INDEX('×入力'!$A$1:$L$1300,287+I$3,2+I$2)&lt;&gt;"",INDEX('×入力'!$A$1:$L$1300,286,2+I$2)&lt;&gt;"",INDEX('×入力'!$A$1:$L$1300,287+I$3,1)&lt;&gt;""),1,0),0)</f>
        <v/>
      </c>
      <c r="J20">
        <f>IF(J$4=1,IF(OR(INDEX('×入力'!$A$1:$L$1300,287+J$3,2+J$2)&lt;&gt;"",INDEX('×入力'!$A$1:$L$1300,286,2+J$2)&lt;&gt;"",INDEX('×入力'!$A$1:$L$1300,287+J$3,1)&lt;&gt;""),1,0),0)</f>
        <v/>
      </c>
      <c r="K20">
        <f>IF(K$4=1,IF(OR(INDEX('×入力'!$A$1:$L$1300,287+K$3,2+K$2)&lt;&gt;"",INDEX('×入力'!$A$1:$L$1300,286,2+K$2)&lt;&gt;"",INDEX('×入力'!$A$1:$L$1300,287+K$3,1)&lt;&gt;""),1,0),0)</f>
        <v/>
      </c>
      <c r="L20">
        <f>IF(L$4=1,IF(OR(INDEX('×入力'!$A$1:$L$1300,287+L$3,2+L$2)&lt;&gt;"",INDEX('×入力'!$A$1:$L$1300,286,2+L$2)&lt;&gt;"",INDEX('×入力'!$A$1:$L$1300,287+L$3,1)&lt;&gt;""),1,0),0)</f>
        <v/>
      </c>
      <c r="M20">
        <f>IF(M$4=1,IF(OR(INDEX('×入力'!$A$1:$L$1300,287+M$3,2+M$2)&lt;&gt;"",INDEX('×入力'!$A$1:$L$1300,286,2+M$2)&lt;&gt;"",INDEX('×入力'!$A$1:$L$1300,287+M$3,1)&lt;&gt;""),1,0),0)</f>
        <v/>
      </c>
      <c r="N20">
        <f>IF(N$4=1,IF(OR(INDEX('×入力'!$A$1:$L$1300,287+N$3,2+N$2)&lt;&gt;"",INDEX('×入力'!$A$1:$L$1300,286,2+N$2)&lt;&gt;"",INDEX('×入力'!$A$1:$L$1300,287+N$3,1)&lt;&gt;""),1,0),0)</f>
        <v/>
      </c>
      <c r="O20">
        <f>IF(O$4=1,IF(OR(INDEX('×入力'!$A$1:$L$1300,287+O$3,2+O$2)&lt;&gt;"",INDEX('×入力'!$A$1:$L$1300,286,2+O$2)&lt;&gt;"",INDEX('×入力'!$A$1:$L$1300,287+O$3,1)&lt;&gt;""),1,0),0)</f>
        <v/>
      </c>
      <c r="P20">
        <f>IF(P$4=1,IF(OR(INDEX('×入力'!$A$1:$L$1300,287+P$3,2+P$2)&lt;&gt;"",INDEX('×入力'!$A$1:$L$1300,286,2+P$2)&lt;&gt;"",INDEX('×入力'!$A$1:$L$1300,287+P$3,1)&lt;&gt;""),1,0),0)</f>
        <v/>
      </c>
      <c r="Q20">
        <f>IF(Q$4=1,IF(OR(INDEX('×入力'!$A$1:$L$1300,287+Q$3,2+Q$2)&lt;&gt;"",INDEX('×入力'!$A$1:$L$1300,286,2+Q$2)&lt;&gt;"",INDEX('×入力'!$A$1:$L$1300,287+Q$3,1)&lt;&gt;""),1,0),0)</f>
        <v/>
      </c>
      <c r="R20">
        <f>IF(R$4=1,IF(OR(INDEX('×入力'!$A$1:$L$1300,287+R$3,2+R$2)&lt;&gt;"",INDEX('×入力'!$A$1:$L$1300,286,2+R$2)&lt;&gt;"",INDEX('×入力'!$A$1:$L$1300,287+R$3,1)&lt;&gt;""),1,0),0)</f>
        <v/>
      </c>
      <c r="S20">
        <f>IF(S$4=1,IF(OR(INDEX('×入力'!$A$1:$L$1300,287+S$3,2+S$2)&lt;&gt;"",INDEX('×入力'!$A$1:$L$1300,286,2+S$2)&lt;&gt;"",INDEX('×入力'!$A$1:$L$1300,287+S$3,1)&lt;&gt;""),1,0),0)</f>
        <v/>
      </c>
      <c r="T20">
        <f>IF(T$4=1,IF(OR(INDEX('×入力'!$A$1:$L$1300,287+T$3,2+T$2)&lt;&gt;"",INDEX('×入力'!$A$1:$L$1300,286,2+T$2)&lt;&gt;"",INDEX('×入力'!$A$1:$L$1300,287+T$3,1)&lt;&gt;""),1,0),0)</f>
        <v/>
      </c>
      <c r="U20">
        <f>IF(U$4=1,IF(OR(INDEX('×入力'!$A$1:$L$1300,287+U$3,2+U$2)&lt;&gt;"",INDEX('×入力'!$A$1:$L$1300,286,2+U$2)&lt;&gt;"",INDEX('×入力'!$A$1:$L$1300,287+U$3,1)&lt;&gt;""),1,0),0)</f>
        <v/>
      </c>
      <c r="V20">
        <f>IF(V$4=1,IF(OR(INDEX('×入力'!$A$1:$L$1300,287+V$3,2+V$2)&lt;&gt;"",INDEX('×入力'!$A$1:$L$1300,286,2+V$2)&lt;&gt;"",INDEX('×入力'!$A$1:$L$1300,287+V$3,1)&lt;&gt;""),1,0),0)</f>
        <v/>
      </c>
      <c r="W20">
        <f>IF(W$4=1,IF(OR(INDEX('×入力'!$A$1:$L$1300,287+W$3,2+W$2)&lt;&gt;"",INDEX('×入力'!$A$1:$L$1300,286,2+W$2)&lt;&gt;"",INDEX('×入力'!$A$1:$L$1300,287+W$3,1)&lt;&gt;""),1,0),0)</f>
        <v/>
      </c>
      <c r="X20">
        <f>IF(X$4=1,IF(OR(INDEX('×入力'!$A$1:$L$1300,287+X$3,2+X$2)&lt;&gt;"",INDEX('×入力'!$A$1:$L$1300,286,2+X$2)&lt;&gt;"",INDEX('×入力'!$A$1:$L$1300,287+X$3,1)&lt;&gt;""),1,0),0)</f>
        <v/>
      </c>
      <c r="Y20">
        <f>IF(Y$4=1,IF(OR(INDEX('×入力'!$A$1:$L$1300,287+Y$3,2+Y$2)&lt;&gt;"",INDEX('×入力'!$A$1:$L$1300,286,2+Y$2)&lt;&gt;"",INDEX('×入力'!$A$1:$L$1300,287+Y$3,1)&lt;&gt;""),1,0),0)</f>
        <v/>
      </c>
      <c r="Z20">
        <f>IF(Z$4=1,IF(OR(INDEX('×入力'!$A$1:$L$1300,287+Z$3,2+Z$2)&lt;&gt;"",INDEX('×入力'!$A$1:$L$1300,286,2+Z$2)&lt;&gt;"",INDEX('×入力'!$A$1:$L$1300,287+Z$3,1)&lt;&gt;""),1,0),0)</f>
        <v/>
      </c>
      <c r="AA20">
        <f>IF(AA$4=1,IF(OR(INDEX('×入力'!$A$1:$L$1300,287+AA$3,2+AA$2)&lt;&gt;"",INDEX('×入力'!$A$1:$L$1300,286,2+AA$2)&lt;&gt;"",INDEX('×入力'!$A$1:$L$1300,287+AA$3,1)&lt;&gt;""),1,0),0)</f>
        <v/>
      </c>
      <c r="AB20">
        <f>IF(AB$4=1,IF(OR(INDEX('×入力'!$A$1:$L$1300,287+AB$3,2+AB$2)&lt;&gt;"",INDEX('×入力'!$A$1:$L$1300,286,2+AB$2)&lt;&gt;"",INDEX('×入力'!$A$1:$L$1300,287+AB$3,1)&lt;&gt;""),1,0),0)</f>
        <v/>
      </c>
      <c r="AC20">
        <f>IF(AC$4=1,IF(OR(INDEX('×入力'!$A$1:$L$1300,287+AC$3,2+AC$2)&lt;&gt;"",INDEX('×入力'!$A$1:$L$1300,286,2+AC$2)&lt;&gt;"",INDEX('×入力'!$A$1:$L$1300,287+AC$3,1)&lt;&gt;""),1,0),0)</f>
        <v/>
      </c>
      <c r="AD20">
        <f>IF(AD$4=1,IF(OR(INDEX('×入力'!$A$1:$L$1300,287+AD$3,2+AD$2)&lt;&gt;"",INDEX('×入力'!$A$1:$L$1300,286,2+AD$2)&lt;&gt;"",INDEX('×入力'!$A$1:$L$1300,287+AD$3,1)&lt;&gt;""),1,0),0)</f>
        <v/>
      </c>
      <c r="AE20">
        <f>IF(AE$4=1,IF(OR(INDEX('×入力'!$A$1:$L$1300,287+AE$3,2+AE$2)&lt;&gt;"",INDEX('×入力'!$A$1:$L$1300,286,2+AE$2)&lt;&gt;"",INDEX('×入力'!$A$1:$L$1300,287+AE$3,1)&lt;&gt;""),1,0),0)</f>
        <v/>
      </c>
      <c r="AF20">
        <f>IF(AF$4=1,IF(OR(INDEX('×入力'!$A$1:$L$1300,287+AF$3,2+AF$2)&lt;&gt;"",INDEX('×入力'!$A$1:$L$1300,286,2+AF$2)&lt;&gt;"",INDEX('×入力'!$A$1:$L$1300,287+AF$3,1)&lt;&gt;""),1,0),0)</f>
        <v/>
      </c>
      <c r="AG20">
        <f>IF(AG$4=1,IF(OR(INDEX('×入力'!$A$1:$L$1300,287+AG$3,2+AG$2)&lt;&gt;"",INDEX('×入力'!$A$1:$L$1300,286,2+AG$2)&lt;&gt;"",INDEX('×入力'!$A$1:$L$1300,287+AG$3,1)&lt;&gt;""),1,0),0)</f>
        <v/>
      </c>
      <c r="AH20">
        <f>IF(AH$4=1,IF(OR(INDEX('×入力'!$A$1:$L$1300,287+AH$3,2+AH$2)&lt;&gt;"",INDEX('×入力'!$A$1:$L$1300,286,2+AH$2)&lt;&gt;"",INDEX('×入力'!$A$1:$L$1300,287+AH$3,1)&lt;&gt;""),1,0),0)</f>
        <v/>
      </c>
      <c r="AI20">
        <f>IF(AI$4=1,IF(OR(INDEX('×入力'!$A$1:$L$1300,287+AI$3,2+AI$2)&lt;&gt;"",INDEX('×入力'!$A$1:$L$1300,286,2+AI$2)&lt;&gt;"",INDEX('×入力'!$A$1:$L$1300,287+AI$3,1)&lt;&gt;""),1,0),0)</f>
        <v/>
      </c>
      <c r="AJ20">
        <f>IF(AJ$4=1,IF(OR(INDEX('×入力'!$A$1:$L$1300,287+AJ$3,2+AJ$2)&lt;&gt;"",INDEX('×入力'!$A$1:$L$1300,286,2+AJ$2)&lt;&gt;"",INDEX('×入力'!$A$1:$L$1300,287+AJ$3,1)&lt;&gt;""),1,0),0)</f>
        <v/>
      </c>
      <c r="AK20">
        <f>IF(AK$4=1,IF(OR(INDEX('×入力'!$A$1:$L$1300,287+AK$3,2+AK$2)&lt;&gt;"",INDEX('×入力'!$A$1:$L$1300,286,2+AK$2)&lt;&gt;"",INDEX('×入力'!$A$1:$L$1300,287+AK$3,1)&lt;&gt;""),1,0),0)</f>
        <v/>
      </c>
      <c r="AL20">
        <f>IF(AL$4=1,IF(OR(INDEX('×入力'!$A$1:$L$1300,287+AL$3,2+AL$2)&lt;&gt;"",INDEX('×入力'!$A$1:$L$1300,286,2+AL$2)&lt;&gt;"",INDEX('×入力'!$A$1:$L$1300,287+AL$3,1)&lt;&gt;""),1,0),0)</f>
        <v/>
      </c>
      <c r="AM20">
        <f>IF(AM$4=1,IF(OR(INDEX('×入力'!$A$1:$L$1300,287+AM$3,2+AM$2)&lt;&gt;"",INDEX('×入力'!$A$1:$L$1300,286,2+AM$2)&lt;&gt;"",INDEX('×入力'!$A$1:$L$1300,287+AM$3,1)&lt;&gt;""),1,0),0)</f>
        <v/>
      </c>
      <c r="AN20">
        <f>IF(AN$4=1,IF(OR(INDEX('×入力'!$A$1:$L$1300,287+AN$3,2+AN$2)&lt;&gt;"",INDEX('×入力'!$A$1:$L$1300,286,2+AN$2)&lt;&gt;"",INDEX('×入力'!$A$1:$L$1300,287+AN$3,1)&lt;&gt;""),1,0),0)</f>
        <v/>
      </c>
      <c r="AO20">
        <f>IF(AO$4=1,IF(OR(INDEX('×入力'!$A$1:$L$1300,287+AO$3,2+AO$2)&lt;&gt;"",INDEX('×入力'!$A$1:$L$1300,286,2+AO$2)&lt;&gt;"",INDEX('×入力'!$A$1:$L$1300,287+AO$3,1)&lt;&gt;""),1,0),0)</f>
        <v/>
      </c>
      <c r="AP20">
        <f>IF(AP$4=1,IF(OR(INDEX('×入力'!$A$1:$L$1300,287+AP$3,2+AP$2)&lt;&gt;"",INDEX('×入力'!$A$1:$L$1300,286,2+AP$2)&lt;&gt;"",INDEX('×入力'!$A$1:$L$1300,287+AP$3,1)&lt;&gt;""),1,0),0)</f>
        <v/>
      </c>
      <c r="AQ20">
        <f>IF(AQ$4=1,IF(OR(INDEX('×入力'!$A$1:$L$1300,287+AQ$3,2+AQ$2)&lt;&gt;"",INDEX('×入力'!$A$1:$L$1300,286,2+AQ$2)&lt;&gt;"",INDEX('×入力'!$A$1:$L$1300,287+AQ$3,1)&lt;&gt;""),1,0),0)</f>
        <v/>
      </c>
      <c r="AR20">
        <f>IF(AR$4=1,IF(OR(INDEX('×入力'!$A$1:$L$1300,287+AR$3,2+AR$2)&lt;&gt;"",INDEX('×入力'!$A$1:$L$1300,286,2+AR$2)&lt;&gt;"",INDEX('×入力'!$A$1:$L$1300,287+AR$3,1)&lt;&gt;""),1,0),0)</f>
        <v/>
      </c>
      <c r="AS20">
        <f>IF(AS$4=1,IF(OR(INDEX('×入力'!$A$1:$L$1300,287+AS$3,2+AS$2)&lt;&gt;"",INDEX('×入力'!$A$1:$L$1300,286,2+AS$2)&lt;&gt;"",INDEX('×入力'!$A$1:$L$1300,287+AS$3,1)&lt;&gt;""),1,0),0)</f>
        <v/>
      </c>
      <c r="AT20">
        <f>IF(AT$4=1,IF(OR(INDEX('×入力'!$A$1:$L$1300,287+AT$3,2+AT$2)&lt;&gt;"",INDEX('×入力'!$A$1:$L$1300,286,2+AT$2)&lt;&gt;"",INDEX('×入力'!$A$1:$L$1300,287+AT$3,1)&lt;&gt;""),1,0),0)</f>
        <v/>
      </c>
      <c r="AU20">
        <f>IF(AU$4=1,IF(OR(INDEX('×入力'!$A$1:$L$1300,287+AU$3,2+AU$2)&lt;&gt;"",INDEX('×入力'!$A$1:$L$1300,286,2+AU$2)&lt;&gt;"",INDEX('×入力'!$A$1:$L$1300,287+AU$3,1)&lt;&gt;""),1,0),0)</f>
        <v/>
      </c>
      <c r="AV20">
        <f>IF(AV$4=1,IF(OR(INDEX('×入力'!$A$1:$L$1300,287+AV$3,2+AV$2)&lt;&gt;"",INDEX('×入力'!$A$1:$L$1300,286,2+AV$2)&lt;&gt;"",INDEX('×入力'!$A$1:$L$1300,287+AV$3,1)&lt;&gt;""),1,0),0)</f>
        <v/>
      </c>
      <c r="AW20">
        <f>IF(AW$4=1,IF(OR(INDEX('×入力'!$A$1:$L$1300,287+AW$3,2+AW$2)&lt;&gt;"",INDEX('×入力'!$A$1:$L$1300,286,2+AW$2)&lt;&gt;"",INDEX('×入力'!$A$1:$L$1300,287+AW$3,1)&lt;&gt;""),1,0),0)</f>
        <v/>
      </c>
      <c r="AX20">
        <f>IF(AX$4=1,IF(OR(INDEX('×入力'!$A$1:$L$1300,287+AX$3,2+AX$2)&lt;&gt;"",INDEX('×入力'!$A$1:$L$1300,286,2+AX$2)&lt;&gt;"",INDEX('×入力'!$A$1:$L$1300,287+AX$3,1)&lt;&gt;""),1,0),0)</f>
        <v/>
      </c>
      <c r="AY20">
        <f>IF(AY$4=1,IF(OR(INDEX('×入力'!$A$1:$L$1300,287+AY$3,2+AY$2)&lt;&gt;"",INDEX('×入力'!$A$1:$L$1300,286,2+AY$2)&lt;&gt;"",INDEX('×入力'!$A$1:$L$1300,287+AY$3,1)&lt;&gt;""),1,0),0)</f>
        <v/>
      </c>
      <c r="AZ20">
        <f>IF(AZ$4=1,IF(OR(INDEX('×入力'!$A$1:$L$1300,287+AZ$3,2+AZ$2)&lt;&gt;"",INDEX('×入力'!$A$1:$L$1300,286,2+AZ$2)&lt;&gt;"",INDEX('×入力'!$A$1:$L$1300,287+AZ$3,1)&lt;&gt;""),1,0),0)</f>
        <v/>
      </c>
      <c r="BA20">
        <f>IF(BA$4=1,IF(OR(INDEX('×入力'!$A$1:$L$1300,287+BA$3,2+BA$2)&lt;&gt;"",INDEX('×入力'!$A$1:$L$1300,286,2+BA$2)&lt;&gt;"",INDEX('×入力'!$A$1:$L$1300,287+BA$3,1)&lt;&gt;""),1,0),0)</f>
        <v/>
      </c>
      <c r="BB20">
        <f>IF(BB$4=1,IF(OR(INDEX('×入力'!$A$1:$L$1300,287+BB$3,2+BB$2)&lt;&gt;"",INDEX('×入力'!$A$1:$L$1300,286,2+BB$2)&lt;&gt;"",INDEX('×入力'!$A$1:$L$1300,287+BB$3,1)&lt;&gt;""),1,0),0)</f>
        <v/>
      </c>
      <c r="BC20">
        <f>IF(BC$4=1,IF(OR(INDEX('×入力'!$A$1:$L$1300,287+BC$3,2+BC$2)&lt;&gt;"",INDEX('×入力'!$A$1:$L$1300,286,2+BC$2)&lt;&gt;"",INDEX('×入力'!$A$1:$L$1300,287+BC$3,1)&lt;&gt;""),1,0),0)</f>
        <v/>
      </c>
      <c r="BD20">
        <f>IF(BD$4=1,IF(OR(INDEX('×入力'!$A$1:$L$1300,287+BD$3,2+BD$2)&lt;&gt;"",INDEX('×入力'!$A$1:$L$1300,286,2+BD$2)&lt;&gt;"",INDEX('×入力'!$A$1:$L$1300,287+BD$3,1)&lt;&gt;""),1,0),0)</f>
        <v/>
      </c>
      <c r="BE20">
        <f>IF(BE$4=1,IF(OR(INDEX('×入力'!$A$1:$L$1300,287+BE$3,2+BE$2)&lt;&gt;"",INDEX('×入力'!$A$1:$L$1300,286,2+BE$2)&lt;&gt;"",INDEX('×入力'!$A$1:$L$1300,287+BE$3,1)&lt;&gt;""),1,0),0)</f>
        <v/>
      </c>
      <c r="BF20">
        <f>IF(BF$4=1,IF(OR(INDEX('×入力'!$A$1:$L$1300,287+BF$3,2+BF$2)&lt;&gt;"",INDEX('×入力'!$A$1:$L$1300,286,2+BF$2)&lt;&gt;"",INDEX('×入力'!$A$1:$L$1300,287+BF$3,1)&lt;&gt;""),1,0),0)</f>
        <v/>
      </c>
      <c r="BG20">
        <f>IF(BG$4=1,IF(OR(INDEX('×入力'!$A$1:$L$1300,287+BG$3,2+BG$2)&lt;&gt;"",INDEX('×入力'!$A$1:$L$1300,286,2+BG$2)&lt;&gt;"",INDEX('×入力'!$A$1:$L$1300,287+BG$3,1)&lt;&gt;""),1,0),0)</f>
        <v/>
      </c>
      <c r="BH20">
        <f>IF(BH$4=1,IF(OR(INDEX('×入力'!$A$1:$L$1300,287+BH$3,2+BH$2)&lt;&gt;"",INDEX('×入力'!$A$1:$L$1300,286,2+BH$2)&lt;&gt;"",INDEX('×入力'!$A$1:$L$1300,287+BH$3,1)&lt;&gt;""),1,0),0)</f>
        <v/>
      </c>
      <c r="BI20">
        <f>IF(BI$4=1,IF(OR(INDEX('×入力'!$A$1:$L$1300,287+BI$3,2+BI$2)&lt;&gt;"",INDEX('×入力'!$A$1:$L$1300,286,2+BI$2)&lt;&gt;"",INDEX('×入力'!$A$1:$L$1300,287+BI$3,1)&lt;&gt;""),1,0),0)</f>
        <v/>
      </c>
      <c r="BJ20">
        <f>IF(BJ$4=1,IF(OR(INDEX('×入力'!$A$1:$L$1300,287+BJ$3,2+BJ$2)&lt;&gt;"",INDEX('×入力'!$A$1:$L$1300,286,2+BJ$2)&lt;&gt;"",INDEX('×入力'!$A$1:$L$1300,287+BJ$3,1)&lt;&gt;""),1,0),0)</f>
        <v/>
      </c>
      <c r="BK20">
        <f>IF(BK$4=1,IF(OR(INDEX('×入力'!$A$1:$L$1300,287+BK$3,2+BK$2)&lt;&gt;"",INDEX('×入力'!$A$1:$L$1300,286,2+BK$2)&lt;&gt;"",INDEX('×入力'!$A$1:$L$1300,287+BK$3,1)&lt;&gt;""),1,0),0)</f>
        <v/>
      </c>
      <c r="BL20">
        <f>IF(BL$4=1,IF(OR(INDEX('×入力'!$A$1:$L$1300,287+BL$3,2+BL$2)&lt;&gt;"",INDEX('×入力'!$A$1:$L$1300,286,2+BL$2)&lt;&gt;"",INDEX('×入力'!$A$1:$L$1300,287+BL$3,1)&lt;&gt;""),1,0),0)</f>
        <v/>
      </c>
      <c r="BM20">
        <f>IF(BM$4=1,IF(OR(INDEX('×入力'!$A$1:$L$1300,287+BM$3,2+BM$2)&lt;&gt;"",INDEX('×入力'!$A$1:$L$1300,286,2+BM$2)&lt;&gt;"",INDEX('×入力'!$A$1:$L$1300,287+BM$3,1)&lt;&gt;""),1,0),0)</f>
        <v/>
      </c>
      <c r="BN20">
        <f>IF(BN$4=1,IF(OR(INDEX('×入力'!$A$1:$L$1300,287+BN$3,2+BN$2)&lt;&gt;"",INDEX('×入力'!$A$1:$L$1300,286,2+BN$2)&lt;&gt;"",INDEX('×入力'!$A$1:$L$1300,287+BN$3,1)&lt;&gt;""),1,0),0)</f>
        <v/>
      </c>
      <c r="BO20">
        <f>IF(BO$4=1,IF(OR(INDEX('×入力'!$A$1:$L$1300,287+BO$3,2+BO$2)&lt;&gt;"",INDEX('×入力'!$A$1:$L$1300,286,2+BO$2)&lt;&gt;"",INDEX('×入力'!$A$1:$L$1300,287+BO$3,1)&lt;&gt;""),1,0),0)</f>
        <v/>
      </c>
      <c r="BP20">
        <f>IF(BP$4=1,IF(OR(INDEX('×入力'!$A$1:$L$1300,287+BP$3,2+BP$2)&lt;&gt;"",INDEX('×入力'!$A$1:$L$1300,286,2+BP$2)&lt;&gt;"",INDEX('×入力'!$A$1:$L$1300,287+BP$3,1)&lt;&gt;""),1,0),0)</f>
        <v/>
      </c>
      <c r="BQ20">
        <f>IF(BQ$4=1,IF(OR(INDEX('×入力'!$A$1:$L$1300,287+BQ$3,2+BQ$2)&lt;&gt;"",INDEX('×入力'!$A$1:$L$1300,286,2+BQ$2)&lt;&gt;"",INDEX('×入力'!$A$1:$L$1300,287+BQ$3,1)&lt;&gt;""),1,0),0)</f>
        <v/>
      </c>
      <c r="BR20">
        <f>IF(BR$4=1,IF(OR(INDEX('×入力'!$A$1:$L$1300,287+BR$3,2+BR$2)&lt;&gt;"",INDEX('×入力'!$A$1:$L$1300,286,2+BR$2)&lt;&gt;"",INDEX('×入力'!$A$1:$L$1300,287+BR$3,1)&lt;&gt;""),1,0),0)</f>
        <v/>
      </c>
      <c r="BS20">
        <f>IF(BS$4=1,IF(OR(INDEX('×入力'!$A$1:$L$1300,287+BS$3,2+BS$2)&lt;&gt;"",INDEX('×入力'!$A$1:$L$1300,286,2+BS$2)&lt;&gt;"",INDEX('×入力'!$A$1:$L$1300,287+BS$3,1)&lt;&gt;""),1,0),0)</f>
        <v/>
      </c>
      <c r="BT20">
        <f>IF(BT$4=1,IF(OR(INDEX('×入力'!$A$1:$L$1300,287+BT$3,2+BT$2)&lt;&gt;"",INDEX('×入力'!$A$1:$L$1300,286,2+BT$2)&lt;&gt;"",INDEX('×入力'!$A$1:$L$1300,287+BT$3,1)&lt;&gt;""),1,0),0)</f>
        <v/>
      </c>
      <c r="BU20">
        <f>IF(BU$4=1,IF(OR(INDEX('×入力'!$A$1:$L$1300,287+BU$3,2+BU$2)&lt;&gt;"",INDEX('×入力'!$A$1:$L$1300,286,2+BU$2)&lt;&gt;"",INDEX('×入力'!$A$1:$L$1300,287+BU$3,1)&lt;&gt;""),1,0),0)</f>
        <v/>
      </c>
      <c r="BV20">
        <f>IF(BV$4=1,IF(OR(INDEX('×入力'!$A$1:$L$1300,287+BV$3,2+BV$2)&lt;&gt;"",INDEX('×入力'!$A$1:$L$1300,286,2+BV$2)&lt;&gt;"",INDEX('×入力'!$A$1:$L$1300,287+BV$3,1)&lt;&gt;""),1,0),0)</f>
        <v/>
      </c>
      <c r="BW20">
        <f>IF(BW$4=1,IF(OR(INDEX('×入力'!$A$1:$L$1300,287+BW$3,2+BW$2)&lt;&gt;"",INDEX('×入力'!$A$1:$L$1300,286,2+BW$2)&lt;&gt;"",INDEX('×入力'!$A$1:$L$1300,287+BW$3,1)&lt;&gt;""),1,0),0)</f>
        <v/>
      </c>
      <c r="BX20">
        <f>IF(BX$4=1,IF(OR(INDEX('×入力'!$A$1:$L$1300,287+BX$3,2+BX$2)&lt;&gt;"",INDEX('×入力'!$A$1:$L$1300,286,2+BX$2)&lt;&gt;"",INDEX('×入力'!$A$1:$L$1300,287+BX$3,1)&lt;&gt;""),1,0),0)</f>
        <v/>
      </c>
      <c r="BY20">
        <f>IF(BY$4=1,IF(OR(INDEX('×入力'!$A$1:$L$1300,287+BY$3,2+BY$2)&lt;&gt;"",INDEX('×入力'!$A$1:$L$1300,286,2+BY$2)&lt;&gt;"",INDEX('×入力'!$A$1:$L$1300,287+BY$3,1)&lt;&gt;""),1,0),0)</f>
        <v/>
      </c>
      <c r="BZ20">
        <f>IF(BZ$4=1,IF(OR(INDEX('×入力'!$A$1:$L$1300,287+BZ$3,2+BZ$2)&lt;&gt;"",INDEX('×入力'!$A$1:$L$1300,286,2+BZ$2)&lt;&gt;"",INDEX('×入力'!$A$1:$L$1300,287+BZ$3,1)&lt;&gt;""),1,0),0)</f>
        <v/>
      </c>
      <c r="CA20">
        <f>IF(CA$4=1,IF(OR(INDEX('×入力'!$A$1:$L$1300,287+CA$3,2+CA$2)&lt;&gt;"",INDEX('×入力'!$A$1:$L$1300,286,2+CA$2)&lt;&gt;"",INDEX('×入力'!$A$1:$L$1300,287+CA$3,1)&lt;&gt;""),1,0),0)</f>
        <v/>
      </c>
      <c r="CB20">
        <f>IF(CB$4=1,IF(OR(INDEX('×入力'!$A$1:$L$1300,287+CB$3,2+CB$2)&lt;&gt;"",INDEX('×入力'!$A$1:$L$1300,286,2+CB$2)&lt;&gt;"",INDEX('×入力'!$A$1:$L$1300,287+CB$3,1)&lt;&gt;""),1,0),0)</f>
        <v/>
      </c>
      <c r="CC20">
        <f>IF(CC$4=1,IF(OR(INDEX('×入力'!$A$1:$L$1300,287+CC$3,2+CC$2)&lt;&gt;"",INDEX('×入力'!$A$1:$L$1300,286,2+CC$2)&lt;&gt;"",INDEX('×入力'!$A$1:$L$1300,287+CC$3,1)&lt;&gt;""),1,0),0)</f>
        <v/>
      </c>
      <c r="CD20">
        <f>IF(CD$4=1,IF(OR(INDEX('×入力'!$A$1:$L$1300,287+CD$3,2+CD$2)&lt;&gt;"",INDEX('×入力'!$A$1:$L$1300,286,2+CD$2)&lt;&gt;"",INDEX('×入力'!$A$1:$L$1300,287+CD$3,1)&lt;&gt;""),1,0),0)</f>
        <v/>
      </c>
      <c r="CE20">
        <f>IF(CE$4=1,IF(OR(INDEX('×入力'!$A$1:$L$1300,287+CE$3,2+CE$2)&lt;&gt;"",INDEX('×入力'!$A$1:$L$1300,286,2+CE$2)&lt;&gt;"",INDEX('×入力'!$A$1:$L$1300,287+CE$3,1)&lt;&gt;""),1,0),0)</f>
        <v/>
      </c>
      <c r="CF20">
        <f>IF(CF$4=1,IF(OR(INDEX('×入力'!$A$1:$L$1300,287+CF$3,2+CF$2)&lt;&gt;"",INDEX('×入力'!$A$1:$L$1300,286,2+CF$2)&lt;&gt;"",INDEX('×入力'!$A$1:$L$1300,287+CF$3,1)&lt;&gt;""),1,0),0)</f>
        <v/>
      </c>
      <c r="CG20">
        <f>IF(CG$4=1,IF(OR(INDEX('×入力'!$A$1:$L$1300,287+CG$3,2+CG$2)&lt;&gt;"",INDEX('×入力'!$A$1:$L$1300,286,2+CG$2)&lt;&gt;"",INDEX('×入力'!$A$1:$L$1300,287+CG$3,1)&lt;&gt;""),1,0),0)</f>
        <v/>
      </c>
      <c r="CH20">
        <f>IF(CH$4=1,IF(OR(INDEX('×入力'!$A$1:$L$1300,287+CH$3,2+CH$2)&lt;&gt;"",INDEX('×入力'!$A$1:$L$1300,286,2+CH$2)&lt;&gt;"",INDEX('×入力'!$A$1:$L$1300,287+CH$3,1)&lt;&gt;""),1,0),0)</f>
        <v/>
      </c>
      <c r="CI20">
        <f>IF(CI$4=1,IF(OR(INDEX('×入力'!$A$1:$L$1300,287+CI$3,2+CI$2)&lt;&gt;"",INDEX('×入力'!$A$1:$L$1300,286,2+CI$2)&lt;&gt;"",INDEX('×入力'!$A$1:$L$1300,287+CI$3,1)&lt;&gt;""),1,0),0)</f>
        <v/>
      </c>
      <c r="CJ20">
        <f>IF(CJ$4=1,IF(OR(INDEX('×入力'!$A$1:$L$1300,287+CJ$3,2+CJ$2)&lt;&gt;"",INDEX('×入力'!$A$1:$L$1300,286,2+CJ$2)&lt;&gt;"",INDEX('×入力'!$A$1:$L$1300,287+CJ$3,1)&lt;&gt;""),1,0),0)</f>
        <v/>
      </c>
      <c r="CK20">
        <f>IF(CK$4=1,IF(OR(INDEX('×入力'!$A$1:$L$1300,287+CK$3,2+CK$2)&lt;&gt;"",INDEX('×入力'!$A$1:$L$1300,286,2+CK$2)&lt;&gt;"",INDEX('×入力'!$A$1:$L$1300,287+CK$3,1)&lt;&gt;""),1,0),0)</f>
        <v/>
      </c>
      <c r="CL20">
        <f>IF(CL$4=1,IF(OR(INDEX('×入力'!$A$1:$L$1300,287+CL$3,2+CL$2)&lt;&gt;"",INDEX('×入力'!$A$1:$L$1300,286,2+CL$2)&lt;&gt;"",INDEX('×入力'!$A$1:$L$1300,287+CL$3,1)&lt;&gt;""),1,0),0)</f>
        <v/>
      </c>
      <c r="CM20">
        <f>IF(CM$4=1,IF(OR(INDEX('×入力'!$A$1:$L$1300,287+CM$3,2+CM$2)&lt;&gt;"",INDEX('×入力'!$A$1:$L$1300,286,2+CM$2)&lt;&gt;"",INDEX('×入力'!$A$1:$L$1300,287+CM$3,1)&lt;&gt;""),1,0),0)</f>
        <v/>
      </c>
      <c r="CN20">
        <f>IF(CN$4=1,IF(OR(INDEX('×入力'!$A$1:$L$1300,287+CN$3,2+CN$2)&lt;&gt;"",INDEX('×入力'!$A$1:$L$1300,286,2+CN$2)&lt;&gt;"",INDEX('×入力'!$A$1:$L$1300,287+CN$3,1)&lt;&gt;""),1,0),0)</f>
        <v/>
      </c>
      <c r="CO20">
        <f>IF(CO$4=1,IF(OR(INDEX('×入力'!$A$1:$L$1300,287+CO$3,2+CO$2)&lt;&gt;"",INDEX('×入力'!$A$1:$L$1300,286,2+CO$2)&lt;&gt;"",INDEX('×入力'!$A$1:$L$1300,287+CO$3,1)&lt;&gt;""),1,0),0)</f>
        <v/>
      </c>
      <c r="CP20">
        <f>IF(CP$4=1,IF(OR(INDEX('×入力'!$A$1:$L$1300,287+CP$3,2+CP$2)&lt;&gt;"",INDEX('×入力'!$A$1:$L$1300,286,2+CP$2)&lt;&gt;"",INDEX('×入力'!$A$1:$L$1300,287+CP$3,1)&lt;&gt;""),1,0),0)</f>
        <v/>
      </c>
      <c r="CQ20">
        <f>IF(CQ$4=1,IF(OR(INDEX('×入力'!$A$1:$L$1300,287+CQ$3,2+CQ$2)&lt;&gt;"",INDEX('×入力'!$A$1:$L$1300,286,2+CQ$2)&lt;&gt;"",INDEX('×入力'!$A$1:$L$1300,287+CQ$3,1)&lt;&gt;""),1,0),0)</f>
        <v/>
      </c>
      <c r="CR20">
        <f>IF(CR$4=1,IF(OR(INDEX('×入力'!$A$1:$L$1300,287+CR$3,2+CR$2)&lt;&gt;"",INDEX('×入力'!$A$1:$L$1300,286,2+CR$2)&lt;&gt;"",INDEX('×入力'!$A$1:$L$1300,287+CR$3,1)&lt;&gt;""),1,0),0)</f>
        <v/>
      </c>
      <c r="CS20">
        <f>IF(CS$4=1,IF(OR(INDEX('×入力'!$A$1:$L$1300,287+CS$3,2+CS$2)&lt;&gt;"",INDEX('×入力'!$A$1:$L$1300,286,2+CS$2)&lt;&gt;"",INDEX('×入力'!$A$1:$L$1300,287+CS$3,1)&lt;&gt;""),1,0),0)</f>
        <v/>
      </c>
      <c r="CT20">
        <f>IF(CT$4=1,IF(OR(INDEX('×入力'!$A$1:$L$1300,287+CT$3,2+CT$2)&lt;&gt;"",INDEX('×入力'!$A$1:$L$1300,286,2+CT$2)&lt;&gt;"",INDEX('×入力'!$A$1:$L$1300,287+CT$3,1)&lt;&gt;""),1,0),0)</f>
        <v/>
      </c>
      <c r="CU20">
        <f>IF(CU$4=1,IF(OR(INDEX('×入力'!$A$1:$L$1300,287+CU$3,2+CU$2)&lt;&gt;"",INDEX('×入力'!$A$1:$L$1300,286,2+CU$2)&lt;&gt;"",INDEX('×入力'!$A$1:$L$1300,287+CU$3,1)&lt;&gt;""),1,0),0)</f>
        <v/>
      </c>
      <c r="CV20">
        <f>IF(CV$4=1,IF(OR(INDEX('×入力'!$A$1:$L$1300,287+CV$3,2+CV$2)&lt;&gt;"",INDEX('×入力'!$A$1:$L$1300,286,2+CV$2)&lt;&gt;"",INDEX('×入力'!$A$1:$L$1300,287+CV$3,1)&lt;&gt;""),1,0),0)</f>
        <v/>
      </c>
      <c r="CW20">
        <f>IF(CW$4=1,IF(OR(INDEX('×入力'!$A$1:$L$1300,287+CW$3,2+CW$2)&lt;&gt;"",INDEX('×入力'!$A$1:$L$1300,286,2+CW$2)&lt;&gt;"",INDEX('×入力'!$A$1:$L$1300,287+CW$3,1)&lt;&gt;""),1,0),0)</f>
        <v/>
      </c>
      <c r="CX20">
        <f>IF(CX$4=1,IF(OR(INDEX('×入力'!$A$1:$L$1300,287+CX$3,2+CX$2)&lt;&gt;"",INDEX('×入力'!$A$1:$L$1300,286,2+CX$2)&lt;&gt;"",INDEX('×入力'!$A$1:$L$1300,287+CX$3,1)&lt;&gt;""),1,0),0)</f>
        <v/>
      </c>
      <c r="CY20">
        <f>IF(CY$4=1,IF(OR(INDEX('×入力'!$A$1:$L$1300,287+CY$3,2+CY$2)&lt;&gt;"",INDEX('×入力'!$A$1:$L$1300,286,2+CY$2)&lt;&gt;"",INDEX('×入力'!$A$1:$L$1300,287+CY$3,1)&lt;&gt;""),1,0),0)</f>
        <v/>
      </c>
      <c r="CZ20">
        <f>IF(CZ$4=1,IF(OR(INDEX('×入力'!$A$1:$L$1300,287+CZ$3,2+CZ$2)&lt;&gt;"",INDEX('×入力'!$A$1:$L$1300,286,2+CZ$2)&lt;&gt;"",INDEX('×入力'!$A$1:$L$1300,287+CZ$3,1)&lt;&gt;""),1,0),0)</f>
        <v/>
      </c>
      <c r="DA20">
        <f>IF(DA$4=1,IF(OR(INDEX('×入力'!$A$1:$L$1300,287+DA$3,2+DA$2)&lt;&gt;"",INDEX('×入力'!$A$1:$L$1300,286,2+DA$2)&lt;&gt;"",INDEX('×入力'!$A$1:$L$1300,287+DA$3,1)&lt;&gt;""),1,0),0)</f>
        <v/>
      </c>
      <c r="DB20">
        <f>IF(DB$4=1,IF(OR(INDEX('×入力'!$A$1:$L$1300,287+DB$3,2+DB$2)&lt;&gt;"",INDEX('×入力'!$A$1:$L$1300,286,2+DB$2)&lt;&gt;"",INDEX('×入力'!$A$1:$L$1300,287+DB$3,1)&lt;&gt;""),1,0),0)</f>
        <v/>
      </c>
      <c r="DC20">
        <f>IF(DC$4=1,IF(OR(INDEX('×入力'!$A$1:$L$1300,287+DC$3,2+DC$2)&lt;&gt;"",INDEX('×入力'!$A$1:$L$1300,286,2+DC$2)&lt;&gt;"",INDEX('×入力'!$A$1:$L$1300,287+DC$3,1)&lt;&gt;""),1,0),0)</f>
        <v/>
      </c>
      <c r="DD20">
        <f>IF(DD$4=1,IF(OR(INDEX('×入力'!$A$1:$L$1300,287+DD$3,2+DD$2)&lt;&gt;"",INDEX('×入力'!$A$1:$L$1300,286,2+DD$2)&lt;&gt;"",INDEX('×入力'!$A$1:$L$1300,287+DD$3,1)&lt;&gt;""),1,0),0)</f>
        <v/>
      </c>
      <c r="DE20">
        <f>IF(DE$4=1,IF(OR(INDEX('×入力'!$A$1:$L$1300,287+DE$3,2+DE$2)&lt;&gt;"",INDEX('×入力'!$A$1:$L$1300,286,2+DE$2)&lt;&gt;"",INDEX('×入力'!$A$1:$L$1300,287+DE$3,1)&lt;&gt;""),1,0),0)</f>
        <v/>
      </c>
      <c r="DF20">
        <f>IF(DF$4=1,IF(OR(INDEX('×入力'!$A$1:$L$1300,287+DF$3,2+DF$2)&lt;&gt;"",INDEX('×入力'!$A$1:$L$1300,286,2+DF$2)&lt;&gt;"",INDEX('×入力'!$A$1:$L$1300,287+DF$3,1)&lt;&gt;""),1,0),0)</f>
        <v/>
      </c>
      <c r="DG20">
        <f>IF(DG$4=1,IF(OR(INDEX('×入力'!$A$1:$L$1300,287+DG$3,2+DG$2)&lt;&gt;"",INDEX('×入力'!$A$1:$L$1300,286,2+DG$2)&lt;&gt;"",INDEX('×入力'!$A$1:$L$1300,287+DG$3,1)&lt;&gt;""),1,0),0)</f>
        <v/>
      </c>
      <c r="DH20">
        <f>IF(DH$4=1,IF(OR(INDEX('×入力'!$A$1:$L$1300,287+DH$3,2+DH$2)&lt;&gt;"",INDEX('×入力'!$A$1:$L$1300,286,2+DH$2)&lt;&gt;"",INDEX('×入力'!$A$1:$L$1300,287+DH$3,1)&lt;&gt;""),1,0),0)</f>
        <v/>
      </c>
      <c r="DI20">
        <f>IF(DI$4=1,IF(OR(INDEX('×入力'!$A$1:$L$1300,287+DI$3,2+DI$2)&lt;&gt;"",INDEX('×入力'!$A$1:$L$1300,286,2+DI$2)&lt;&gt;"",INDEX('×入力'!$A$1:$L$1300,287+DI$3,1)&lt;&gt;""),1,0),0)</f>
        <v/>
      </c>
      <c r="DJ20">
        <f>IF(DJ$4=1,IF(OR(INDEX('×入力'!$A$1:$L$1300,287+DJ$3,2+DJ$2)&lt;&gt;"",INDEX('×入力'!$A$1:$L$1300,286,2+DJ$2)&lt;&gt;"",INDEX('×入力'!$A$1:$L$1300,287+DJ$3,1)&lt;&gt;""),1,0),0)</f>
        <v/>
      </c>
      <c r="DK20">
        <f>IF(DK$4=1,IF(OR(INDEX('×入力'!$A$1:$L$1300,287+DK$3,2+DK$2)&lt;&gt;"",INDEX('×入力'!$A$1:$L$1300,286,2+DK$2)&lt;&gt;"",INDEX('×入力'!$A$1:$L$1300,287+DK$3,1)&lt;&gt;""),1,0),0)</f>
        <v/>
      </c>
      <c r="DL20">
        <f>IF(DL$4=1,IF(OR(INDEX('×入力'!$A$1:$L$1300,287+DL$3,2+DL$2)&lt;&gt;"",INDEX('×入力'!$A$1:$L$1300,286,2+DL$2)&lt;&gt;"",INDEX('×入力'!$A$1:$L$1300,287+DL$3,1)&lt;&gt;""),1,0),0)</f>
        <v/>
      </c>
      <c r="DM20">
        <f>IF(DM$4=1,IF(OR(INDEX('×入力'!$A$1:$L$1300,287+DM$3,2+DM$2)&lt;&gt;"",INDEX('×入力'!$A$1:$L$1300,286,2+DM$2)&lt;&gt;"",INDEX('×入力'!$A$1:$L$1300,287+DM$3,1)&lt;&gt;""),1,0),0)</f>
        <v/>
      </c>
      <c r="DN20">
        <f>IF(DN$4=1,IF(OR(INDEX('×入力'!$A$1:$L$1300,287+DN$3,2+DN$2)&lt;&gt;"",INDEX('×入力'!$A$1:$L$1300,286,2+DN$2)&lt;&gt;"",INDEX('×入力'!$A$1:$L$1300,287+DN$3,1)&lt;&gt;""),1,0),0)</f>
        <v/>
      </c>
      <c r="DO20">
        <f>IF(DO$4=1,IF(OR(INDEX('×入力'!$A$1:$L$1300,287+DO$3,2+DO$2)&lt;&gt;"",INDEX('×入力'!$A$1:$L$1300,286,2+DO$2)&lt;&gt;"",INDEX('×入力'!$A$1:$L$1300,287+DO$3,1)&lt;&gt;""),1,0),0)</f>
        <v/>
      </c>
      <c r="DP20">
        <f>IF(DP$4=1,IF(OR(INDEX('×入力'!$A$1:$L$1300,287+DP$3,2+DP$2)&lt;&gt;"",INDEX('×入力'!$A$1:$L$1300,286,2+DP$2)&lt;&gt;"",INDEX('×入力'!$A$1:$L$1300,287+DP$3,1)&lt;&gt;""),1,0),0)</f>
        <v/>
      </c>
      <c r="DQ20">
        <f>IF(DQ$4=1,IF(OR(INDEX('×入力'!$A$1:$L$1300,287+DQ$3,2+DQ$2)&lt;&gt;"",INDEX('×入力'!$A$1:$L$1300,286,2+DQ$2)&lt;&gt;"",INDEX('×入力'!$A$1:$L$1300,287+DQ$3,1)&lt;&gt;""),1,0),0)</f>
        <v/>
      </c>
      <c r="DR20">
        <f>IF(DR$4=1,IF(OR(INDEX('×入力'!$A$1:$L$1300,287+DR$3,2+DR$2)&lt;&gt;"",INDEX('×入力'!$A$1:$L$1300,286,2+DR$2)&lt;&gt;"",INDEX('×入力'!$A$1:$L$1300,287+DR$3,1)&lt;&gt;""),1,0),0)</f>
        <v/>
      </c>
      <c r="DS20">
        <f>IF(DS$4=1,IF(OR(INDEX('×入力'!$A$1:$L$1300,287+DS$3,2+DS$2)&lt;&gt;"",INDEX('×入力'!$A$1:$L$1300,286,2+DS$2)&lt;&gt;"",INDEX('×入力'!$A$1:$L$1300,287+DS$3,1)&lt;&gt;""),1,0),0)</f>
        <v/>
      </c>
      <c r="DT20">
        <f>IF(DT$4=1,IF(OR(INDEX('×入力'!$A$1:$L$1300,287+DT$3,2+DT$2)&lt;&gt;"",INDEX('×入力'!$A$1:$L$1300,286,2+DT$2)&lt;&gt;"",INDEX('×入力'!$A$1:$L$1300,287+DT$3,1)&lt;&gt;""),1,0),0)</f>
        <v/>
      </c>
      <c r="DU20">
        <f>IF(DU$4=1,IF(OR(INDEX('×入力'!$A$1:$L$1300,287+DU$3,2+DU$2)&lt;&gt;"",INDEX('×入力'!$A$1:$L$1300,286,2+DU$2)&lt;&gt;"",INDEX('×入力'!$A$1:$L$1300,287+DU$3,1)&lt;&gt;""),1,0),0)</f>
        <v/>
      </c>
      <c r="DV20">
        <f>IF(DV$4=1,IF(OR(INDEX('×入力'!$A$1:$L$1300,287+DV$3,2+DV$2)&lt;&gt;"",INDEX('×入力'!$A$1:$L$1300,286,2+DV$2)&lt;&gt;"",INDEX('×入力'!$A$1:$L$1300,287+DV$3,1)&lt;&gt;""),1,0),0)</f>
        <v/>
      </c>
      <c r="DW20">
        <f>IF(DW$4=1,IF(OR(INDEX('×入力'!$A$1:$L$1300,287+DW$3,2+DW$2)&lt;&gt;"",INDEX('×入力'!$A$1:$L$1300,286,2+DW$2)&lt;&gt;"",INDEX('×入力'!$A$1:$L$1300,287+DW$3,1)&lt;&gt;""),1,0),0)</f>
        <v/>
      </c>
      <c r="DX20">
        <f>IF(DX$4=1,IF(OR(INDEX('×入力'!$A$1:$L$1300,287+DX$3,2+DX$2)&lt;&gt;"",INDEX('×入力'!$A$1:$L$1300,286,2+DX$2)&lt;&gt;"",INDEX('×入力'!$A$1:$L$1300,287+DX$3,1)&lt;&gt;""),1,0),0)</f>
        <v/>
      </c>
      <c r="DY20">
        <f>IF(DY$4=1,IF(OR(INDEX('×入力'!$A$1:$L$1300,287+DY$3,2+DY$2)&lt;&gt;"",INDEX('×入力'!$A$1:$L$1300,286,2+DY$2)&lt;&gt;"",INDEX('×入力'!$A$1:$L$1300,287+DY$3,1)&lt;&gt;""),1,0),0)</f>
        <v/>
      </c>
      <c r="DZ20">
        <f>IF(DZ$4=1,IF(OR(INDEX('×入力'!$A$1:$L$1300,287+DZ$3,2+DZ$2)&lt;&gt;"",INDEX('×入力'!$A$1:$L$1300,286,2+DZ$2)&lt;&gt;"",INDEX('×入力'!$A$1:$L$1300,287+DZ$3,1)&lt;&gt;""),1,0),0)</f>
        <v/>
      </c>
      <c r="EA20">
        <f>IF(EA$4=1,IF(OR(INDEX('×入力'!$A$1:$L$1300,287+EA$3,2+EA$2)&lt;&gt;"",INDEX('×入力'!$A$1:$L$1300,286,2+EA$2)&lt;&gt;"",INDEX('×入力'!$A$1:$L$1300,287+EA$3,1)&lt;&gt;""),1,0),0)</f>
        <v/>
      </c>
      <c r="EB20">
        <f>IF(EB$4=1,IF(OR(INDEX('×入力'!$A$1:$L$1300,287+EB$3,2+EB$2)&lt;&gt;"",INDEX('×入力'!$A$1:$L$1300,286,2+EB$2)&lt;&gt;"",INDEX('×入力'!$A$1:$L$1300,287+EB$3,1)&lt;&gt;""),1,0),0)</f>
        <v/>
      </c>
      <c r="EC20">
        <f>IF(EC$4=1,IF(OR(INDEX('×入力'!$A$1:$L$1300,287+EC$3,2+EC$2)&lt;&gt;"",INDEX('×入力'!$A$1:$L$1300,286,2+EC$2)&lt;&gt;"",INDEX('×入力'!$A$1:$L$1300,287+EC$3,1)&lt;&gt;""),1,0),0)</f>
        <v/>
      </c>
      <c r="ED20">
        <f>IF(ED$4=1,IF(OR(INDEX('×入力'!$A$1:$L$1300,287+ED$3,2+ED$2)&lt;&gt;"",INDEX('×入力'!$A$1:$L$1300,286,2+ED$2)&lt;&gt;"",INDEX('×入力'!$A$1:$L$1300,287+ED$3,1)&lt;&gt;""),1,0),0)</f>
        <v/>
      </c>
      <c r="EE20">
        <f>IF(EE$4=1,IF(OR(INDEX('×入力'!$A$1:$L$1300,287+EE$3,2+EE$2)&lt;&gt;"",INDEX('×入力'!$A$1:$L$1300,286,2+EE$2)&lt;&gt;"",INDEX('×入力'!$A$1:$L$1300,287+EE$3,1)&lt;&gt;""),1,0),0)</f>
        <v/>
      </c>
      <c r="EF20">
        <f>IF(EF$4=1,IF(OR(INDEX('×入力'!$A$1:$L$1300,287+EF$3,2+EF$2)&lt;&gt;"",INDEX('×入力'!$A$1:$L$1300,286,2+EF$2)&lt;&gt;"",INDEX('×入力'!$A$1:$L$1300,287+EF$3,1)&lt;&gt;""),1,0),0)</f>
        <v/>
      </c>
      <c r="EG20">
        <f>IF(EG$4=1,IF(OR(INDEX('×入力'!$A$1:$L$1300,287+EG$3,2+EG$2)&lt;&gt;"",INDEX('×入力'!$A$1:$L$1300,286,2+EG$2)&lt;&gt;"",INDEX('×入力'!$A$1:$L$1300,287+EG$3,1)&lt;&gt;""),1,0),0)</f>
        <v/>
      </c>
      <c r="EH20">
        <f>IF(EH$4=1,IF(OR(INDEX('×入力'!$A$1:$L$1300,287+EH$3,2+EH$2)&lt;&gt;"",INDEX('×入力'!$A$1:$L$1300,286,2+EH$2)&lt;&gt;"",INDEX('×入力'!$A$1:$L$1300,287+EH$3,1)&lt;&gt;""),1,0),0)</f>
        <v/>
      </c>
      <c r="EI20">
        <f>IF(EI$4=1,IF(OR(INDEX('×入力'!$A$1:$L$1300,287+EI$3,2+EI$2)&lt;&gt;"",INDEX('×入力'!$A$1:$L$1300,286,2+EI$2)&lt;&gt;"",INDEX('×入力'!$A$1:$L$1300,287+EI$3,1)&lt;&gt;""),1,0),0)</f>
        <v/>
      </c>
      <c r="EJ20">
        <f>IF(EJ$4=1,IF(OR(INDEX('×入力'!$A$1:$L$1300,287+EJ$3,2+EJ$2)&lt;&gt;"",INDEX('×入力'!$A$1:$L$1300,286,2+EJ$2)&lt;&gt;"",INDEX('×入力'!$A$1:$L$1300,287+EJ$3,1)&lt;&gt;""),1,0),0)</f>
        <v/>
      </c>
      <c r="EK20">
        <f>IF(EK$4=1,IF(OR(INDEX('×入力'!$A$1:$L$1300,287+EK$3,2+EK$2)&lt;&gt;"",INDEX('×入力'!$A$1:$L$1300,286,2+EK$2)&lt;&gt;"",INDEX('×入力'!$A$1:$L$1300,287+EK$3,1)&lt;&gt;""),1,0),0)</f>
        <v/>
      </c>
      <c r="EL20">
        <f>IF(EL$4=1,IF(OR(INDEX('×入力'!$A$1:$L$1300,287+EL$3,2+EL$2)&lt;&gt;"",INDEX('×入力'!$A$1:$L$1300,286,2+EL$2)&lt;&gt;"",INDEX('×入力'!$A$1:$L$1300,287+EL$3,1)&lt;&gt;""),1,0),0)</f>
        <v/>
      </c>
      <c r="EM20">
        <f>IF(EM$4=1,IF(OR(INDEX('×入力'!$A$1:$L$1300,287+EM$3,2+EM$2)&lt;&gt;"",INDEX('×入力'!$A$1:$L$1300,286,2+EM$2)&lt;&gt;"",INDEX('×入力'!$A$1:$L$1300,287+EM$3,1)&lt;&gt;""),1,0),0)</f>
        <v/>
      </c>
      <c r="EN20">
        <f>IF(EN$4=1,IF(OR(INDEX('×入力'!$A$1:$L$1300,287+EN$3,2+EN$2)&lt;&gt;"",INDEX('×入力'!$A$1:$L$1300,286,2+EN$2)&lt;&gt;"",INDEX('×入力'!$A$1:$L$1300,287+EN$3,1)&lt;&gt;""),1,0),0)</f>
        <v/>
      </c>
      <c r="EO20">
        <f>IF(EO$4=1,IF(OR(INDEX('×入力'!$A$1:$L$1300,287+EO$3,2+EO$2)&lt;&gt;"",INDEX('×入力'!$A$1:$L$1300,286,2+EO$2)&lt;&gt;"",INDEX('×入力'!$A$1:$L$1300,287+EO$3,1)&lt;&gt;""),1,0),0)</f>
        <v/>
      </c>
      <c r="EP20">
        <f>IF(EP$4=1,IF(OR(INDEX('×入力'!$A$1:$L$1300,287+EP$3,2+EP$2)&lt;&gt;"",INDEX('×入力'!$A$1:$L$1300,286,2+EP$2)&lt;&gt;"",INDEX('×入力'!$A$1:$L$1300,287+EP$3,1)&lt;&gt;""),1,0),0)</f>
        <v/>
      </c>
      <c r="EQ20">
        <f>IF(EQ$4=1,IF(OR(INDEX('×入力'!$A$1:$L$1300,287+EQ$3,2+EQ$2)&lt;&gt;"",INDEX('×入力'!$A$1:$L$1300,286,2+EQ$2)&lt;&gt;"",INDEX('×入力'!$A$1:$L$1300,287+EQ$3,1)&lt;&gt;""),1,0),0)</f>
        <v/>
      </c>
      <c r="HA20">
        <f>MAX(0,IT20)</f>
        <v/>
      </c>
      <c r="HB20">
        <f>IF(HA20=0,0,INDEX($D$2:$EQ$2,HA20))</f>
        <v/>
      </c>
      <c r="HC20">
        <f>IF(HA20=0,0,INDEX($D$3:$EQ$3,HA20))</f>
        <v/>
      </c>
      <c r="HD20">
        <f>MAX(0,IY20)</f>
        <v/>
      </c>
      <c r="HE20">
        <f>IF(HD20=0,0,INDEX($D$2:$EQ$2,HD20))</f>
        <v/>
      </c>
      <c r="HF20">
        <f>IF(HD20=0,0,INDEX($D$3:$EQ$3,HD20))</f>
        <v/>
      </c>
      <c r="HG20">
        <f>MAX(0,IZ20)</f>
        <v/>
      </c>
      <c r="HH20">
        <f>IF(HG20=0,0,INDEX($D$2:$EQ$2,HG20))</f>
        <v/>
      </c>
      <c r="HI20">
        <f>IF(HG20=0,0,INDEX($D$3:$EQ$3,HG20))</f>
        <v/>
      </c>
      <c r="HJ20">
        <f>IF(AND(HA20&gt;0,HC20&gt;1,OR(HC20-1&lt;&gt;$A$3,$A$4=0)),HA20-1,-1)</f>
        <v/>
      </c>
      <c r="HK20">
        <f>IF(AND(HA20&gt;0,HC20&lt;24,OR(HC20&lt;&gt;$A$3,$A$4=0)),HA20+1,-1)</f>
        <v/>
      </c>
      <c r="HL20">
        <f>IF(AND(HD20&gt;0,HF20&gt;1,OR(HF20-1&lt;&gt;$A$3,$A$4=0)),HD20-1,-1)</f>
        <v/>
      </c>
      <c r="HM20">
        <f>IF(AND(HD20&gt;0,HF20&lt;24,OR(HF20&lt;&gt;$A$3,$A$4=0)),HD20+1,-1)</f>
        <v/>
      </c>
      <c r="HN20">
        <f>IF(AND(HG20&gt;0,HI20&gt;1,OR(HI20-1&lt;&gt;$A$3,$A$4=0)),HG20-1,-1)</f>
        <v/>
      </c>
      <c r="HO20">
        <f>IF(AND(HG20&gt;0,HI20&lt;24,OR(HI20&lt;&gt;$A$3,$A$4=0)),HG20+1,-1)</f>
        <v/>
      </c>
      <c r="IK20">
        <f>IFERROR(INDEX('calcB'!$C$3:$C$47,MATCH(A20,'calcB'!$B$3:$B$47,0)),0)</f>
        <v/>
      </c>
      <c r="IL20">
        <f>IF(AND(C20=1,IK20=0,calcA!$A$6&gt;0),1,0)</f>
        <v/>
      </c>
      <c r="IM20">
        <f>SUMPRODUCT(D70:EQ70*(1-$D$7:$EQ$7))</f>
        <v/>
      </c>
      <c r="IN20">
        <f>SUM(D20:EQ20)</f>
        <v/>
      </c>
      <c r="IO20">
        <f>IF(B20="",0,IF(COUNTIF('調整・決定'!$C$6:$H$29,B20)=1,SUMPRODUCT(('調整・決定'!$C$6:$H$29=B20)*((COLUMN('調整・決定'!$C$6:$H$29)-3)*24+ROW('調整・決定'!$C$6:$H$29)-5)),0))</f>
        <v/>
      </c>
      <c r="IP20">
        <f>IFERROR(MATCH('名簿'!C15,{"早い時刻","遅い時刻","早い日","遅い日"},0),0)</f>
        <v/>
      </c>
      <c r="IQ20">
        <f>IF('名簿'!D15="必ず空けたい",2,IF('名簿'!D15="出来れば空けたい",1,0))</f>
        <v/>
      </c>
      <c r="IR20">
        <f>IFERROR(INDEX('calcC'!$C$3:$C$47,MATCH(A20,'calcC'!$B$3:$B$47,0)),0)</f>
        <v/>
      </c>
      <c r="IS20">
        <f>IF(AND(C20=1,IR20=0,calcA!$A$6&gt;0),1,0)</f>
        <v/>
      </c>
      <c r="IT20">
        <f>IF(OR('名簿'!G15="",'名簿'!H15=""),0,IFERROR((MATCH('名簿'!G15,'設定'!$E$11:$E$16,0)-1)*24+MATCH('名簿'!H15,'設定'!$I$11:$I$34,0),-1))</f>
        <v/>
      </c>
      <c r="IV20">
        <f>IF(OR(JF20=0,IO20=0),1,IF(OR(IF(IT20&gt;0,AND(INDEX($D$2:$EQ$2,IO20)=INDEX($D$2:$EQ$2,IT20),OR(AND(IO20=IT20+1,OR(INDEX($D$3:$EQ$3,IT20)&lt;&gt;$A$3,$A$4=0)),AND(IO20=IT20-1,OR(INDEX($D$3:$EQ$3,IO20)&lt;&gt;$A$3,$A$4=0)))),FALSE),IF(IY20&gt;0,AND(INDEX($D$2:$EQ$2,IO20)=INDEX($D$2:$EQ$2,IY20),OR(AND(IO20=IY20+1,OR(INDEX($D$3:$EQ$3,IY20)&lt;&gt;$A$3,$A$4=0)),AND(IO20=IY20-1,OR(INDEX($D$3:$EQ$3,IO20)&lt;&gt;$A$3,$A$4=0)))),FALSE),IF(IZ20&gt;0,AND(INDEX($D$2:$EQ$2,IO20)=INDEX($D$2:$EQ$2,IZ20),OR(AND(IO20=IZ20+1,OR(INDEX($D$3:$EQ$3,IZ20)&lt;&gt;$A$3,$A$4=0)),AND(IO20=IZ20-1,OR(INDEX($D$3:$EQ$3,IO20)&lt;&gt;$A$3,$A$4=0)))),FALSE)),1,0))</f>
        <v/>
      </c>
      <c r="IW20">
        <f>IF(AND('名簿'!E15&lt;&gt;"",JF20=0),1,0)</f>
        <v/>
      </c>
      <c r="IX20">
        <f>IF('名簿'!D15="空けない",1,0)</f>
        <v/>
      </c>
      <c r="IY20">
        <f>IF(OR('名簿'!J15="",'名簿'!K15=""),0,IFERROR((MATCH('名簿'!J15,'設定'!$E$11:$E$16,0)-1)*24+MATCH('名簿'!K15,'設定'!$I$11:$I$34,0),-1))</f>
        <v/>
      </c>
      <c r="IZ20">
        <f>IF(OR('名簿'!M15="",'名簿'!N15=""),0,IFERROR((MATCH('名簿'!M15,'設定'!$E$11:$E$16,0)-1)*24+MATCH('名簿'!N15,'設定'!$I$11:$I$34,0),-1))</f>
        <v/>
      </c>
      <c r="JC20">
        <f>IF(RIGHT('名簿'!I15,2)="の前",1,IF(RIGHT('名簿'!I15,2)="の後",2,0))</f>
        <v/>
      </c>
      <c r="JD20">
        <f>IF(RIGHT('名簿'!L15,2)="の前",1,IF(RIGHT('名簿'!L15,2)="の後",2,0))</f>
        <v/>
      </c>
      <c r="JE20">
        <f>IF(RIGHT('名簿'!O15,2)="の前",1,IF(RIGHT('名簿'!O15,2)="の後",2,0))</f>
        <v/>
      </c>
      <c r="JF20">
        <f>IF(OR(IT20&gt;0,IY20&gt;0,IZ20&gt;0),1,0)</f>
        <v/>
      </c>
      <c r="JG20">
        <f>IF(OR(IT20&lt;0,IY20&lt;0,IZ20&lt;0),1,0)</f>
        <v/>
      </c>
    </row>
    <row r="21">
      <c r="A21" t="n">
        <v>12</v>
      </c>
      <c r="B21">
        <f>'名簿'!P16</f>
        <v/>
      </c>
      <c r="C21">
        <f>IF(AND(B21&lt;&gt;"",OR('名簿'!Q16="入力済み",'名簿'!Q16="×なし"),IO21=0,COUNTIF('調整・決定'!$C$6:$H$29,B21)=0),1,0)</f>
        <v/>
      </c>
      <c r="D21">
        <f>IF(D$4=1,IF(OR(INDEX('×入力'!$A$1:$L$1300,315+D$3,2+D$2)&lt;&gt;"",INDEX('×入力'!$A$1:$L$1300,314,2+D$2)&lt;&gt;"",INDEX('×入力'!$A$1:$L$1300,315+D$3,1)&lt;&gt;""),1,0),0)</f>
        <v/>
      </c>
      <c r="E21">
        <f>IF(E$4=1,IF(OR(INDEX('×入力'!$A$1:$L$1300,315+E$3,2+E$2)&lt;&gt;"",INDEX('×入力'!$A$1:$L$1300,314,2+E$2)&lt;&gt;"",INDEX('×入力'!$A$1:$L$1300,315+E$3,1)&lt;&gt;""),1,0),0)</f>
        <v/>
      </c>
      <c r="F21">
        <f>IF(F$4=1,IF(OR(INDEX('×入力'!$A$1:$L$1300,315+F$3,2+F$2)&lt;&gt;"",INDEX('×入力'!$A$1:$L$1300,314,2+F$2)&lt;&gt;"",INDEX('×入力'!$A$1:$L$1300,315+F$3,1)&lt;&gt;""),1,0),0)</f>
        <v/>
      </c>
      <c r="G21">
        <f>IF(G$4=1,IF(OR(INDEX('×入力'!$A$1:$L$1300,315+G$3,2+G$2)&lt;&gt;"",INDEX('×入力'!$A$1:$L$1300,314,2+G$2)&lt;&gt;"",INDEX('×入力'!$A$1:$L$1300,315+G$3,1)&lt;&gt;""),1,0),0)</f>
        <v/>
      </c>
      <c r="H21">
        <f>IF(H$4=1,IF(OR(INDEX('×入力'!$A$1:$L$1300,315+H$3,2+H$2)&lt;&gt;"",INDEX('×入力'!$A$1:$L$1300,314,2+H$2)&lt;&gt;"",INDEX('×入力'!$A$1:$L$1300,315+H$3,1)&lt;&gt;""),1,0),0)</f>
        <v/>
      </c>
      <c r="I21">
        <f>IF(I$4=1,IF(OR(INDEX('×入力'!$A$1:$L$1300,315+I$3,2+I$2)&lt;&gt;"",INDEX('×入力'!$A$1:$L$1300,314,2+I$2)&lt;&gt;"",INDEX('×入力'!$A$1:$L$1300,315+I$3,1)&lt;&gt;""),1,0),0)</f>
        <v/>
      </c>
      <c r="J21">
        <f>IF(J$4=1,IF(OR(INDEX('×入力'!$A$1:$L$1300,315+J$3,2+J$2)&lt;&gt;"",INDEX('×入力'!$A$1:$L$1300,314,2+J$2)&lt;&gt;"",INDEX('×入力'!$A$1:$L$1300,315+J$3,1)&lt;&gt;""),1,0),0)</f>
        <v/>
      </c>
      <c r="K21">
        <f>IF(K$4=1,IF(OR(INDEX('×入力'!$A$1:$L$1300,315+K$3,2+K$2)&lt;&gt;"",INDEX('×入力'!$A$1:$L$1300,314,2+K$2)&lt;&gt;"",INDEX('×入力'!$A$1:$L$1300,315+K$3,1)&lt;&gt;""),1,0),0)</f>
        <v/>
      </c>
      <c r="L21">
        <f>IF(L$4=1,IF(OR(INDEX('×入力'!$A$1:$L$1300,315+L$3,2+L$2)&lt;&gt;"",INDEX('×入力'!$A$1:$L$1300,314,2+L$2)&lt;&gt;"",INDEX('×入力'!$A$1:$L$1300,315+L$3,1)&lt;&gt;""),1,0),0)</f>
        <v/>
      </c>
      <c r="M21">
        <f>IF(M$4=1,IF(OR(INDEX('×入力'!$A$1:$L$1300,315+M$3,2+M$2)&lt;&gt;"",INDEX('×入力'!$A$1:$L$1300,314,2+M$2)&lt;&gt;"",INDEX('×入力'!$A$1:$L$1300,315+M$3,1)&lt;&gt;""),1,0),0)</f>
        <v/>
      </c>
      <c r="N21">
        <f>IF(N$4=1,IF(OR(INDEX('×入力'!$A$1:$L$1300,315+N$3,2+N$2)&lt;&gt;"",INDEX('×入力'!$A$1:$L$1300,314,2+N$2)&lt;&gt;"",INDEX('×入力'!$A$1:$L$1300,315+N$3,1)&lt;&gt;""),1,0),0)</f>
        <v/>
      </c>
      <c r="O21">
        <f>IF(O$4=1,IF(OR(INDEX('×入力'!$A$1:$L$1300,315+O$3,2+O$2)&lt;&gt;"",INDEX('×入力'!$A$1:$L$1300,314,2+O$2)&lt;&gt;"",INDEX('×入力'!$A$1:$L$1300,315+O$3,1)&lt;&gt;""),1,0),0)</f>
        <v/>
      </c>
      <c r="P21">
        <f>IF(P$4=1,IF(OR(INDEX('×入力'!$A$1:$L$1300,315+P$3,2+P$2)&lt;&gt;"",INDEX('×入力'!$A$1:$L$1300,314,2+P$2)&lt;&gt;"",INDEX('×入力'!$A$1:$L$1300,315+P$3,1)&lt;&gt;""),1,0),0)</f>
        <v/>
      </c>
      <c r="Q21">
        <f>IF(Q$4=1,IF(OR(INDEX('×入力'!$A$1:$L$1300,315+Q$3,2+Q$2)&lt;&gt;"",INDEX('×入力'!$A$1:$L$1300,314,2+Q$2)&lt;&gt;"",INDEX('×入力'!$A$1:$L$1300,315+Q$3,1)&lt;&gt;""),1,0),0)</f>
        <v/>
      </c>
      <c r="R21">
        <f>IF(R$4=1,IF(OR(INDEX('×入力'!$A$1:$L$1300,315+R$3,2+R$2)&lt;&gt;"",INDEX('×入力'!$A$1:$L$1300,314,2+R$2)&lt;&gt;"",INDEX('×入力'!$A$1:$L$1300,315+R$3,1)&lt;&gt;""),1,0),0)</f>
        <v/>
      </c>
      <c r="S21">
        <f>IF(S$4=1,IF(OR(INDEX('×入力'!$A$1:$L$1300,315+S$3,2+S$2)&lt;&gt;"",INDEX('×入力'!$A$1:$L$1300,314,2+S$2)&lt;&gt;"",INDEX('×入力'!$A$1:$L$1300,315+S$3,1)&lt;&gt;""),1,0),0)</f>
        <v/>
      </c>
      <c r="T21">
        <f>IF(T$4=1,IF(OR(INDEX('×入力'!$A$1:$L$1300,315+T$3,2+T$2)&lt;&gt;"",INDEX('×入力'!$A$1:$L$1300,314,2+T$2)&lt;&gt;"",INDEX('×入力'!$A$1:$L$1300,315+T$3,1)&lt;&gt;""),1,0),0)</f>
        <v/>
      </c>
      <c r="U21">
        <f>IF(U$4=1,IF(OR(INDEX('×入力'!$A$1:$L$1300,315+U$3,2+U$2)&lt;&gt;"",INDEX('×入力'!$A$1:$L$1300,314,2+U$2)&lt;&gt;"",INDEX('×入力'!$A$1:$L$1300,315+U$3,1)&lt;&gt;""),1,0),0)</f>
        <v/>
      </c>
      <c r="V21">
        <f>IF(V$4=1,IF(OR(INDEX('×入力'!$A$1:$L$1300,315+V$3,2+V$2)&lt;&gt;"",INDEX('×入力'!$A$1:$L$1300,314,2+V$2)&lt;&gt;"",INDEX('×入力'!$A$1:$L$1300,315+V$3,1)&lt;&gt;""),1,0),0)</f>
        <v/>
      </c>
      <c r="W21">
        <f>IF(W$4=1,IF(OR(INDEX('×入力'!$A$1:$L$1300,315+W$3,2+W$2)&lt;&gt;"",INDEX('×入力'!$A$1:$L$1300,314,2+W$2)&lt;&gt;"",INDEX('×入力'!$A$1:$L$1300,315+W$3,1)&lt;&gt;""),1,0),0)</f>
        <v/>
      </c>
      <c r="X21">
        <f>IF(X$4=1,IF(OR(INDEX('×入力'!$A$1:$L$1300,315+X$3,2+X$2)&lt;&gt;"",INDEX('×入力'!$A$1:$L$1300,314,2+X$2)&lt;&gt;"",INDEX('×入力'!$A$1:$L$1300,315+X$3,1)&lt;&gt;""),1,0),0)</f>
        <v/>
      </c>
      <c r="Y21">
        <f>IF(Y$4=1,IF(OR(INDEX('×入力'!$A$1:$L$1300,315+Y$3,2+Y$2)&lt;&gt;"",INDEX('×入力'!$A$1:$L$1300,314,2+Y$2)&lt;&gt;"",INDEX('×入力'!$A$1:$L$1300,315+Y$3,1)&lt;&gt;""),1,0),0)</f>
        <v/>
      </c>
      <c r="Z21">
        <f>IF(Z$4=1,IF(OR(INDEX('×入力'!$A$1:$L$1300,315+Z$3,2+Z$2)&lt;&gt;"",INDEX('×入力'!$A$1:$L$1300,314,2+Z$2)&lt;&gt;"",INDEX('×入力'!$A$1:$L$1300,315+Z$3,1)&lt;&gt;""),1,0),0)</f>
        <v/>
      </c>
      <c r="AA21">
        <f>IF(AA$4=1,IF(OR(INDEX('×入力'!$A$1:$L$1300,315+AA$3,2+AA$2)&lt;&gt;"",INDEX('×入力'!$A$1:$L$1300,314,2+AA$2)&lt;&gt;"",INDEX('×入力'!$A$1:$L$1300,315+AA$3,1)&lt;&gt;""),1,0),0)</f>
        <v/>
      </c>
      <c r="AB21">
        <f>IF(AB$4=1,IF(OR(INDEX('×入力'!$A$1:$L$1300,315+AB$3,2+AB$2)&lt;&gt;"",INDEX('×入力'!$A$1:$L$1300,314,2+AB$2)&lt;&gt;"",INDEX('×入力'!$A$1:$L$1300,315+AB$3,1)&lt;&gt;""),1,0),0)</f>
        <v/>
      </c>
      <c r="AC21">
        <f>IF(AC$4=1,IF(OR(INDEX('×入力'!$A$1:$L$1300,315+AC$3,2+AC$2)&lt;&gt;"",INDEX('×入力'!$A$1:$L$1300,314,2+AC$2)&lt;&gt;"",INDEX('×入力'!$A$1:$L$1300,315+AC$3,1)&lt;&gt;""),1,0),0)</f>
        <v/>
      </c>
      <c r="AD21">
        <f>IF(AD$4=1,IF(OR(INDEX('×入力'!$A$1:$L$1300,315+AD$3,2+AD$2)&lt;&gt;"",INDEX('×入力'!$A$1:$L$1300,314,2+AD$2)&lt;&gt;"",INDEX('×入力'!$A$1:$L$1300,315+AD$3,1)&lt;&gt;""),1,0),0)</f>
        <v/>
      </c>
      <c r="AE21">
        <f>IF(AE$4=1,IF(OR(INDEX('×入力'!$A$1:$L$1300,315+AE$3,2+AE$2)&lt;&gt;"",INDEX('×入力'!$A$1:$L$1300,314,2+AE$2)&lt;&gt;"",INDEX('×入力'!$A$1:$L$1300,315+AE$3,1)&lt;&gt;""),1,0),0)</f>
        <v/>
      </c>
      <c r="AF21">
        <f>IF(AF$4=1,IF(OR(INDEX('×入力'!$A$1:$L$1300,315+AF$3,2+AF$2)&lt;&gt;"",INDEX('×入力'!$A$1:$L$1300,314,2+AF$2)&lt;&gt;"",INDEX('×入力'!$A$1:$L$1300,315+AF$3,1)&lt;&gt;""),1,0),0)</f>
        <v/>
      </c>
      <c r="AG21">
        <f>IF(AG$4=1,IF(OR(INDEX('×入力'!$A$1:$L$1300,315+AG$3,2+AG$2)&lt;&gt;"",INDEX('×入力'!$A$1:$L$1300,314,2+AG$2)&lt;&gt;"",INDEX('×入力'!$A$1:$L$1300,315+AG$3,1)&lt;&gt;""),1,0),0)</f>
        <v/>
      </c>
      <c r="AH21">
        <f>IF(AH$4=1,IF(OR(INDEX('×入力'!$A$1:$L$1300,315+AH$3,2+AH$2)&lt;&gt;"",INDEX('×入力'!$A$1:$L$1300,314,2+AH$2)&lt;&gt;"",INDEX('×入力'!$A$1:$L$1300,315+AH$3,1)&lt;&gt;""),1,0),0)</f>
        <v/>
      </c>
      <c r="AI21">
        <f>IF(AI$4=1,IF(OR(INDEX('×入力'!$A$1:$L$1300,315+AI$3,2+AI$2)&lt;&gt;"",INDEX('×入力'!$A$1:$L$1300,314,2+AI$2)&lt;&gt;"",INDEX('×入力'!$A$1:$L$1300,315+AI$3,1)&lt;&gt;""),1,0),0)</f>
        <v/>
      </c>
      <c r="AJ21">
        <f>IF(AJ$4=1,IF(OR(INDEX('×入力'!$A$1:$L$1300,315+AJ$3,2+AJ$2)&lt;&gt;"",INDEX('×入力'!$A$1:$L$1300,314,2+AJ$2)&lt;&gt;"",INDEX('×入力'!$A$1:$L$1300,315+AJ$3,1)&lt;&gt;""),1,0),0)</f>
        <v/>
      </c>
      <c r="AK21">
        <f>IF(AK$4=1,IF(OR(INDEX('×入力'!$A$1:$L$1300,315+AK$3,2+AK$2)&lt;&gt;"",INDEX('×入力'!$A$1:$L$1300,314,2+AK$2)&lt;&gt;"",INDEX('×入力'!$A$1:$L$1300,315+AK$3,1)&lt;&gt;""),1,0),0)</f>
        <v/>
      </c>
      <c r="AL21">
        <f>IF(AL$4=1,IF(OR(INDEX('×入力'!$A$1:$L$1300,315+AL$3,2+AL$2)&lt;&gt;"",INDEX('×入力'!$A$1:$L$1300,314,2+AL$2)&lt;&gt;"",INDEX('×入力'!$A$1:$L$1300,315+AL$3,1)&lt;&gt;""),1,0),0)</f>
        <v/>
      </c>
      <c r="AM21">
        <f>IF(AM$4=1,IF(OR(INDEX('×入力'!$A$1:$L$1300,315+AM$3,2+AM$2)&lt;&gt;"",INDEX('×入力'!$A$1:$L$1300,314,2+AM$2)&lt;&gt;"",INDEX('×入力'!$A$1:$L$1300,315+AM$3,1)&lt;&gt;""),1,0),0)</f>
        <v/>
      </c>
      <c r="AN21">
        <f>IF(AN$4=1,IF(OR(INDEX('×入力'!$A$1:$L$1300,315+AN$3,2+AN$2)&lt;&gt;"",INDEX('×入力'!$A$1:$L$1300,314,2+AN$2)&lt;&gt;"",INDEX('×入力'!$A$1:$L$1300,315+AN$3,1)&lt;&gt;""),1,0),0)</f>
        <v/>
      </c>
      <c r="AO21">
        <f>IF(AO$4=1,IF(OR(INDEX('×入力'!$A$1:$L$1300,315+AO$3,2+AO$2)&lt;&gt;"",INDEX('×入力'!$A$1:$L$1300,314,2+AO$2)&lt;&gt;"",INDEX('×入力'!$A$1:$L$1300,315+AO$3,1)&lt;&gt;""),1,0),0)</f>
        <v/>
      </c>
      <c r="AP21">
        <f>IF(AP$4=1,IF(OR(INDEX('×入力'!$A$1:$L$1300,315+AP$3,2+AP$2)&lt;&gt;"",INDEX('×入力'!$A$1:$L$1300,314,2+AP$2)&lt;&gt;"",INDEX('×入力'!$A$1:$L$1300,315+AP$3,1)&lt;&gt;""),1,0),0)</f>
        <v/>
      </c>
      <c r="AQ21">
        <f>IF(AQ$4=1,IF(OR(INDEX('×入力'!$A$1:$L$1300,315+AQ$3,2+AQ$2)&lt;&gt;"",INDEX('×入力'!$A$1:$L$1300,314,2+AQ$2)&lt;&gt;"",INDEX('×入力'!$A$1:$L$1300,315+AQ$3,1)&lt;&gt;""),1,0),0)</f>
        <v/>
      </c>
      <c r="AR21">
        <f>IF(AR$4=1,IF(OR(INDEX('×入力'!$A$1:$L$1300,315+AR$3,2+AR$2)&lt;&gt;"",INDEX('×入力'!$A$1:$L$1300,314,2+AR$2)&lt;&gt;"",INDEX('×入力'!$A$1:$L$1300,315+AR$3,1)&lt;&gt;""),1,0),0)</f>
        <v/>
      </c>
      <c r="AS21">
        <f>IF(AS$4=1,IF(OR(INDEX('×入力'!$A$1:$L$1300,315+AS$3,2+AS$2)&lt;&gt;"",INDEX('×入力'!$A$1:$L$1300,314,2+AS$2)&lt;&gt;"",INDEX('×入力'!$A$1:$L$1300,315+AS$3,1)&lt;&gt;""),1,0),0)</f>
        <v/>
      </c>
      <c r="AT21">
        <f>IF(AT$4=1,IF(OR(INDEX('×入力'!$A$1:$L$1300,315+AT$3,2+AT$2)&lt;&gt;"",INDEX('×入力'!$A$1:$L$1300,314,2+AT$2)&lt;&gt;"",INDEX('×入力'!$A$1:$L$1300,315+AT$3,1)&lt;&gt;""),1,0),0)</f>
        <v/>
      </c>
      <c r="AU21">
        <f>IF(AU$4=1,IF(OR(INDEX('×入力'!$A$1:$L$1300,315+AU$3,2+AU$2)&lt;&gt;"",INDEX('×入力'!$A$1:$L$1300,314,2+AU$2)&lt;&gt;"",INDEX('×入力'!$A$1:$L$1300,315+AU$3,1)&lt;&gt;""),1,0),0)</f>
        <v/>
      </c>
      <c r="AV21">
        <f>IF(AV$4=1,IF(OR(INDEX('×入力'!$A$1:$L$1300,315+AV$3,2+AV$2)&lt;&gt;"",INDEX('×入力'!$A$1:$L$1300,314,2+AV$2)&lt;&gt;"",INDEX('×入力'!$A$1:$L$1300,315+AV$3,1)&lt;&gt;""),1,0),0)</f>
        <v/>
      </c>
      <c r="AW21">
        <f>IF(AW$4=1,IF(OR(INDEX('×入力'!$A$1:$L$1300,315+AW$3,2+AW$2)&lt;&gt;"",INDEX('×入力'!$A$1:$L$1300,314,2+AW$2)&lt;&gt;"",INDEX('×入力'!$A$1:$L$1300,315+AW$3,1)&lt;&gt;""),1,0),0)</f>
        <v/>
      </c>
      <c r="AX21">
        <f>IF(AX$4=1,IF(OR(INDEX('×入力'!$A$1:$L$1300,315+AX$3,2+AX$2)&lt;&gt;"",INDEX('×入力'!$A$1:$L$1300,314,2+AX$2)&lt;&gt;"",INDEX('×入力'!$A$1:$L$1300,315+AX$3,1)&lt;&gt;""),1,0),0)</f>
        <v/>
      </c>
      <c r="AY21">
        <f>IF(AY$4=1,IF(OR(INDEX('×入力'!$A$1:$L$1300,315+AY$3,2+AY$2)&lt;&gt;"",INDEX('×入力'!$A$1:$L$1300,314,2+AY$2)&lt;&gt;"",INDEX('×入力'!$A$1:$L$1300,315+AY$3,1)&lt;&gt;""),1,0),0)</f>
        <v/>
      </c>
      <c r="AZ21">
        <f>IF(AZ$4=1,IF(OR(INDEX('×入力'!$A$1:$L$1300,315+AZ$3,2+AZ$2)&lt;&gt;"",INDEX('×入力'!$A$1:$L$1300,314,2+AZ$2)&lt;&gt;"",INDEX('×入力'!$A$1:$L$1300,315+AZ$3,1)&lt;&gt;""),1,0),0)</f>
        <v/>
      </c>
      <c r="BA21">
        <f>IF(BA$4=1,IF(OR(INDEX('×入力'!$A$1:$L$1300,315+BA$3,2+BA$2)&lt;&gt;"",INDEX('×入力'!$A$1:$L$1300,314,2+BA$2)&lt;&gt;"",INDEX('×入力'!$A$1:$L$1300,315+BA$3,1)&lt;&gt;""),1,0),0)</f>
        <v/>
      </c>
      <c r="BB21">
        <f>IF(BB$4=1,IF(OR(INDEX('×入力'!$A$1:$L$1300,315+BB$3,2+BB$2)&lt;&gt;"",INDEX('×入力'!$A$1:$L$1300,314,2+BB$2)&lt;&gt;"",INDEX('×入力'!$A$1:$L$1300,315+BB$3,1)&lt;&gt;""),1,0),0)</f>
        <v/>
      </c>
      <c r="BC21">
        <f>IF(BC$4=1,IF(OR(INDEX('×入力'!$A$1:$L$1300,315+BC$3,2+BC$2)&lt;&gt;"",INDEX('×入力'!$A$1:$L$1300,314,2+BC$2)&lt;&gt;"",INDEX('×入力'!$A$1:$L$1300,315+BC$3,1)&lt;&gt;""),1,0),0)</f>
        <v/>
      </c>
      <c r="BD21">
        <f>IF(BD$4=1,IF(OR(INDEX('×入力'!$A$1:$L$1300,315+BD$3,2+BD$2)&lt;&gt;"",INDEX('×入力'!$A$1:$L$1300,314,2+BD$2)&lt;&gt;"",INDEX('×入力'!$A$1:$L$1300,315+BD$3,1)&lt;&gt;""),1,0),0)</f>
        <v/>
      </c>
      <c r="BE21">
        <f>IF(BE$4=1,IF(OR(INDEX('×入力'!$A$1:$L$1300,315+BE$3,2+BE$2)&lt;&gt;"",INDEX('×入力'!$A$1:$L$1300,314,2+BE$2)&lt;&gt;"",INDEX('×入力'!$A$1:$L$1300,315+BE$3,1)&lt;&gt;""),1,0),0)</f>
        <v/>
      </c>
      <c r="BF21">
        <f>IF(BF$4=1,IF(OR(INDEX('×入力'!$A$1:$L$1300,315+BF$3,2+BF$2)&lt;&gt;"",INDEX('×入力'!$A$1:$L$1300,314,2+BF$2)&lt;&gt;"",INDEX('×入力'!$A$1:$L$1300,315+BF$3,1)&lt;&gt;""),1,0),0)</f>
        <v/>
      </c>
      <c r="BG21">
        <f>IF(BG$4=1,IF(OR(INDEX('×入力'!$A$1:$L$1300,315+BG$3,2+BG$2)&lt;&gt;"",INDEX('×入力'!$A$1:$L$1300,314,2+BG$2)&lt;&gt;"",INDEX('×入力'!$A$1:$L$1300,315+BG$3,1)&lt;&gt;""),1,0),0)</f>
        <v/>
      </c>
      <c r="BH21">
        <f>IF(BH$4=1,IF(OR(INDEX('×入力'!$A$1:$L$1300,315+BH$3,2+BH$2)&lt;&gt;"",INDEX('×入力'!$A$1:$L$1300,314,2+BH$2)&lt;&gt;"",INDEX('×入力'!$A$1:$L$1300,315+BH$3,1)&lt;&gt;""),1,0),0)</f>
        <v/>
      </c>
      <c r="BI21">
        <f>IF(BI$4=1,IF(OR(INDEX('×入力'!$A$1:$L$1300,315+BI$3,2+BI$2)&lt;&gt;"",INDEX('×入力'!$A$1:$L$1300,314,2+BI$2)&lt;&gt;"",INDEX('×入力'!$A$1:$L$1300,315+BI$3,1)&lt;&gt;""),1,0),0)</f>
        <v/>
      </c>
      <c r="BJ21">
        <f>IF(BJ$4=1,IF(OR(INDEX('×入力'!$A$1:$L$1300,315+BJ$3,2+BJ$2)&lt;&gt;"",INDEX('×入力'!$A$1:$L$1300,314,2+BJ$2)&lt;&gt;"",INDEX('×入力'!$A$1:$L$1300,315+BJ$3,1)&lt;&gt;""),1,0),0)</f>
        <v/>
      </c>
      <c r="BK21">
        <f>IF(BK$4=1,IF(OR(INDEX('×入力'!$A$1:$L$1300,315+BK$3,2+BK$2)&lt;&gt;"",INDEX('×入力'!$A$1:$L$1300,314,2+BK$2)&lt;&gt;"",INDEX('×入力'!$A$1:$L$1300,315+BK$3,1)&lt;&gt;""),1,0),0)</f>
        <v/>
      </c>
      <c r="BL21">
        <f>IF(BL$4=1,IF(OR(INDEX('×入力'!$A$1:$L$1300,315+BL$3,2+BL$2)&lt;&gt;"",INDEX('×入力'!$A$1:$L$1300,314,2+BL$2)&lt;&gt;"",INDEX('×入力'!$A$1:$L$1300,315+BL$3,1)&lt;&gt;""),1,0),0)</f>
        <v/>
      </c>
      <c r="BM21">
        <f>IF(BM$4=1,IF(OR(INDEX('×入力'!$A$1:$L$1300,315+BM$3,2+BM$2)&lt;&gt;"",INDEX('×入力'!$A$1:$L$1300,314,2+BM$2)&lt;&gt;"",INDEX('×入力'!$A$1:$L$1300,315+BM$3,1)&lt;&gt;""),1,0),0)</f>
        <v/>
      </c>
      <c r="BN21">
        <f>IF(BN$4=1,IF(OR(INDEX('×入力'!$A$1:$L$1300,315+BN$3,2+BN$2)&lt;&gt;"",INDEX('×入力'!$A$1:$L$1300,314,2+BN$2)&lt;&gt;"",INDEX('×入力'!$A$1:$L$1300,315+BN$3,1)&lt;&gt;""),1,0),0)</f>
        <v/>
      </c>
      <c r="BO21">
        <f>IF(BO$4=1,IF(OR(INDEX('×入力'!$A$1:$L$1300,315+BO$3,2+BO$2)&lt;&gt;"",INDEX('×入力'!$A$1:$L$1300,314,2+BO$2)&lt;&gt;"",INDEX('×入力'!$A$1:$L$1300,315+BO$3,1)&lt;&gt;""),1,0),0)</f>
        <v/>
      </c>
      <c r="BP21">
        <f>IF(BP$4=1,IF(OR(INDEX('×入力'!$A$1:$L$1300,315+BP$3,2+BP$2)&lt;&gt;"",INDEX('×入力'!$A$1:$L$1300,314,2+BP$2)&lt;&gt;"",INDEX('×入力'!$A$1:$L$1300,315+BP$3,1)&lt;&gt;""),1,0),0)</f>
        <v/>
      </c>
      <c r="BQ21">
        <f>IF(BQ$4=1,IF(OR(INDEX('×入力'!$A$1:$L$1300,315+BQ$3,2+BQ$2)&lt;&gt;"",INDEX('×入力'!$A$1:$L$1300,314,2+BQ$2)&lt;&gt;"",INDEX('×入力'!$A$1:$L$1300,315+BQ$3,1)&lt;&gt;""),1,0),0)</f>
        <v/>
      </c>
      <c r="BR21">
        <f>IF(BR$4=1,IF(OR(INDEX('×入力'!$A$1:$L$1300,315+BR$3,2+BR$2)&lt;&gt;"",INDEX('×入力'!$A$1:$L$1300,314,2+BR$2)&lt;&gt;"",INDEX('×入力'!$A$1:$L$1300,315+BR$3,1)&lt;&gt;""),1,0),0)</f>
        <v/>
      </c>
      <c r="BS21">
        <f>IF(BS$4=1,IF(OR(INDEX('×入力'!$A$1:$L$1300,315+BS$3,2+BS$2)&lt;&gt;"",INDEX('×入力'!$A$1:$L$1300,314,2+BS$2)&lt;&gt;"",INDEX('×入力'!$A$1:$L$1300,315+BS$3,1)&lt;&gt;""),1,0),0)</f>
        <v/>
      </c>
      <c r="BT21">
        <f>IF(BT$4=1,IF(OR(INDEX('×入力'!$A$1:$L$1300,315+BT$3,2+BT$2)&lt;&gt;"",INDEX('×入力'!$A$1:$L$1300,314,2+BT$2)&lt;&gt;"",INDEX('×入力'!$A$1:$L$1300,315+BT$3,1)&lt;&gt;""),1,0),0)</f>
        <v/>
      </c>
      <c r="BU21">
        <f>IF(BU$4=1,IF(OR(INDEX('×入力'!$A$1:$L$1300,315+BU$3,2+BU$2)&lt;&gt;"",INDEX('×入力'!$A$1:$L$1300,314,2+BU$2)&lt;&gt;"",INDEX('×入力'!$A$1:$L$1300,315+BU$3,1)&lt;&gt;""),1,0),0)</f>
        <v/>
      </c>
      <c r="BV21">
        <f>IF(BV$4=1,IF(OR(INDEX('×入力'!$A$1:$L$1300,315+BV$3,2+BV$2)&lt;&gt;"",INDEX('×入力'!$A$1:$L$1300,314,2+BV$2)&lt;&gt;"",INDEX('×入力'!$A$1:$L$1300,315+BV$3,1)&lt;&gt;""),1,0),0)</f>
        <v/>
      </c>
      <c r="BW21">
        <f>IF(BW$4=1,IF(OR(INDEX('×入力'!$A$1:$L$1300,315+BW$3,2+BW$2)&lt;&gt;"",INDEX('×入力'!$A$1:$L$1300,314,2+BW$2)&lt;&gt;"",INDEX('×入力'!$A$1:$L$1300,315+BW$3,1)&lt;&gt;""),1,0),0)</f>
        <v/>
      </c>
      <c r="BX21">
        <f>IF(BX$4=1,IF(OR(INDEX('×入力'!$A$1:$L$1300,315+BX$3,2+BX$2)&lt;&gt;"",INDEX('×入力'!$A$1:$L$1300,314,2+BX$2)&lt;&gt;"",INDEX('×入力'!$A$1:$L$1300,315+BX$3,1)&lt;&gt;""),1,0),0)</f>
        <v/>
      </c>
      <c r="BY21">
        <f>IF(BY$4=1,IF(OR(INDEX('×入力'!$A$1:$L$1300,315+BY$3,2+BY$2)&lt;&gt;"",INDEX('×入力'!$A$1:$L$1300,314,2+BY$2)&lt;&gt;"",INDEX('×入力'!$A$1:$L$1300,315+BY$3,1)&lt;&gt;""),1,0),0)</f>
        <v/>
      </c>
      <c r="BZ21">
        <f>IF(BZ$4=1,IF(OR(INDEX('×入力'!$A$1:$L$1300,315+BZ$3,2+BZ$2)&lt;&gt;"",INDEX('×入力'!$A$1:$L$1300,314,2+BZ$2)&lt;&gt;"",INDEX('×入力'!$A$1:$L$1300,315+BZ$3,1)&lt;&gt;""),1,0),0)</f>
        <v/>
      </c>
      <c r="CA21">
        <f>IF(CA$4=1,IF(OR(INDEX('×入力'!$A$1:$L$1300,315+CA$3,2+CA$2)&lt;&gt;"",INDEX('×入力'!$A$1:$L$1300,314,2+CA$2)&lt;&gt;"",INDEX('×入力'!$A$1:$L$1300,315+CA$3,1)&lt;&gt;""),1,0),0)</f>
        <v/>
      </c>
      <c r="CB21">
        <f>IF(CB$4=1,IF(OR(INDEX('×入力'!$A$1:$L$1300,315+CB$3,2+CB$2)&lt;&gt;"",INDEX('×入力'!$A$1:$L$1300,314,2+CB$2)&lt;&gt;"",INDEX('×入力'!$A$1:$L$1300,315+CB$3,1)&lt;&gt;""),1,0),0)</f>
        <v/>
      </c>
      <c r="CC21">
        <f>IF(CC$4=1,IF(OR(INDEX('×入力'!$A$1:$L$1300,315+CC$3,2+CC$2)&lt;&gt;"",INDEX('×入力'!$A$1:$L$1300,314,2+CC$2)&lt;&gt;"",INDEX('×入力'!$A$1:$L$1300,315+CC$3,1)&lt;&gt;""),1,0),0)</f>
        <v/>
      </c>
      <c r="CD21">
        <f>IF(CD$4=1,IF(OR(INDEX('×入力'!$A$1:$L$1300,315+CD$3,2+CD$2)&lt;&gt;"",INDEX('×入力'!$A$1:$L$1300,314,2+CD$2)&lt;&gt;"",INDEX('×入力'!$A$1:$L$1300,315+CD$3,1)&lt;&gt;""),1,0),0)</f>
        <v/>
      </c>
      <c r="CE21">
        <f>IF(CE$4=1,IF(OR(INDEX('×入力'!$A$1:$L$1300,315+CE$3,2+CE$2)&lt;&gt;"",INDEX('×入力'!$A$1:$L$1300,314,2+CE$2)&lt;&gt;"",INDEX('×入力'!$A$1:$L$1300,315+CE$3,1)&lt;&gt;""),1,0),0)</f>
        <v/>
      </c>
      <c r="CF21">
        <f>IF(CF$4=1,IF(OR(INDEX('×入力'!$A$1:$L$1300,315+CF$3,2+CF$2)&lt;&gt;"",INDEX('×入力'!$A$1:$L$1300,314,2+CF$2)&lt;&gt;"",INDEX('×入力'!$A$1:$L$1300,315+CF$3,1)&lt;&gt;""),1,0),0)</f>
        <v/>
      </c>
      <c r="CG21">
        <f>IF(CG$4=1,IF(OR(INDEX('×入力'!$A$1:$L$1300,315+CG$3,2+CG$2)&lt;&gt;"",INDEX('×入力'!$A$1:$L$1300,314,2+CG$2)&lt;&gt;"",INDEX('×入力'!$A$1:$L$1300,315+CG$3,1)&lt;&gt;""),1,0),0)</f>
        <v/>
      </c>
      <c r="CH21">
        <f>IF(CH$4=1,IF(OR(INDEX('×入力'!$A$1:$L$1300,315+CH$3,2+CH$2)&lt;&gt;"",INDEX('×入力'!$A$1:$L$1300,314,2+CH$2)&lt;&gt;"",INDEX('×入力'!$A$1:$L$1300,315+CH$3,1)&lt;&gt;""),1,0),0)</f>
        <v/>
      </c>
      <c r="CI21">
        <f>IF(CI$4=1,IF(OR(INDEX('×入力'!$A$1:$L$1300,315+CI$3,2+CI$2)&lt;&gt;"",INDEX('×入力'!$A$1:$L$1300,314,2+CI$2)&lt;&gt;"",INDEX('×入力'!$A$1:$L$1300,315+CI$3,1)&lt;&gt;""),1,0),0)</f>
        <v/>
      </c>
      <c r="CJ21">
        <f>IF(CJ$4=1,IF(OR(INDEX('×入力'!$A$1:$L$1300,315+CJ$3,2+CJ$2)&lt;&gt;"",INDEX('×入力'!$A$1:$L$1300,314,2+CJ$2)&lt;&gt;"",INDEX('×入力'!$A$1:$L$1300,315+CJ$3,1)&lt;&gt;""),1,0),0)</f>
        <v/>
      </c>
      <c r="CK21">
        <f>IF(CK$4=1,IF(OR(INDEX('×入力'!$A$1:$L$1300,315+CK$3,2+CK$2)&lt;&gt;"",INDEX('×入力'!$A$1:$L$1300,314,2+CK$2)&lt;&gt;"",INDEX('×入力'!$A$1:$L$1300,315+CK$3,1)&lt;&gt;""),1,0),0)</f>
        <v/>
      </c>
      <c r="CL21">
        <f>IF(CL$4=1,IF(OR(INDEX('×入力'!$A$1:$L$1300,315+CL$3,2+CL$2)&lt;&gt;"",INDEX('×入力'!$A$1:$L$1300,314,2+CL$2)&lt;&gt;"",INDEX('×入力'!$A$1:$L$1300,315+CL$3,1)&lt;&gt;""),1,0),0)</f>
        <v/>
      </c>
      <c r="CM21">
        <f>IF(CM$4=1,IF(OR(INDEX('×入力'!$A$1:$L$1300,315+CM$3,2+CM$2)&lt;&gt;"",INDEX('×入力'!$A$1:$L$1300,314,2+CM$2)&lt;&gt;"",INDEX('×入力'!$A$1:$L$1300,315+CM$3,1)&lt;&gt;""),1,0),0)</f>
        <v/>
      </c>
      <c r="CN21">
        <f>IF(CN$4=1,IF(OR(INDEX('×入力'!$A$1:$L$1300,315+CN$3,2+CN$2)&lt;&gt;"",INDEX('×入力'!$A$1:$L$1300,314,2+CN$2)&lt;&gt;"",INDEX('×入力'!$A$1:$L$1300,315+CN$3,1)&lt;&gt;""),1,0),0)</f>
        <v/>
      </c>
      <c r="CO21">
        <f>IF(CO$4=1,IF(OR(INDEX('×入力'!$A$1:$L$1300,315+CO$3,2+CO$2)&lt;&gt;"",INDEX('×入力'!$A$1:$L$1300,314,2+CO$2)&lt;&gt;"",INDEX('×入力'!$A$1:$L$1300,315+CO$3,1)&lt;&gt;""),1,0),0)</f>
        <v/>
      </c>
      <c r="CP21">
        <f>IF(CP$4=1,IF(OR(INDEX('×入力'!$A$1:$L$1300,315+CP$3,2+CP$2)&lt;&gt;"",INDEX('×入力'!$A$1:$L$1300,314,2+CP$2)&lt;&gt;"",INDEX('×入力'!$A$1:$L$1300,315+CP$3,1)&lt;&gt;""),1,0),0)</f>
        <v/>
      </c>
      <c r="CQ21">
        <f>IF(CQ$4=1,IF(OR(INDEX('×入力'!$A$1:$L$1300,315+CQ$3,2+CQ$2)&lt;&gt;"",INDEX('×入力'!$A$1:$L$1300,314,2+CQ$2)&lt;&gt;"",INDEX('×入力'!$A$1:$L$1300,315+CQ$3,1)&lt;&gt;""),1,0),0)</f>
        <v/>
      </c>
      <c r="CR21">
        <f>IF(CR$4=1,IF(OR(INDEX('×入力'!$A$1:$L$1300,315+CR$3,2+CR$2)&lt;&gt;"",INDEX('×入力'!$A$1:$L$1300,314,2+CR$2)&lt;&gt;"",INDEX('×入力'!$A$1:$L$1300,315+CR$3,1)&lt;&gt;""),1,0),0)</f>
        <v/>
      </c>
      <c r="CS21">
        <f>IF(CS$4=1,IF(OR(INDEX('×入力'!$A$1:$L$1300,315+CS$3,2+CS$2)&lt;&gt;"",INDEX('×入力'!$A$1:$L$1300,314,2+CS$2)&lt;&gt;"",INDEX('×入力'!$A$1:$L$1300,315+CS$3,1)&lt;&gt;""),1,0),0)</f>
        <v/>
      </c>
      <c r="CT21">
        <f>IF(CT$4=1,IF(OR(INDEX('×入力'!$A$1:$L$1300,315+CT$3,2+CT$2)&lt;&gt;"",INDEX('×入力'!$A$1:$L$1300,314,2+CT$2)&lt;&gt;"",INDEX('×入力'!$A$1:$L$1300,315+CT$3,1)&lt;&gt;""),1,0),0)</f>
        <v/>
      </c>
      <c r="CU21">
        <f>IF(CU$4=1,IF(OR(INDEX('×入力'!$A$1:$L$1300,315+CU$3,2+CU$2)&lt;&gt;"",INDEX('×入力'!$A$1:$L$1300,314,2+CU$2)&lt;&gt;"",INDEX('×入力'!$A$1:$L$1300,315+CU$3,1)&lt;&gt;""),1,0),0)</f>
        <v/>
      </c>
      <c r="CV21">
        <f>IF(CV$4=1,IF(OR(INDEX('×入力'!$A$1:$L$1300,315+CV$3,2+CV$2)&lt;&gt;"",INDEX('×入力'!$A$1:$L$1300,314,2+CV$2)&lt;&gt;"",INDEX('×入力'!$A$1:$L$1300,315+CV$3,1)&lt;&gt;""),1,0),0)</f>
        <v/>
      </c>
      <c r="CW21">
        <f>IF(CW$4=1,IF(OR(INDEX('×入力'!$A$1:$L$1300,315+CW$3,2+CW$2)&lt;&gt;"",INDEX('×入力'!$A$1:$L$1300,314,2+CW$2)&lt;&gt;"",INDEX('×入力'!$A$1:$L$1300,315+CW$3,1)&lt;&gt;""),1,0),0)</f>
        <v/>
      </c>
      <c r="CX21">
        <f>IF(CX$4=1,IF(OR(INDEX('×入力'!$A$1:$L$1300,315+CX$3,2+CX$2)&lt;&gt;"",INDEX('×入力'!$A$1:$L$1300,314,2+CX$2)&lt;&gt;"",INDEX('×入力'!$A$1:$L$1300,315+CX$3,1)&lt;&gt;""),1,0),0)</f>
        <v/>
      </c>
      <c r="CY21">
        <f>IF(CY$4=1,IF(OR(INDEX('×入力'!$A$1:$L$1300,315+CY$3,2+CY$2)&lt;&gt;"",INDEX('×入力'!$A$1:$L$1300,314,2+CY$2)&lt;&gt;"",INDEX('×入力'!$A$1:$L$1300,315+CY$3,1)&lt;&gt;""),1,0),0)</f>
        <v/>
      </c>
      <c r="CZ21">
        <f>IF(CZ$4=1,IF(OR(INDEX('×入力'!$A$1:$L$1300,315+CZ$3,2+CZ$2)&lt;&gt;"",INDEX('×入力'!$A$1:$L$1300,314,2+CZ$2)&lt;&gt;"",INDEX('×入力'!$A$1:$L$1300,315+CZ$3,1)&lt;&gt;""),1,0),0)</f>
        <v/>
      </c>
      <c r="DA21">
        <f>IF(DA$4=1,IF(OR(INDEX('×入力'!$A$1:$L$1300,315+DA$3,2+DA$2)&lt;&gt;"",INDEX('×入力'!$A$1:$L$1300,314,2+DA$2)&lt;&gt;"",INDEX('×入力'!$A$1:$L$1300,315+DA$3,1)&lt;&gt;""),1,0),0)</f>
        <v/>
      </c>
      <c r="DB21">
        <f>IF(DB$4=1,IF(OR(INDEX('×入力'!$A$1:$L$1300,315+DB$3,2+DB$2)&lt;&gt;"",INDEX('×入力'!$A$1:$L$1300,314,2+DB$2)&lt;&gt;"",INDEX('×入力'!$A$1:$L$1300,315+DB$3,1)&lt;&gt;""),1,0),0)</f>
        <v/>
      </c>
      <c r="DC21">
        <f>IF(DC$4=1,IF(OR(INDEX('×入力'!$A$1:$L$1300,315+DC$3,2+DC$2)&lt;&gt;"",INDEX('×入力'!$A$1:$L$1300,314,2+DC$2)&lt;&gt;"",INDEX('×入力'!$A$1:$L$1300,315+DC$3,1)&lt;&gt;""),1,0),0)</f>
        <v/>
      </c>
      <c r="DD21">
        <f>IF(DD$4=1,IF(OR(INDEX('×入力'!$A$1:$L$1300,315+DD$3,2+DD$2)&lt;&gt;"",INDEX('×入力'!$A$1:$L$1300,314,2+DD$2)&lt;&gt;"",INDEX('×入力'!$A$1:$L$1300,315+DD$3,1)&lt;&gt;""),1,0),0)</f>
        <v/>
      </c>
      <c r="DE21">
        <f>IF(DE$4=1,IF(OR(INDEX('×入力'!$A$1:$L$1300,315+DE$3,2+DE$2)&lt;&gt;"",INDEX('×入力'!$A$1:$L$1300,314,2+DE$2)&lt;&gt;"",INDEX('×入力'!$A$1:$L$1300,315+DE$3,1)&lt;&gt;""),1,0),0)</f>
        <v/>
      </c>
      <c r="DF21">
        <f>IF(DF$4=1,IF(OR(INDEX('×入力'!$A$1:$L$1300,315+DF$3,2+DF$2)&lt;&gt;"",INDEX('×入力'!$A$1:$L$1300,314,2+DF$2)&lt;&gt;"",INDEX('×入力'!$A$1:$L$1300,315+DF$3,1)&lt;&gt;""),1,0),0)</f>
        <v/>
      </c>
      <c r="DG21">
        <f>IF(DG$4=1,IF(OR(INDEX('×入力'!$A$1:$L$1300,315+DG$3,2+DG$2)&lt;&gt;"",INDEX('×入力'!$A$1:$L$1300,314,2+DG$2)&lt;&gt;"",INDEX('×入力'!$A$1:$L$1300,315+DG$3,1)&lt;&gt;""),1,0),0)</f>
        <v/>
      </c>
      <c r="DH21">
        <f>IF(DH$4=1,IF(OR(INDEX('×入力'!$A$1:$L$1300,315+DH$3,2+DH$2)&lt;&gt;"",INDEX('×入力'!$A$1:$L$1300,314,2+DH$2)&lt;&gt;"",INDEX('×入力'!$A$1:$L$1300,315+DH$3,1)&lt;&gt;""),1,0),0)</f>
        <v/>
      </c>
      <c r="DI21">
        <f>IF(DI$4=1,IF(OR(INDEX('×入力'!$A$1:$L$1300,315+DI$3,2+DI$2)&lt;&gt;"",INDEX('×入力'!$A$1:$L$1300,314,2+DI$2)&lt;&gt;"",INDEX('×入力'!$A$1:$L$1300,315+DI$3,1)&lt;&gt;""),1,0),0)</f>
        <v/>
      </c>
      <c r="DJ21">
        <f>IF(DJ$4=1,IF(OR(INDEX('×入力'!$A$1:$L$1300,315+DJ$3,2+DJ$2)&lt;&gt;"",INDEX('×入力'!$A$1:$L$1300,314,2+DJ$2)&lt;&gt;"",INDEX('×入力'!$A$1:$L$1300,315+DJ$3,1)&lt;&gt;""),1,0),0)</f>
        <v/>
      </c>
      <c r="DK21">
        <f>IF(DK$4=1,IF(OR(INDEX('×入力'!$A$1:$L$1300,315+DK$3,2+DK$2)&lt;&gt;"",INDEX('×入力'!$A$1:$L$1300,314,2+DK$2)&lt;&gt;"",INDEX('×入力'!$A$1:$L$1300,315+DK$3,1)&lt;&gt;""),1,0),0)</f>
        <v/>
      </c>
      <c r="DL21">
        <f>IF(DL$4=1,IF(OR(INDEX('×入力'!$A$1:$L$1300,315+DL$3,2+DL$2)&lt;&gt;"",INDEX('×入力'!$A$1:$L$1300,314,2+DL$2)&lt;&gt;"",INDEX('×入力'!$A$1:$L$1300,315+DL$3,1)&lt;&gt;""),1,0),0)</f>
        <v/>
      </c>
      <c r="DM21">
        <f>IF(DM$4=1,IF(OR(INDEX('×入力'!$A$1:$L$1300,315+DM$3,2+DM$2)&lt;&gt;"",INDEX('×入力'!$A$1:$L$1300,314,2+DM$2)&lt;&gt;"",INDEX('×入力'!$A$1:$L$1300,315+DM$3,1)&lt;&gt;""),1,0),0)</f>
        <v/>
      </c>
      <c r="DN21">
        <f>IF(DN$4=1,IF(OR(INDEX('×入力'!$A$1:$L$1300,315+DN$3,2+DN$2)&lt;&gt;"",INDEX('×入力'!$A$1:$L$1300,314,2+DN$2)&lt;&gt;"",INDEX('×入力'!$A$1:$L$1300,315+DN$3,1)&lt;&gt;""),1,0),0)</f>
        <v/>
      </c>
      <c r="DO21">
        <f>IF(DO$4=1,IF(OR(INDEX('×入力'!$A$1:$L$1300,315+DO$3,2+DO$2)&lt;&gt;"",INDEX('×入力'!$A$1:$L$1300,314,2+DO$2)&lt;&gt;"",INDEX('×入力'!$A$1:$L$1300,315+DO$3,1)&lt;&gt;""),1,0),0)</f>
        <v/>
      </c>
      <c r="DP21">
        <f>IF(DP$4=1,IF(OR(INDEX('×入力'!$A$1:$L$1300,315+DP$3,2+DP$2)&lt;&gt;"",INDEX('×入力'!$A$1:$L$1300,314,2+DP$2)&lt;&gt;"",INDEX('×入力'!$A$1:$L$1300,315+DP$3,1)&lt;&gt;""),1,0),0)</f>
        <v/>
      </c>
      <c r="DQ21">
        <f>IF(DQ$4=1,IF(OR(INDEX('×入力'!$A$1:$L$1300,315+DQ$3,2+DQ$2)&lt;&gt;"",INDEX('×入力'!$A$1:$L$1300,314,2+DQ$2)&lt;&gt;"",INDEX('×入力'!$A$1:$L$1300,315+DQ$3,1)&lt;&gt;""),1,0),0)</f>
        <v/>
      </c>
      <c r="DR21">
        <f>IF(DR$4=1,IF(OR(INDEX('×入力'!$A$1:$L$1300,315+DR$3,2+DR$2)&lt;&gt;"",INDEX('×入力'!$A$1:$L$1300,314,2+DR$2)&lt;&gt;"",INDEX('×入力'!$A$1:$L$1300,315+DR$3,1)&lt;&gt;""),1,0),0)</f>
        <v/>
      </c>
      <c r="DS21">
        <f>IF(DS$4=1,IF(OR(INDEX('×入力'!$A$1:$L$1300,315+DS$3,2+DS$2)&lt;&gt;"",INDEX('×入力'!$A$1:$L$1300,314,2+DS$2)&lt;&gt;"",INDEX('×入力'!$A$1:$L$1300,315+DS$3,1)&lt;&gt;""),1,0),0)</f>
        <v/>
      </c>
      <c r="DT21">
        <f>IF(DT$4=1,IF(OR(INDEX('×入力'!$A$1:$L$1300,315+DT$3,2+DT$2)&lt;&gt;"",INDEX('×入力'!$A$1:$L$1300,314,2+DT$2)&lt;&gt;"",INDEX('×入力'!$A$1:$L$1300,315+DT$3,1)&lt;&gt;""),1,0),0)</f>
        <v/>
      </c>
      <c r="DU21">
        <f>IF(DU$4=1,IF(OR(INDEX('×入力'!$A$1:$L$1300,315+DU$3,2+DU$2)&lt;&gt;"",INDEX('×入力'!$A$1:$L$1300,314,2+DU$2)&lt;&gt;"",INDEX('×入力'!$A$1:$L$1300,315+DU$3,1)&lt;&gt;""),1,0),0)</f>
        <v/>
      </c>
      <c r="DV21">
        <f>IF(DV$4=1,IF(OR(INDEX('×入力'!$A$1:$L$1300,315+DV$3,2+DV$2)&lt;&gt;"",INDEX('×入力'!$A$1:$L$1300,314,2+DV$2)&lt;&gt;"",INDEX('×入力'!$A$1:$L$1300,315+DV$3,1)&lt;&gt;""),1,0),0)</f>
        <v/>
      </c>
      <c r="DW21">
        <f>IF(DW$4=1,IF(OR(INDEX('×入力'!$A$1:$L$1300,315+DW$3,2+DW$2)&lt;&gt;"",INDEX('×入力'!$A$1:$L$1300,314,2+DW$2)&lt;&gt;"",INDEX('×入力'!$A$1:$L$1300,315+DW$3,1)&lt;&gt;""),1,0),0)</f>
        <v/>
      </c>
      <c r="DX21">
        <f>IF(DX$4=1,IF(OR(INDEX('×入力'!$A$1:$L$1300,315+DX$3,2+DX$2)&lt;&gt;"",INDEX('×入力'!$A$1:$L$1300,314,2+DX$2)&lt;&gt;"",INDEX('×入力'!$A$1:$L$1300,315+DX$3,1)&lt;&gt;""),1,0),0)</f>
        <v/>
      </c>
      <c r="DY21">
        <f>IF(DY$4=1,IF(OR(INDEX('×入力'!$A$1:$L$1300,315+DY$3,2+DY$2)&lt;&gt;"",INDEX('×入力'!$A$1:$L$1300,314,2+DY$2)&lt;&gt;"",INDEX('×入力'!$A$1:$L$1300,315+DY$3,1)&lt;&gt;""),1,0),0)</f>
        <v/>
      </c>
      <c r="DZ21">
        <f>IF(DZ$4=1,IF(OR(INDEX('×入力'!$A$1:$L$1300,315+DZ$3,2+DZ$2)&lt;&gt;"",INDEX('×入力'!$A$1:$L$1300,314,2+DZ$2)&lt;&gt;"",INDEX('×入力'!$A$1:$L$1300,315+DZ$3,1)&lt;&gt;""),1,0),0)</f>
        <v/>
      </c>
      <c r="EA21">
        <f>IF(EA$4=1,IF(OR(INDEX('×入力'!$A$1:$L$1300,315+EA$3,2+EA$2)&lt;&gt;"",INDEX('×入力'!$A$1:$L$1300,314,2+EA$2)&lt;&gt;"",INDEX('×入力'!$A$1:$L$1300,315+EA$3,1)&lt;&gt;""),1,0),0)</f>
        <v/>
      </c>
      <c r="EB21">
        <f>IF(EB$4=1,IF(OR(INDEX('×入力'!$A$1:$L$1300,315+EB$3,2+EB$2)&lt;&gt;"",INDEX('×入力'!$A$1:$L$1300,314,2+EB$2)&lt;&gt;"",INDEX('×入力'!$A$1:$L$1300,315+EB$3,1)&lt;&gt;""),1,0),0)</f>
        <v/>
      </c>
      <c r="EC21">
        <f>IF(EC$4=1,IF(OR(INDEX('×入力'!$A$1:$L$1300,315+EC$3,2+EC$2)&lt;&gt;"",INDEX('×入力'!$A$1:$L$1300,314,2+EC$2)&lt;&gt;"",INDEX('×入力'!$A$1:$L$1300,315+EC$3,1)&lt;&gt;""),1,0),0)</f>
        <v/>
      </c>
      <c r="ED21">
        <f>IF(ED$4=1,IF(OR(INDEX('×入力'!$A$1:$L$1300,315+ED$3,2+ED$2)&lt;&gt;"",INDEX('×入力'!$A$1:$L$1300,314,2+ED$2)&lt;&gt;"",INDEX('×入力'!$A$1:$L$1300,315+ED$3,1)&lt;&gt;""),1,0),0)</f>
        <v/>
      </c>
      <c r="EE21">
        <f>IF(EE$4=1,IF(OR(INDEX('×入力'!$A$1:$L$1300,315+EE$3,2+EE$2)&lt;&gt;"",INDEX('×入力'!$A$1:$L$1300,314,2+EE$2)&lt;&gt;"",INDEX('×入力'!$A$1:$L$1300,315+EE$3,1)&lt;&gt;""),1,0),0)</f>
        <v/>
      </c>
      <c r="EF21">
        <f>IF(EF$4=1,IF(OR(INDEX('×入力'!$A$1:$L$1300,315+EF$3,2+EF$2)&lt;&gt;"",INDEX('×入力'!$A$1:$L$1300,314,2+EF$2)&lt;&gt;"",INDEX('×入力'!$A$1:$L$1300,315+EF$3,1)&lt;&gt;""),1,0),0)</f>
        <v/>
      </c>
      <c r="EG21">
        <f>IF(EG$4=1,IF(OR(INDEX('×入力'!$A$1:$L$1300,315+EG$3,2+EG$2)&lt;&gt;"",INDEX('×入力'!$A$1:$L$1300,314,2+EG$2)&lt;&gt;"",INDEX('×入力'!$A$1:$L$1300,315+EG$3,1)&lt;&gt;""),1,0),0)</f>
        <v/>
      </c>
      <c r="EH21">
        <f>IF(EH$4=1,IF(OR(INDEX('×入力'!$A$1:$L$1300,315+EH$3,2+EH$2)&lt;&gt;"",INDEX('×入力'!$A$1:$L$1300,314,2+EH$2)&lt;&gt;"",INDEX('×入力'!$A$1:$L$1300,315+EH$3,1)&lt;&gt;""),1,0),0)</f>
        <v/>
      </c>
      <c r="EI21">
        <f>IF(EI$4=1,IF(OR(INDEX('×入力'!$A$1:$L$1300,315+EI$3,2+EI$2)&lt;&gt;"",INDEX('×入力'!$A$1:$L$1300,314,2+EI$2)&lt;&gt;"",INDEX('×入力'!$A$1:$L$1300,315+EI$3,1)&lt;&gt;""),1,0),0)</f>
        <v/>
      </c>
      <c r="EJ21">
        <f>IF(EJ$4=1,IF(OR(INDEX('×入力'!$A$1:$L$1300,315+EJ$3,2+EJ$2)&lt;&gt;"",INDEX('×入力'!$A$1:$L$1300,314,2+EJ$2)&lt;&gt;"",INDEX('×入力'!$A$1:$L$1300,315+EJ$3,1)&lt;&gt;""),1,0),0)</f>
        <v/>
      </c>
      <c r="EK21">
        <f>IF(EK$4=1,IF(OR(INDEX('×入力'!$A$1:$L$1300,315+EK$3,2+EK$2)&lt;&gt;"",INDEX('×入力'!$A$1:$L$1300,314,2+EK$2)&lt;&gt;"",INDEX('×入力'!$A$1:$L$1300,315+EK$3,1)&lt;&gt;""),1,0),0)</f>
        <v/>
      </c>
      <c r="EL21">
        <f>IF(EL$4=1,IF(OR(INDEX('×入力'!$A$1:$L$1300,315+EL$3,2+EL$2)&lt;&gt;"",INDEX('×入力'!$A$1:$L$1300,314,2+EL$2)&lt;&gt;"",INDEX('×入力'!$A$1:$L$1300,315+EL$3,1)&lt;&gt;""),1,0),0)</f>
        <v/>
      </c>
      <c r="EM21">
        <f>IF(EM$4=1,IF(OR(INDEX('×入力'!$A$1:$L$1300,315+EM$3,2+EM$2)&lt;&gt;"",INDEX('×入力'!$A$1:$L$1300,314,2+EM$2)&lt;&gt;"",INDEX('×入力'!$A$1:$L$1300,315+EM$3,1)&lt;&gt;""),1,0),0)</f>
        <v/>
      </c>
      <c r="EN21">
        <f>IF(EN$4=1,IF(OR(INDEX('×入力'!$A$1:$L$1300,315+EN$3,2+EN$2)&lt;&gt;"",INDEX('×入力'!$A$1:$L$1300,314,2+EN$2)&lt;&gt;"",INDEX('×入力'!$A$1:$L$1300,315+EN$3,1)&lt;&gt;""),1,0),0)</f>
        <v/>
      </c>
      <c r="EO21">
        <f>IF(EO$4=1,IF(OR(INDEX('×入力'!$A$1:$L$1300,315+EO$3,2+EO$2)&lt;&gt;"",INDEX('×入力'!$A$1:$L$1300,314,2+EO$2)&lt;&gt;"",INDEX('×入力'!$A$1:$L$1300,315+EO$3,1)&lt;&gt;""),1,0),0)</f>
        <v/>
      </c>
      <c r="EP21">
        <f>IF(EP$4=1,IF(OR(INDEX('×入力'!$A$1:$L$1300,315+EP$3,2+EP$2)&lt;&gt;"",INDEX('×入力'!$A$1:$L$1300,314,2+EP$2)&lt;&gt;"",INDEX('×入力'!$A$1:$L$1300,315+EP$3,1)&lt;&gt;""),1,0),0)</f>
        <v/>
      </c>
      <c r="EQ21">
        <f>IF(EQ$4=1,IF(OR(INDEX('×入力'!$A$1:$L$1300,315+EQ$3,2+EQ$2)&lt;&gt;"",INDEX('×入力'!$A$1:$L$1300,314,2+EQ$2)&lt;&gt;"",INDEX('×入力'!$A$1:$L$1300,315+EQ$3,1)&lt;&gt;""),1,0),0)</f>
        <v/>
      </c>
      <c r="HA21">
        <f>MAX(0,IT21)</f>
        <v/>
      </c>
      <c r="HB21">
        <f>IF(HA21=0,0,INDEX($D$2:$EQ$2,HA21))</f>
        <v/>
      </c>
      <c r="HC21">
        <f>IF(HA21=0,0,INDEX($D$3:$EQ$3,HA21))</f>
        <v/>
      </c>
      <c r="HD21">
        <f>MAX(0,IY21)</f>
        <v/>
      </c>
      <c r="HE21">
        <f>IF(HD21=0,0,INDEX($D$2:$EQ$2,HD21))</f>
        <v/>
      </c>
      <c r="HF21">
        <f>IF(HD21=0,0,INDEX($D$3:$EQ$3,HD21))</f>
        <v/>
      </c>
      <c r="HG21">
        <f>MAX(0,IZ21)</f>
        <v/>
      </c>
      <c r="HH21">
        <f>IF(HG21=0,0,INDEX($D$2:$EQ$2,HG21))</f>
        <v/>
      </c>
      <c r="HI21">
        <f>IF(HG21=0,0,INDEX($D$3:$EQ$3,HG21))</f>
        <v/>
      </c>
      <c r="HJ21">
        <f>IF(AND(HA21&gt;0,HC21&gt;1,OR(HC21-1&lt;&gt;$A$3,$A$4=0)),HA21-1,-1)</f>
        <v/>
      </c>
      <c r="HK21">
        <f>IF(AND(HA21&gt;0,HC21&lt;24,OR(HC21&lt;&gt;$A$3,$A$4=0)),HA21+1,-1)</f>
        <v/>
      </c>
      <c r="HL21">
        <f>IF(AND(HD21&gt;0,HF21&gt;1,OR(HF21-1&lt;&gt;$A$3,$A$4=0)),HD21-1,-1)</f>
        <v/>
      </c>
      <c r="HM21">
        <f>IF(AND(HD21&gt;0,HF21&lt;24,OR(HF21&lt;&gt;$A$3,$A$4=0)),HD21+1,-1)</f>
        <v/>
      </c>
      <c r="HN21">
        <f>IF(AND(HG21&gt;0,HI21&gt;1,OR(HI21-1&lt;&gt;$A$3,$A$4=0)),HG21-1,-1)</f>
        <v/>
      </c>
      <c r="HO21">
        <f>IF(AND(HG21&gt;0,HI21&lt;24,OR(HI21&lt;&gt;$A$3,$A$4=0)),HG21+1,-1)</f>
        <v/>
      </c>
      <c r="IK21">
        <f>IFERROR(INDEX('calcB'!$C$3:$C$47,MATCH(A21,'calcB'!$B$3:$B$47,0)),0)</f>
        <v/>
      </c>
      <c r="IL21">
        <f>IF(AND(C21=1,IK21=0,calcA!$A$6&gt;0),1,0)</f>
        <v/>
      </c>
      <c r="IM21">
        <f>SUMPRODUCT(D71:EQ71*(1-$D$7:$EQ$7))</f>
        <v/>
      </c>
      <c r="IN21">
        <f>SUM(D21:EQ21)</f>
        <v/>
      </c>
      <c r="IO21">
        <f>IF(B21="",0,IF(COUNTIF('調整・決定'!$C$6:$H$29,B21)=1,SUMPRODUCT(('調整・決定'!$C$6:$H$29=B21)*((COLUMN('調整・決定'!$C$6:$H$29)-3)*24+ROW('調整・決定'!$C$6:$H$29)-5)),0))</f>
        <v/>
      </c>
      <c r="IP21">
        <f>IFERROR(MATCH('名簿'!C16,{"早い時刻","遅い時刻","早い日","遅い日"},0),0)</f>
        <v/>
      </c>
      <c r="IQ21">
        <f>IF('名簿'!D16="必ず空けたい",2,IF('名簿'!D16="出来れば空けたい",1,0))</f>
        <v/>
      </c>
      <c r="IR21">
        <f>IFERROR(INDEX('calcC'!$C$3:$C$47,MATCH(A21,'calcC'!$B$3:$B$47,0)),0)</f>
        <v/>
      </c>
      <c r="IS21">
        <f>IF(AND(C21=1,IR21=0,calcA!$A$6&gt;0),1,0)</f>
        <v/>
      </c>
      <c r="IT21">
        <f>IF(OR('名簿'!G16="",'名簿'!H16=""),0,IFERROR((MATCH('名簿'!G16,'設定'!$E$11:$E$16,0)-1)*24+MATCH('名簿'!H16,'設定'!$I$11:$I$34,0),-1))</f>
        <v/>
      </c>
      <c r="IV21">
        <f>IF(OR(JF21=0,IO21=0),1,IF(OR(IF(IT21&gt;0,AND(INDEX($D$2:$EQ$2,IO21)=INDEX($D$2:$EQ$2,IT21),OR(AND(IO21=IT21+1,OR(INDEX($D$3:$EQ$3,IT21)&lt;&gt;$A$3,$A$4=0)),AND(IO21=IT21-1,OR(INDEX($D$3:$EQ$3,IO21)&lt;&gt;$A$3,$A$4=0)))),FALSE),IF(IY21&gt;0,AND(INDEX($D$2:$EQ$2,IO21)=INDEX($D$2:$EQ$2,IY21),OR(AND(IO21=IY21+1,OR(INDEX($D$3:$EQ$3,IY21)&lt;&gt;$A$3,$A$4=0)),AND(IO21=IY21-1,OR(INDEX($D$3:$EQ$3,IO21)&lt;&gt;$A$3,$A$4=0)))),FALSE),IF(IZ21&gt;0,AND(INDEX($D$2:$EQ$2,IO21)=INDEX($D$2:$EQ$2,IZ21),OR(AND(IO21=IZ21+1,OR(INDEX($D$3:$EQ$3,IZ21)&lt;&gt;$A$3,$A$4=0)),AND(IO21=IZ21-1,OR(INDEX($D$3:$EQ$3,IO21)&lt;&gt;$A$3,$A$4=0)))),FALSE)),1,0))</f>
        <v/>
      </c>
      <c r="IW21">
        <f>IF(AND('名簿'!E16&lt;&gt;"",JF21=0),1,0)</f>
        <v/>
      </c>
      <c r="IX21">
        <f>IF('名簿'!D16="空けない",1,0)</f>
        <v/>
      </c>
      <c r="IY21">
        <f>IF(OR('名簿'!J16="",'名簿'!K16=""),0,IFERROR((MATCH('名簿'!J16,'設定'!$E$11:$E$16,0)-1)*24+MATCH('名簿'!K16,'設定'!$I$11:$I$34,0),-1))</f>
        <v/>
      </c>
      <c r="IZ21">
        <f>IF(OR('名簿'!M16="",'名簿'!N16=""),0,IFERROR((MATCH('名簿'!M16,'設定'!$E$11:$E$16,0)-1)*24+MATCH('名簿'!N16,'設定'!$I$11:$I$34,0),-1))</f>
        <v/>
      </c>
      <c r="JC21">
        <f>IF(RIGHT('名簿'!I16,2)="の前",1,IF(RIGHT('名簿'!I16,2)="の後",2,0))</f>
        <v/>
      </c>
      <c r="JD21">
        <f>IF(RIGHT('名簿'!L16,2)="の前",1,IF(RIGHT('名簿'!L16,2)="の後",2,0))</f>
        <v/>
      </c>
      <c r="JE21">
        <f>IF(RIGHT('名簿'!O16,2)="の前",1,IF(RIGHT('名簿'!O16,2)="の後",2,0))</f>
        <v/>
      </c>
      <c r="JF21">
        <f>IF(OR(IT21&gt;0,IY21&gt;0,IZ21&gt;0),1,0)</f>
        <v/>
      </c>
      <c r="JG21">
        <f>IF(OR(IT21&lt;0,IY21&lt;0,IZ21&lt;0),1,0)</f>
        <v/>
      </c>
    </row>
    <row r="22">
      <c r="A22" t="n">
        <v>13</v>
      </c>
      <c r="B22">
        <f>'名簿'!P17</f>
        <v/>
      </c>
      <c r="C22">
        <f>IF(AND(B22&lt;&gt;"",OR('名簿'!Q17="入力済み",'名簿'!Q17="×なし"),IO22=0,COUNTIF('調整・決定'!$C$6:$H$29,B22)=0),1,0)</f>
        <v/>
      </c>
      <c r="D22">
        <f>IF(D$4=1,IF(OR(INDEX('×入力'!$A$1:$L$1300,343+D$3,2+D$2)&lt;&gt;"",INDEX('×入力'!$A$1:$L$1300,342,2+D$2)&lt;&gt;"",INDEX('×入力'!$A$1:$L$1300,343+D$3,1)&lt;&gt;""),1,0),0)</f>
        <v/>
      </c>
      <c r="E22">
        <f>IF(E$4=1,IF(OR(INDEX('×入力'!$A$1:$L$1300,343+E$3,2+E$2)&lt;&gt;"",INDEX('×入力'!$A$1:$L$1300,342,2+E$2)&lt;&gt;"",INDEX('×入力'!$A$1:$L$1300,343+E$3,1)&lt;&gt;""),1,0),0)</f>
        <v/>
      </c>
      <c r="F22">
        <f>IF(F$4=1,IF(OR(INDEX('×入力'!$A$1:$L$1300,343+F$3,2+F$2)&lt;&gt;"",INDEX('×入力'!$A$1:$L$1300,342,2+F$2)&lt;&gt;"",INDEX('×入力'!$A$1:$L$1300,343+F$3,1)&lt;&gt;""),1,0),0)</f>
        <v/>
      </c>
      <c r="G22">
        <f>IF(G$4=1,IF(OR(INDEX('×入力'!$A$1:$L$1300,343+G$3,2+G$2)&lt;&gt;"",INDEX('×入力'!$A$1:$L$1300,342,2+G$2)&lt;&gt;"",INDEX('×入力'!$A$1:$L$1300,343+G$3,1)&lt;&gt;""),1,0),0)</f>
        <v/>
      </c>
      <c r="H22">
        <f>IF(H$4=1,IF(OR(INDEX('×入力'!$A$1:$L$1300,343+H$3,2+H$2)&lt;&gt;"",INDEX('×入力'!$A$1:$L$1300,342,2+H$2)&lt;&gt;"",INDEX('×入力'!$A$1:$L$1300,343+H$3,1)&lt;&gt;""),1,0),0)</f>
        <v/>
      </c>
      <c r="I22">
        <f>IF(I$4=1,IF(OR(INDEX('×入力'!$A$1:$L$1300,343+I$3,2+I$2)&lt;&gt;"",INDEX('×入力'!$A$1:$L$1300,342,2+I$2)&lt;&gt;"",INDEX('×入力'!$A$1:$L$1300,343+I$3,1)&lt;&gt;""),1,0),0)</f>
        <v/>
      </c>
      <c r="J22">
        <f>IF(J$4=1,IF(OR(INDEX('×入力'!$A$1:$L$1300,343+J$3,2+J$2)&lt;&gt;"",INDEX('×入力'!$A$1:$L$1300,342,2+J$2)&lt;&gt;"",INDEX('×入力'!$A$1:$L$1300,343+J$3,1)&lt;&gt;""),1,0),0)</f>
        <v/>
      </c>
      <c r="K22">
        <f>IF(K$4=1,IF(OR(INDEX('×入力'!$A$1:$L$1300,343+K$3,2+K$2)&lt;&gt;"",INDEX('×入力'!$A$1:$L$1300,342,2+K$2)&lt;&gt;"",INDEX('×入力'!$A$1:$L$1300,343+K$3,1)&lt;&gt;""),1,0),0)</f>
        <v/>
      </c>
      <c r="L22">
        <f>IF(L$4=1,IF(OR(INDEX('×入力'!$A$1:$L$1300,343+L$3,2+L$2)&lt;&gt;"",INDEX('×入力'!$A$1:$L$1300,342,2+L$2)&lt;&gt;"",INDEX('×入力'!$A$1:$L$1300,343+L$3,1)&lt;&gt;""),1,0),0)</f>
        <v/>
      </c>
      <c r="M22">
        <f>IF(M$4=1,IF(OR(INDEX('×入力'!$A$1:$L$1300,343+M$3,2+M$2)&lt;&gt;"",INDEX('×入力'!$A$1:$L$1300,342,2+M$2)&lt;&gt;"",INDEX('×入力'!$A$1:$L$1300,343+M$3,1)&lt;&gt;""),1,0),0)</f>
        <v/>
      </c>
      <c r="N22">
        <f>IF(N$4=1,IF(OR(INDEX('×入力'!$A$1:$L$1300,343+N$3,2+N$2)&lt;&gt;"",INDEX('×入力'!$A$1:$L$1300,342,2+N$2)&lt;&gt;"",INDEX('×入力'!$A$1:$L$1300,343+N$3,1)&lt;&gt;""),1,0),0)</f>
        <v/>
      </c>
      <c r="O22">
        <f>IF(O$4=1,IF(OR(INDEX('×入力'!$A$1:$L$1300,343+O$3,2+O$2)&lt;&gt;"",INDEX('×入力'!$A$1:$L$1300,342,2+O$2)&lt;&gt;"",INDEX('×入力'!$A$1:$L$1300,343+O$3,1)&lt;&gt;""),1,0),0)</f>
        <v/>
      </c>
      <c r="P22">
        <f>IF(P$4=1,IF(OR(INDEX('×入力'!$A$1:$L$1300,343+P$3,2+P$2)&lt;&gt;"",INDEX('×入力'!$A$1:$L$1300,342,2+P$2)&lt;&gt;"",INDEX('×入力'!$A$1:$L$1300,343+P$3,1)&lt;&gt;""),1,0),0)</f>
        <v/>
      </c>
      <c r="Q22">
        <f>IF(Q$4=1,IF(OR(INDEX('×入力'!$A$1:$L$1300,343+Q$3,2+Q$2)&lt;&gt;"",INDEX('×入力'!$A$1:$L$1300,342,2+Q$2)&lt;&gt;"",INDEX('×入力'!$A$1:$L$1300,343+Q$3,1)&lt;&gt;""),1,0),0)</f>
        <v/>
      </c>
      <c r="R22">
        <f>IF(R$4=1,IF(OR(INDEX('×入力'!$A$1:$L$1300,343+R$3,2+R$2)&lt;&gt;"",INDEX('×入力'!$A$1:$L$1300,342,2+R$2)&lt;&gt;"",INDEX('×入力'!$A$1:$L$1300,343+R$3,1)&lt;&gt;""),1,0),0)</f>
        <v/>
      </c>
      <c r="S22">
        <f>IF(S$4=1,IF(OR(INDEX('×入力'!$A$1:$L$1300,343+S$3,2+S$2)&lt;&gt;"",INDEX('×入力'!$A$1:$L$1300,342,2+S$2)&lt;&gt;"",INDEX('×入力'!$A$1:$L$1300,343+S$3,1)&lt;&gt;""),1,0),0)</f>
        <v/>
      </c>
      <c r="T22">
        <f>IF(T$4=1,IF(OR(INDEX('×入力'!$A$1:$L$1300,343+T$3,2+T$2)&lt;&gt;"",INDEX('×入力'!$A$1:$L$1300,342,2+T$2)&lt;&gt;"",INDEX('×入力'!$A$1:$L$1300,343+T$3,1)&lt;&gt;""),1,0),0)</f>
        <v/>
      </c>
      <c r="U22">
        <f>IF(U$4=1,IF(OR(INDEX('×入力'!$A$1:$L$1300,343+U$3,2+U$2)&lt;&gt;"",INDEX('×入力'!$A$1:$L$1300,342,2+U$2)&lt;&gt;"",INDEX('×入力'!$A$1:$L$1300,343+U$3,1)&lt;&gt;""),1,0),0)</f>
        <v/>
      </c>
      <c r="V22">
        <f>IF(V$4=1,IF(OR(INDEX('×入力'!$A$1:$L$1300,343+V$3,2+V$2)&lt;&gt;"",INDEX('×入力'!$A$1:$L$1300,342,2+V$2)&lt;&gt;"",INDEX('×入力'!$A$1:$L$1300,343+V$3,1)&lt;&gt;""),1,0),0)</f>
        <v/>
      </c>
      <c r="W22">
        <f>IF(W$4=1,IF(OR(INDEX('×入力'!$A$1:$L$1300,343+W$3,2+W$2)&lt;&gt;"",INDEX('×入力'!$A$1:$L$1300,342,2+W$2)&lt;&gt;"",INDEX('×入力'!$A$1:$L$1300,343+W$3,1)&lt;&gt;""),1,0),0)</f>
        <v/>
      </c>
      <c r="X22">
        <f>IF(X$4=1,IF(OR(INDEX('×入力'!$A$1:$L$1300,343+X$3,2+X$2)&lt;&gt;"",INDEX('×入力'!$A$1:$L$1300,342,2+X$2)&lt;&gt;"",INDEX('×入力'!$A$1:$L$1300,343+X$3,1)&lt;&gt;""),1,0),0)</f>
        <v/>
      </c>
      <c r="Y22">
        <f>IF(Y$4=1,IF(OR(INDEX('×入力'!$A$1:$L$1300,343+Y$3,2+Y$2)&lt;&gt;"",INDEX('×入力'!$A$1:$L$1300,342,2+Y$2)&lt;&gt;"",INDEX('×入力'!$A$1:$L$1300,343+Y$3,1)&lt;&gt;""),1,0),0)</f>
        <v/>
      </c>
      <c r="Z22">
        <f>IF(Z$4=1,IF(OR(INDEX('×入力'!$A$1:$L$1300,343+Z$3,2+Z$2)&lt;&gt;"",INDEX('×入力'!$A$1:$L$1300,342,2+Z$2)&lt;&gt;"",INDEX('×入力'!$A$1:$L$1300,343+Z$3,1)&lt;&gt;""),1,0),0)</f>
        <v/>
      </c>
      <c r="AA22">
        <f>IF(AA$4=1,IF(OR(INDEX('×入力'!$A$1:$L$1300,343+AA$3,2+AA$2)&lt;&gt;"",INDEX('×入力'!$A$1:$L$1300,342,2+AA$2)&lt;&gt;"",INDEX('×入力'!$A$1:$L$1300,343+AA$3,1)&lt;&gt;""),1,0),0)</f>
        <v/>
      </c>
      <c r="AB22">
        <f>IF(AB$4=1,IF(OR(INDEX('×入力'!$A$1:$L$1300,343+AB$3,2+AB$2)&lt;&gt;"",INDEX('×入力'!$A$1:$L$1300,342,2+AB$2)&lt;&gt;"",INDEX('×入力'!$A$1:$L$1300,343+AB$3,1)&lt;&gt;""),1,0),0)</f>
        <v/>
      </c>
      <c r="AC22">
        <f>IF(AC$4=1,IF(OR(INDEX('×入力'!$A$1:$L$1300,343+AC$3,2+AC$2)&lt;&gt;"",INDEX('×入力'!$A$1:$L$1300,342,2+AC$2)&lt;&gt;"",INDEX('×入力'!$A$1:$L$1300,343+AC$3,1)&lt;&gt;""),1,0),0)</f>
        <v/>
      </c>
      <c r="AD22">
        <f>IF(AD$4=1,IF(OR(INDEX('×入力'!$A$1:$L$1300,343+AD$3,2+AD$2)&lt;&gt;"",INDEX('×入力'!$A$1:$L$1300,342,2+AD$2)&lt;&gt;"",INDEX('×入力'!$A$1:$L$1300,343+AD$3,1)&lt;&gt;""),1,0),0)</f>
        <v/>
      </c>
      <c r="AE22">
        <f>IF(AE$4=1,IF(OR(INDEX('×入力'!$A$1:$L$1300,343+AE$3,2+AE$2)&lt;&gt;"",INDEX('×入力'!$A$1:$L$1300,342,2+AE$2)&lt;&gt;"",INDEX('×入力'!$A$1:$L$1300,343+AE$3,1)&lt;&gt;""),1,0),0)</f>
        <v/>
      </c>
      <c r="AF22">
        <f>IF(AF$4=1,IF(OR(INDEX('×入力'!$A$1:$L$1300,343+AF$3,2+AF$2)&lt;&gt;"",INDEX('×入力'!$A$1:$L$1300,342,2+AF$2)&lt;&gt;"",INDEX('×入力'!$A$1:$L$1300,343+AF$3,1)&lt;&gt;""),1,0),0)</f>
        <v/>
      </c>
      <c r="AG22">
        <f>IF(AG$4=1,IF(OR(INDEX('×入力'!$A$1:$L$1300,343+AG$3,2+AG$2)&lt;&gt;"",INDEX('×入力'!$A$1:$L$1300,342,2+AG$2)&lt;&gt;"",INDEX('×入力'!$A$1:$L$1300,343+AG$3,1)&lt;&gt;""),1,0),0)</f>
        <v/>
      </c>
      <c r="AH22">
        <f>IF(AH$4=1,IF(OR(INDEX('×入力'!$A$1:$L$1300,343+AH$3,2+AH$2)&lt;&gt;"",INDEX('×入力'!$A$1:$L$1300,342,2+AH$2)&lt;&gt;"",INDEX('×入力'!$A$1:$L$1300,343+AH$3,1)&lt;&gt;""),1,0),0)</f>
        <v/>
      </c>
      <c r="AI22">
        <f>IF(AI$4=1,IF(OR(INDEX('×入力'!$A$1:$L$1300,343+AI$3,2+AI$2)&lt;&gt;"",INDEX('×入力'!$A$1:$L$1300,342,2+AI$2)&lt;&gt;"",INDEX('×入力'!$A$1:$L$1300,343+AI$3,1)&lt;&gt;""),1,0),0)</f>
        <v/>
      </c>
      <c r="AJ22">
        <f>IF(AJ$4=1,IF(OR(INDEX('×入力'!$A$1:$L$1300,343+AJ$3,2+AJ$2)&lt;&gt;"",INDEX('×入力'!$A$1:$L$1300,342,2+AJ$2)&lt;&gt;"",INDEX('×入力'!$A$1:$L$1300,343+AJ$3,1)&lt;&gt;""),1,0),0)</f>
        <v/>
      </c>
      <c r="AK22">
        <f>IF(AK$4=1,IF(OR(INDEX('×入力'!$A$1:$L$1300,343+AK$3,2+AK$2)&lt;&gt;"",INDEX('×入力'!$A$1:$L$1300,342,2+AK$2)&lt;&gt;"",INDEX('×入力'!$A$1:$L$1300,343+AK$3,1)&lt;&gt;""),1,0),0)</f>
        <v/>
      </c>
      <c r="AL22">
        <f>IF(AL$4=1,IF(OR(INDEX('×入力'!$A$1:$L$1300,343+AL$3,2+AL$2)&lt;&gt;"",INDEX('×入力'!$A$1:$L$1300,342,2+AL$2)&lt;&gt;"",INDEX('×入力'!$A$1:$L$1300,343+AL$3,1)&lt;&gt;""),1,0),0)</f>
        <v/>
      </c>
      <c r="AM22">
        <f>IF(AM$4=1,IF(OR(INDEX('×入力'!$A$1:$L$1300,343+AM$3,2+AM$2)&lt;&gt;"",INDEX('×入力'!$A$1:$L$1300,342,2+AM$2)&lt;&gt;"",INDEX('×入力'!$A$1:$L$1300,343+AM$3,1)&lt;&gt;""),1,0),0)</f>
        <v/>
      </c>
      <c r="AN22">
        <f>IF(AN$4=1,IF(OR(INDEX('×入力'!$A$1:$L$1300,343+AN$3,2+AN$2)&lt;&gt;"",INDEX('×入力'!$A$1:$L$1300,342,2+AN$2)&lt;&gt;"",INDEX('×入力'!$A$1:$L$1300,343+AN$3,1)&lt;&gt;""),1,0),0)</f>
        <v/>
      </c>
      <c r="AO22">
        <f>IF(AO$4=1,IF(OR(INDEX('×入力'!$A$1:$L$1300,343+AO$3,2+AO$2)&lt;&gt;"",INDEX('×入力'!$A$1:$L$1300,342,2+AO$2)&lt;&gt;"",INDEX('×入力'!$A$1:$L$1300,343+AO$3,1)&lt;&gt;""),1,0),0)</f>
        <v/>
      </c>
      <c r="AP22">
        <f>IF(AP$4=1,IF(OR(INDEX('×入力'!$A$1:$L$1300,343+AP$3,2+AP$2)&lt;&gt;"",INDEX('×入力'!$A$1:$L$1300,342,2+AP$2)&lt;&gt;"",INDEX('×入力'!$A$1:$L$1300,343+AP$3,1)&lt;&gt;""),1,0),0)</f>
        <v/>
      </c>
      <c r="AQ22">
        <f>IF(AQ$4=1,IF(OR(INDEX('×入力'!$A$1:$L$1300,343+AQ$3,2+AQ$2)&lt;&gt;"",INDEX('×入力'!$A$1:$L$1300,342,2+AQ$2)&lt;&gt;"",INDEX('×入力'!$A$1:$L$1300,343+AQ$3,1)&lt;&gt;""),1,0),0)</f>
        <v/>
      </c>
      <c r="AR22">
        <f>IF(AR$4=1,IF(OR(INDEX('×入力'!$A$1:$L$1300,343+AR$3,2+AR$2)&lt;&gt;"",INDEX('×入力'!$A$1:$L$1300,342,2+AR$2)&lt;&gt;"",INDEX('×入力'!$A$1:$L$1300,343+AR$3,1)&lt;&gt;""),1,0),0)</f>
        <v/>
      </c>
      <c r="AS22">
        <f>IF(AS$4=1,IF(OR(INDEX('×入力'!$A$1:$L$1300,343+AS$3,2+AS$2)&lt;&gt;"",INDEX('×入力'!$A$1:$L$1300,342,2+AS$2)&lt;&gt;"",INDEX('×入力'!$A$1:$L$1300,343+AS$3,1)&lt;&gt;""),1,0),0)</f>
        <v/>
      </c>
      <c r="AT22">
        <f>IF(AT$4=1,IF(OR(INDEX('×入力'!$A$1:$L$1300,343+AT$3,2+AT$2)&lt;&gt;"",INDEX('×入力'!$A$1:$L$1300,342,2+AT$2)&lt;&gt;"",INDEX('×入力'!$A$1:$L$1300,343+AT$3,1)&lt;&gt;""),1,0),0)</f>
        <v/>
      </c>
      <c r="AU22">
        <f>IF(AU$4=1,IF(OR(INDEX('×入力'!$A$1:$L$1300,343+AU$3,2+AU$2)&lt;&gt;"",INDEX('×入力'!$A$1:$L$1300,342,2+AU$2)&lt;&gt;"",INDEX('×入力'!$A$1:$L$1300,343+AU$3,1)&lt;&gt;""),1,0),0)</f>
        <v/>
      </c>
      <c r="AV22">
        <f>IF(AV$4=1,IF(OR(INDEX('×入力'!$A$1:$L$1300,343+AV$3,2+AV$2)&lt;&gt;"",INDEX('×入力'!$A$1:$L$1300,342,2+AV$2)&lt;&gt;"",INDEX('×入力'!$A$1:$L$1300,343+AV$3,1)&lt;&gt;""),1,0),0)</f>
        <v/>
      </c>
      <c r="AW22">
        <f>IF(AW$4=1,IF(OR(INDEX('×入力'!$A$1:$L$1300,343+AW$3,2+AW$2)&lt;&gt;"",INDEX('×入力'!$A$1:$L$1300,342,2+AW$2)&lt;&gt;"",INDEX('×入力'!$A$1:$L$1300,343+AW$3,1)&lt;&gt;""),1,0),0)</f>
        <v/>
      </c>
      <c r="AX22">
        <f>IF(AX$4=1,IF(OR(INDEX('×入力'!$A$1:$L$1300,343+AX$3,2+AX$2)&lt;&gt;"",INDEX('×入力'!$A$1:$L$1300,342,2+AX$2)&lt;&gt;"",INDEX('×入力'!$A$1:$L$1300,343+AX$3,1)&lt;&gt;""),1,0),0)</f>
        <v/>
      </c>
      <c r="AY22">
        <f>IF(AY$4=1,IF(OR(INDEX('×入力'!$A$1:$L$1300,343+AY$3,2+AY$2)&lt;&gt;"",INDEX('×入力'!$A$1:$L$1300,342,2+AY$2)&lt;&gt;"",INDEX('×入力'!$A$1:$L$1300,343+AY$3,1)&lt;&gt;""),1,0),0)</f>
        <v/>
      </c>
      <c r="AZ22">
        <f>IF(AZ$4=1,IF(OR(INDEX('×入力'!$A$1:$L$1300,343+AZ$3,2+AZ$2)&lt;&gt;"",INDEX('×入力'!$A$1:$L$1300,342,2+AZ$2)&lt;&gt;"",INDEX('×入力'!$A$1:$L$1300,343+AZ$3,1)&lt;&gt;""),1,0),0)</f>
        <v/>
      </c>
      <c r="BA22">
        <f>IF(BA$4=1,IF(OR(INDEX('×入力'!$A$1:$L$1300,343+BA$3,2+BA$2)&lt;&gt;"",INDEX('×入力'!$A$1:$L$1300,342,2+BA$2)&lt;&gt;"",INDEX('×入力'!$A$1:$L$1300,343+BA$3,1)&lt;&gt;""),1,0),0)</f>
        <v/>
      </c>
      <c r="BB22">
        <f>IF(BB$4=1,IF(OR(INDEX('×入力'!$A$1:$L$1300,343+BB$3,2+BB$2)&lt;&gt;"",INDEX('×入力'!$A$1:$L$1300,342,2+BB$2)&lt;&gt;"",INDEX('×入力'!$A$1:$L$1300,343+BB$3,1)&lt;&gt;""),1,0),0)</f>
        <v/>
      </c>
      <c r="BC22">
        <f>IF(BC$4=1,IF(OR(INDEX('×入力'!$A$1:$L$1300,343+BC$3,2+BC$2)&lt;&gt;"",INDEX('×入力'!$A$1:$L$1300,342,2+BC$2)&lt;&gt;"",INDEX('×入力'!$A$1:$L$1300,343+BC$3,1)&lt;&gt;""),1,0),0)</f>
        <v/>
      </c>
      <c r="BD22">
        <f>IF(BD$4=1,IF(OR(INDEX('×入力'!$A$1:$L$1300,343+BD$3,2+BD$2)&lt;&gt;"",INDEX('×入力'!$A$1:$L$1300,342,2+BD$2)&lt;&gt;"",INDEX('×入力'!$A$1:$L$1300,343+BD$3,1)&lt;&gt;""),1,0),0)</f>
        <v/>
      </c>
      <c r="BE22">
        <f>IF(BE$4=1,IF(OR(INDEX('×入力'!$A$1:$L$1300,343+BE$3,2+BE$2)&lt;&gt;"",INDEX('×入力'!$A$1:$L$1300,342,2+BE$2)&lt;&gt;"",INDEX('×入力'!$A$1:$L$1300,343+BE$3,1)&lt;&gt;""),1,0),0)</f>
        <v/>
      </c>
      <c r="BF22">
        <f>IF(BF$4=1,IF(OR(INDEX('×入力'!$A$1:$L$1300,343+BF$3,2+BF$2)&lt;&gt;"",INDEX('×入力'!$A$1:$L$1300,342,2+BF$2)&lt;&gt;"",INDEX('×入力'!$A$1:$L$1300,343+BF$3,1)&lt;&gt;""),1,0),0)</f>
        <v/>
      </c>
      <c r="BG22">
        <f>IF(BG$4=1,IF(OR(INDEX('×入力'!$A$1:$L$1300,343+BG$3,2+BG$2)&lt;&gt;"",INDEX('×入力'!$A$1:$L$1300,342,2+BG$2)&lt;&gt;"",INDEX('×入力'!$A$1:$L$1300,343+BG$3,1)&lt;&gt;""),1,0),0)</f>
        <v/>
      </c>
      <c r="BH22">
        <f>IF(BH$4=1,IF(OR(INDEX('×入力'!$A$1:$L$1300,343+BH$3,2+BH$2)&lt;&gt;"",INDEX('×入力'!$A$1:$L$1300,342,2+BH$2)&lt;&gt;"",INDEX('×入力'!$A$1:$L$1300,343+BH$3,1)&lt;&gt;""),1,0),0)</f>
        <v/>
      </c>
      <c r="BI22">
        <f>IF(BI$4=1,IF(OR(INDEX('×入力'!$A$1:$L$1300,343+BI$3,2+BI$2)&lt;&gt;"",INDEX('×入力'!$A$1:$L$1300,342,2+BI$2)&lt;&gt;"",INDEX('×入力'!$A$1:$L$1300,343+BI$3,1)&lt;&gt;""),1,0),0)</f>
        <v/>
      </c>
      <c r="BJ22">
        <f>IF(BJ$4=1,IF(OR(INDEX('×入力'!$A$1:$L$1300,343+BJ$3,2+BJ$2)&lt;&gt;"",INDEX('×入力'!$A$1:$L$1300,342,2+BJ$2)&lt;&gt;"",INDEX('×入力'!$A$1:$L$1300,343+BJ$3,1)&lt;&gt;""),1,0),0)</f>
        <v/>
      </c>
      <c r="BK22">
        <f>IF(BK$4=1,IF(OR(INDEX('×入力'!$A$1:$L$1300,343+BK$3,2+BK$2)&lt;&gt;"",INDEX('×入力'!$A$1:$L$1300,342,2+BK$2)&lt;&gt;"",INDEX('×入力'!$A$1:$L$1300,343+BK$3,1)&lt;&gt;""),1,0),0)</f>
        <v/>
      </c>
      <c r="BL22">
        <f>IF(BL$4=1,IF(OR(INDEX('×入力'!$A$1:$L$1300,343+BL$3,2+BL$2)&lt;&gt;"",INDEX('×入力'!$A$1:$L$1300,342,2+BL$2)&lt;&gt;"",INDEX('×入力'!$A$1:$L$1300,343+BL$3,1)&lt;&gt;""),1,0),0)</f>
        <v/>
      </c>
      <c r="BM22">
        <f>IF(BM$4=1,IF(OR(INDEX('×入力'!$A$1:$L$1300,343+BM$3,2+BM$2)&lt;&gt;"",INDEX('×入力'!$A$1:$L$1300,342,2+BM$2)&lt;&gt;"",INDEX('×入力'!$A$1:$L$1300,343+BM$3,1)&lt;&gt;""),1,0),0)</f>
        <v/>
      </c>
      <c r="BN22">
        <f>IF(BN$4=1,IF(OR(INDEX('×入力'!$A$1:$L$1300,343+BN$3,2+BN$2)&lt;&gt;"",INDEX('×入力'!$A$1:$L$1300,342,2+BN$2)&lt;&gt;"",INDEX('×入力'!$A$1:$L$1300,343+BN$3,1)&lt;&gt;""),1,0),0)</f>
        <v/>
      </c>
      <c r="BO22">
        <f>IF(BO$4=1,IF(OR(INDEX('×入力'!$A$1:$L$1300,343+BO$3,2+BO$2)&lt;&gt;"",INDEX('×入力'!$A$1:$L$1300,342,2+BO$2)&lt;&gt;"",INDEX('×入力'!$A$1:$L$1300,343+BO$3,1)&lt;&gt;""),1,0),0)</f>
        <v/>
      </c>
      <c r="BP22">
        <f>IF(BP$4=1,IF(OR(INDEX('×入力'!$A$1:$L$1300,343+BP$3,2+BP$2)&lt;&gt;"",INDEX('×入力'!$A$1:$L$1300,342,2+BP$2)&lt;&gt;"",INDEX('×入力'!$A$1:$L$1300,343+BP$3,1)&lt;&gt;""),1,0),0)</f>
        <v/>
      </c>
      <c r="BQ22">
        <f>IF(BQ$4=1,IF(OR(INDEX('×入力'!$A$1:$L$1300,343+BQ$3,2+BQ$2)&lt;&gt;"",INDEX('×入力'!$A$1:$L$1300,342,2+BQ$2)&lt;&gt;"",INDEX('×入力'!$A$1:$L$1300,343+BQ$3,1)&lt;&gt;""),1,0),0)</f>
        <v/>
      </c>
      <c r="BR22">
        <f>IF(BR$4=1,IF(OR(INDEX('×入力'!$A$1:$L$1300,343+BR$3,2+BR$2)&lt;&gt;"",INDEX('×入力'!$A$1:$L$1300,342,2+BR$2)&lt;&gt;"",INDEX('×入力'!$A$1:$L$1300,343+BR$3,1)&lt;&gt;""),1,0),0)</f>
        <v/>
      </c>
      <c r="BS22">
        <f>IF(BS$4=1,IF(OR(INDEX('×入力'!$A$1:$L$1300,343+BS$3,2+BS$2)&lt;&gt;"",INDEX('×入力'!$A$1:$L$1300,342,2+BS$2)&lt;&gt;"",INDEX('×入力'!$A$1:$L$1300,343+BS$3,1)&lt;&gt;""),1,0),0)</f>
        <v/>
      </c>
      <c r="BT22">
        <f>IF(BT$4=1,IF(OR(INDEX('×入力'!$A$1:$L$1300,343+BT$3,2+BT$2)&lt;&gt;"",INDEX('×入力'!$A$1:$L$1300,342,2+BT$2)&lt;&gt;"",INDEX('×入力'!$A$1:$L$1300,343+BT$3,1)&lt;&gt;""),1,0),0)</f>
        <v/>
      </c>
      <c r="BU22">
        <f>IF(BU$4=1,IF(OR(INDEX('×入力'!$A$1:$L$1300,343+BU$3,2+BU$2)&lt;&gt;"",INDEX('×入力'!$A$1:$L$1300,342,2+BU$2)&lt;&gt;"",INDEX('×入力'!$A$1:$L$1300,343+BU$3,1)&lt;&gt;""),1,0),0)</f>
        <v/>
      </c>
      <c r="BV22">
        <f>IF(BV$4=1,IF(OR(INDEX('×入力'!$A$1:$L$1300,343+BV$3,2+BV$2)&lt;&gt;"",INDEX('×入力'!$A$1:$L$1300,342,2+BV$2)&lt;&gt;"",INDEX('×入力'!$A$1:$L$1300,343+BV$3,1)&lt;&gt;""),1,0),0)</f>
        <v/>
      </c>
      <c r="BW22">
        <f>IF(BW$4=1,IF(OR(INDEX('×入力'!$A$1:$L$1300,343+BW$3,2+BW$2)&lt;&gt;"",INDEX('×入力'!$A$1:$L$1300,342,2+BW$2)&lt;&gt;"",INDEX('×入力'!$A$1:$L$1300,343+BW$3,1)&lt;&gt;""),1,0),0)</f>
        <v/>
      </c>
      <c r="BX22">
        <f>IF(BX$4=1,IF(OR(INDEX('×入力'!$A$1:$L$1300,343+BX$3,2+BX$2)&lt;&gt;"",INDEX('×入力'!$A$1:$L$1300,342,2+BX$2)&lt;&gt;"",INDEX('×入力'!$A$1:$L$1300,343+BX$3,1)&lt;&gt;""),1,0),0)</f>
        <v/>
      </c>
      <c r="BY22">
        <f>IF(BY$4=1,IF(OR(INDEX('×入力'!$A$1:$L$1300,343+BY$3,2+BY$2)&lt;&gt;"",INDEX('×入力'!$A$1:$L$1300,342,2+BY$2)&lt;&gt;"",INDEX('×入力'!$A$1:$L$1300,343+BY$3,1)&lt;&gt;""),1,0),0)</f>
        <v/>
      </c>
      <c r="BZ22">
        <f>IF(BZ$4=1,IF(OR(INDEX('×入力'!$A$1:$L$1300,343+BZ$3,2+BZ$2)&lt;&gt;"",INDEX('×入力'!$A$1:$L$1300,342,2+BZ$2)&lt;&gt;"",INDEX('×入力'!$A$1:$L$1300,343+BZ$3,1)&lt;&gt;""),1,0),0)</f>
        <v/>
      </c>
      <c r="CA22">
        <f>IF(CA$4=1,IF(OR(INDEX('×入力'!$A$1:$L$1300,343+CA$3,2+CA$2)&lt;&gt;"",INDEX('×入力'!$A$1:$L$1300,342,2+CA$2)&lt;&gt;"",INDEX('×入力'!$A$1:$L$1300,343+CA$3,1)&lt;&gt;""),1,0),0)</f>
        <v/>
      </c>
      <c r="CB22">
        <f>IF(CB$4=1,IF(OR(INDEX('×入力'!$A$1:$L$1300,343+CB$3,2+CB$2)&lt;&gt;"",INDEX('×入力'!$A$1:$L$1300,342,2+CB$2)&lt;&gt;"",INDEX('×入力'!$A$1:$L$1300,343+CB$3,1)&lt;&gt;""),1,0),0)</f>
        <v/>
      </c>
      <c r="CC22">
        <f>IF(CC$4=1,IF(OR(INDEX('×入力'!$A$1:$L$1300,343+CC$3,2+CC$2)&lt;&gt;"",INDEX('×入力'!$A$1:$L$1300,342,2+CC$2)&lt;&gt;"",INDEX('×入力'!$A$1:$L$1300,343+CC$3,1)&lt;&gt;""),1,0),0)</f>
        <v/>
      </c>
      <c r="CD22">
        <f>IF(CD$4=1,IF(OR(INDEX('×入力'!$A$1:$L$1300,343+CD$3,2+CD$2)&lt;&gt;"",INDEX('×入力'!$A$1:$L$1300,342,2+CD$2)&lt;&gt;"",INDEX('×入力'!$A$1:$L$1300,343+CD$3,1)&lt;&gt;""),1,0),0)</f>
        <v/>
      </c>
      <c r="CE22">
        <f>IF(CE$4=1,IF(OR(INDEX('×入力'!$A$1:$L$1300,343+CE$3,2+CE$2)&lt;&gt;"",INDEX('×入力'!$A$1:$L$1300,342,2+CE$2)&lt;&gt;"",INDEX('×入力'!$A$1:$L$1300,343+CE$3,1)&lt;&gt;""),1,0),0)</f>
        <v/>
      </c>
      <c r="CF22">
        <f>IF(CF$4=1,IF(OR(INDEX('×入力'!$A$1:$L$1300,343+CF$3,2+CF$2)&lt;&gt;"",INDEX('×入力'!$A$1:$L$1300,342,2+CF$2)&lt;&gt;"",INDEX('×入力'!$A$1:$L$1300,343+CF$3,1)&lt;&gt;""),1,0),0)</f>
        <v/>
      </c>
      <c r="CG22">
        <f>IF(CG$4=1,IF(OR(INDEX('×入力'!$A$1:$L$1300,343+CG$3,2+CG$2)&lt;&gt;"",INDEX('×入力'!$A$1:$L$1300,342,2+CG$2)&lt;&gt;"",INDEX('×入力'!$A$1:$L$1300,343+CG$3,1)&lt;&gt;""),1,0),0)</f>
        <v/>
      </c>
      <c r="CH22">
        <f>IF(CH$4=1,IF(OR(INDEX('×入力'!$A$1:$L$1300,343+CH$3,2+CH$2)&lt;&gt;"",INDEX('×入力'!$A$1:$L$1300,342,2+CH$2)&lt;&gt;"",INDEX('×入力'!$A$1:$L$1300,343+CH$3,1)&lt;&gt;""),1,0),0)</f>
        <v/>
      </c>
      <c r="CI22">
        <f>IF(CI$4=1,IF(OR(INDEX('×入力'!$A$1:$L$1300,343+CI$3,2+CI$2)&lt;&gt;"",INDEX('×入力'!$A$1:$L$1300,342,2+CI$2)&lt;&gt;"",INDEX('×入力'!$A$1:$L$1300,343+CI$3,1)&lt;&gt;""),1,0),0)</f>
        <v/>
      </c>
      <c r="CJ22">
        <f>IF(CJ$4=1,IF(OR(INDEX('×入力'!$A$1:$L$1300,343+CJ$3,2+CJ$2)&lt;&gt;"",INDEX('×入力'!$A$1:$L$1300,342,2+CJ$2)&lt;&gt;"",INDEX('×入力'!$A$1:$L$1300,343+CJ$3,1)&lt;&gt;""),1,0),0)</f>
        <v/>
      </c>
      <c r="CK22">
        <f>IF(CK$4=1,IF(OR(INDEX('×入力'!$A$1:$L$1300,343+CK$3,2+CK$2)&lt;&gt;"",INDEX('×入力'!$A$1:$L$1300,342,2+CK$2)&lt;&gt;"",INDEX('×入力'!$A$1:$L$1300,343+CK$3,1)&lt;&gt;""),1,0),0)</f>
        <v/>
      </c>
      <c r="CL22">
        <f>IF(CL$4=1,IF(OR(INDEX('×入力'!$A$1:$L$1300,343+CL$3,2+CL$2)&lt;&gt;"",INDEX('×入力'!$A$1:$L$1300,342,2+CL$2)&lt;&gt;"",INDEX('×入力'!$A$1:$L$1300,343+CL$3,1)&lt;&gt;""),1,0),0)</f>
        <v/>
      </c>
      <c r="CM22">
        <f>IF(CM$4=1,IF(OR(INDEX('×入力'!$A$1:$L$1300,343+CM$3,2+CM$2)&lt;&gt;"",INDEX('×入力'!$A$1:$L$1300,342,2+CM$2)&lt;&gt;"",INDEX('×入力'!$A$1:$L$1300,343+CM$3,1)&lt;&gt;""),1,0),0)</f>
        <v/>
      </c>
      <c r="CN22">
        <f>IF(CN$4=1,IF(OR(INDEX('×入力'!$A$1:$L$1300,343+CN$3,2+CN$2)&lt;&gt;"",INDEX('×入力'!$A$1:$L$1300,342,2+CN$2)&lt;&gt;"",INDEX('×入力'!$A$1:$L$1300,343+CN$3,1)&lt;&gt;""),1,0),0)</f>
        <v/>
      </c>
      <c r="CO22">
        <f>IF(CO$4=1,IF(OR(INDEX('×入力'!$A$1:$L$1300,343+CO$3,2+CO$2)&lt;&gt;"",INDEX('×入力'!$A$1:$L$1300,342,2+CO$2)&lt;&gt;"",INDEX('×入力'!$A$1:$L$1300,343+CO$3,1)&lt;&gt;""),1,0),0)</f>
        <v/>
      </c>
      <c r="CP22">
        <f>IF(CP$4=1,IF(OR(INDEX('×入力'!$A$1:$L$1300,343+CP$3,2+CP$2)&lt;&gt;"",INDEX('×入力'!$A$1:$L$1300,342,2+CP$2)&lt;&gt;"",INDEX('×入力'!$A$1:$L$1300,343+CP$3,1)&lt;&gt;""),1,0),0)</f>
        <v/>
      </c>
      <c r="CQ22">
        <f>IF(CQ$4=1,IF(OR(INDEX('×入力'!$A$1:$L$1300,343+CQ$3,2+CQ$2)&lt;&gt;"",INDEX('×入力'!$A$1:$L$1300,342,2+CQ$2)&lt;&gt;"",INDEX('×入力'!$A$1:$L$1300,343+CQ$3,1)&lt;&gt;""),1,0),0)</f>
        <v/>
      </c>
      <c r="CR22">
        <f>IF(CR$4=1,IF(OR(INDEX('×入力'!$A$1:$L$1300,343+CR$3,2+CR$2)&lt;&gt;"",INDEX('×入力'!$A$1:$L$1300,342,2+CR$2)&lt;&gt;"",INDEX('×入力'!$A$1:$L$1300,343+CR$3,1)&lt;&gt;""),1,0),0)</f>
        <v/>
      </c>
      <c r="CS22">
        <f>IF(CS$4=1,IF(OR(INDEX('×入力'!$A$1:$L$1300,343+CS$3,2+CS$2)&lt;&gt;"",INDEX('×入力'!$A$1:$L$1300,342,2+CS$2)&lt;&gt;"",INDEX('×入力'!$A$1:$L$1300,343+CS$3,1)&lt;&gt;""),1,0),0)</f>
        <v/>
      </c>
      <c r="CT22">
        <f>IF(CT$4=1,IF(OR(INDEX('×入力'!$A$1:$L$1300,343+CT$3,2+CT$2)&lt;&gt;"",INDEX('×入力'!$A$1:$L$1300,342,2+CT$2)&lt;&gt;"",INDEX('×入力'!$A$1:$L$1300,343+CT$3,1)&lt;&gt;""),1,0),0)</f>
        <v/>
      </c>
      <c r="CU22">
        <f>IF(CU$4=1,IF(OR(INDEX('×入力'!$A$1:$L$1300,343+CU$3,2+CU$2)&lt;&gt;"",INDEX('×入力'!$A$1:$L$1300,342,2+CU$2)&lt;&gt;"",INDEX('×入力'!$A$1:$L$1300,343+CU$3,1)&lt;&gt;""),1,0),0)</f>
        <v/>
      </c>
      <c r="CV22">
        <f>IF(CV$4=1,IF(OR(INDEX('×入力'!$A$1:$L$1300,343+CV$3,2+CV$2)&lt;&gt;"",INDEX('×入力'!$A$1:$L$1300,342,2+CV$2)&lt;&gt;"",INDEX('×入力'!$A$1:$L$1300,343+CV$3,1)&lt;&gt;""),1,0),0)</f>
        <v/>
      </c>
      <c r="CW22">
        <f>IF(CW$4=1,IF(OR(INDEX('×入力'!$A$1:$L$1300,343+CW$3,2+CW$2)&lt;&gt;"",INDEX('×入力'!$A$1:$L$1300,342,2+CW$2)&lt;&gt;"",INDEX('×入力'!$A$1:$L$1300,343+CW$3,1)&lt;&gt;""),1,0),0)</f>
        <v/>
      </c>
      <c r="CX22">
        <f>IF(CX$4=1,IF(OR(INDEX('×入力'!$A$1:$L$1300,343+CX$3,2+CX$2)&lt;&gt;"",INDEX('×入力'!$A$1:$L$1300,342,2+CX$2)&lt;&gt;"",INDEX('×入力'!$A$1:$L$1300,343+CX$3,1)&lt;&gt;""),1,0),0)</f>
        <v/>
      </c>
      <c r="CY22">
        <f>IF(CY$4=1,IF(OR(INDEX('×入力'!$A$1:$L$1300,343+CY$3,2+CY$2)&lt;&gt;"",INDEX('×入力'!$A$1:$L$1300,342,2+CY$2)&lt;&gt;"",INDEX('×入力'!$A$1:$L$1300,343+CY$3,1)&lt;&gt;""),1,0),0)</f>
        <v/>
      </c>
      <c r="CZ22">
        <f>IF(CZ$4=1,IF(OR(INDEX('×入力'!$A$1:$L$1300,343+CZ$3,2+CZ$2)&lt;&gt;"",INDEX('×入力'!$A$1:$L$1300,342,2+CZ$2)&lt;&gt;"",INDEX('×入力'!$A$1:$L$1300,343+CZ$3,1)&lt;&gt;""),1,0),0)</f>
        <v/>
      </c>
      <c r="DA22">
        <f>IF(DA$4=1,IF(OR(INDEX('×入力'!$A$1:$L$1300,343+DA$3,2+DA$2)&lt;&gt;"",INDEX('×入力'!$A$1:$L$1300,342,2+DA$2)&lt;&gt;"",INDEX('×入力'!$A$1:$L$1300,343+DA$3,1)&lt;&gt;""),1,0),0)</f>
        <v/>
      </c>
      <c r="DB22">
        <f>IF(DB$4=1,IF(OR(INDEX('×入力'!$A$1:$L$1300,343+DB$3,2+DB$2)&lt;&gt;"",INDEX('×入力'!$A$1:$L$1300,342,2+DB$2)&lt;&gt;"",INDEX('×入力'!$A$1:$L$1300,343+DB$3,1)&lt;&gt;""),1,0),0)</f>
        <v/>
      </c>
      <c r="DC22">
        <f>IF(DC$4=1,IF(OR(INDEX('×入力'!$A$1:$L$1300,343+DC$3,2+DC$2)&lt;&gt;"",INDEX('×入力'!$A$1:$L$1300,342,2+DC$2)&lt;&gt;"",INDEX('×入力'!$A$1:$L$1300,343+DC$3,1)&lt;&gt;""),1,0),0)</f>
        <v/>
      </c>
      <c r="DD22">
        <f>IF(DD$4=1,IF(OR(INDEX('×入力'!$A$1:$L$1300,343+DD$3,2+DD$2)&lt;&gt;"",INDEX('×入力'!$A$1:$L$1300,342,2+DD$2)&lt;&gt;"",INDEX('×入力'!$A$1:$L$1300,343+DD$3,1)&lt;&gt;""),1,0),0)</f>
        <v/>
      </c>
      <c r="DE22">
        <f>IF(DE$4=1,IF(OR(INDEX('×入力'!$A$1:$L$1300,343+DE$3,2+DE$2)&lt;&gt;"",INDEX('×入力'!$A$1:$L$1300,342,2+DE$2)&lt;&gt;"",INDEX('×入力'!$A$1:$L$1300,343+DE$3,1)&lt;&gt;""),1,0),0)</f>
        <v/>
      </c>
      <c r="DF22">
        <f>IF(DF$4=1,IF(OR(INDEX('×入力'!$A$1:$L$1300,343+DF$3,2+DF$2)&lt;&gt;"",INDEX('×入力'!$A$1:$L$1300,342,2+DF$2)&lt;&gt;"",INDEX('×入力'!$A$1:$L$1300,343+DF$3,1)&lt;&gt;""),1,0),0)</f>
        <v/>
      </c>
      <c r="DG22">
        <f>IF(DG$4=1,IF(OR(INDEX('×入力'!$A$1:$L$1300,343+DG$3,2+DG$2)&lt;&gt;"",INDEX('×入力'!$A$1:$L$1300,342,2+DG$2)&lt;&gt;"",INDEX('×入力'!$A$1:$L$1300,343+DG$3,1)&lt;&gt;""),1,0),0)</f>
        <v/>
      </c>
      <c r="DH22">
        <f>IF(DH$4=1,IF(OR(INDEX('×入力'!$A$1:$L$1300,343+DH$3,2+DH$2)&lt;&gt;"",INDEX('×入力'!$A$1:$L$1300,342,2+DH$2)&lt;&gt;"",INDEX('×入力'!$A$1:$L$1300,343+DH$3,1)&lt;&gt;""),1,0),0)</f>
        <v/>
      </c>
      <c r="DI22">
        <f>IF(DI$4=1,IF(OR(INDEX('×入力'!$A$1:$L$1300,343+DI$3,2+DI$2)&lt;&gt;"",INDEX('×入力'!$A$1:$L$1300,342,2+DI$2)&lt;&gt;"",INDEX('×入力'!$A$1:$L$1300,343+DI$3,1)&lt;&gt;""),1,0),0)</f>
        <v/>
      </c>
      <c r="DJ22">
        <f>IF(DJ$4=1,IF(OR(INDEX('×入力'!$A$1:$L$1300,343+DJ$3,2+DJ$2)&lt;&gt;"",INDEX('×入力'!$A$1:$L$1300,342,2+DJ$2)&lt;&gt;"",INDEX('×入力'!$A$1:$L$1300,343+DJ$3,1)&lt;&gt;""),1,0),0)</f>
        <v/>
      </c>
      <c r="DK22">
        <f>IF(DK$4=1,IF(OR(INDEX('×入力'!$A$1:$L$1300,343+DK$3,2+DK$2)&lt;&gt;"",INDEX('×入力'!$A$1:$L$1300,342,2+DK$2)&lt;&gt;"",INDEX('×入力'!$A$1:$L$1300,343+DK$3,1)&lt;&gt;""),1,0),0)</f>
        <v/>
      </c>
      <c r="DL22">
        <f>IF(DL$4=1,IF(OR(INDEX('×入力'!$A$1:$L$1300,343+DL$3,2+DL$2)&lt;&gt;"",INDEX('×入力'!$A$1:$L$1300,342,2+DL$2)&lt;&gt;"",INDEX('×入力'!$A$1:$L$1300,343+DL$3,1)&lt;&gt;""),1,0),0)</f>
        <v/>
      </c>
      <c r="DM22">
        <f>IF(DM$4=1,IF(OR(INDEX('×入力'!$A$1:$L$1300,343+DM$3,2+DM$2)&lt;&gt;"",INDEX('×入力'!$A$1:$L$1300,342,2+DM$2)&lt;&gt;"",INDEX('×入力'!$A$1:$L$1300,343+DM$3,1)&lt;&gt;""),1,0),0)</f>
        <v/>
      </c>
      <c r="DN22">
        <f>IF(DN$4=1,IF(OR(INDEX('×入力'!$A$1:$L$1300,343+DN$3,2+DN$2)&lt;&gt;"",INDEX('×入力'!$A$1:$L$1300,342,2+DN$2)&lt;&gt;"",INDEX('×入力'!$A$1:$L$1300,343+DN$3,1)&lt;&gt;""),1,0),0)</f>
        <v/>
      </c>
      <c r="DO22">
        <f>IF(DO$4=1,IF(OR(INDEX('×入力'!$A$1:$L$1300,343+DO$3,2+DO$2)&lt;&gt;"",INDEX('×入力'!$A$1:$L$1300,342,2+DO$2)&lt;&gt;"",INDEX('×入力'!$A$1:$L$1300,343+DO$3,1)&lt;&gt;""),1,0),0)</f>
        <v/>
      </c>
      <c r="DP22">
        <f>IF(DP$4=1,IF(OR(INDEX('×入力'!$A$1:$L$1300,343+DP$3,2+DP$2)&lt;&gt;"",INDEX('×入力'!$A$1:$L$1300,342,2+DP$2)&lt;&gt;"",INDEX('×入力'!$A$1:$L$1300,343+DP$3,1)&lt;&gt;""),1,0),0)</f>
        <v/>
      </c>
      <c r="DQ22">
        <f>IF(DQ$4=1,IF(OR(INDEX('×入力'!$A$1:$L$1300,343+DQ$3,2+DQ$2)&lt;&gt;"",INDEX('×入力'!$A$1:$L$1300,342,2+DQ$2)&lt;&gt;"",INDEX('×入力'!$A$1:$L$1300,343+DQ$3,1)&lt;&gt;""),1,0),0)</f>
        <v/>
      </c>
      <c r="DR22">
        <f>IF(DR$4=1,IF(OR(INDEX('×入力'!$A$1:$L$1300,343+DR$3,2+DR$2)&lt;&gt;"",INDEX('×入力'!$A$1:$L$1300,342,2+DR$2)&lt;&gt;"",INDEX('×入力'!$A$1:$L$1300,343+DR$3,1)&lt;&gt;""),1,0),0)</f>
        <v/>
      </c>
      <c r="DS22">
        <f>IF(DS$4=1,IF(OR(INDEX('×入力'!$A$1:$L$1300,343+DS$3,2+DS$2)&lt;&gt;"",INDEX('×入力'!$A$1:$L$1300,342,2+DS$2)&lt;&gt;"",INDEX('×入力'!$A$1:$L$1300,343+DS$3,1)&lt;&gt;""),1,0),0)</f>
        <v/>
      </c>
      <c r="DT22">
        <f>IF(DT$4=1,IF(OR(INDEX('×入力'!$A$1:$L$1300,343+DT$3,2+DT$2)&lt;&gt;"",INDEX('×入力'!$A$1:$L$1300,342,2+DT$2)&lt;&gt;"",INDEX('×入力'!$A$1:$L$1300,343+DT$3,1)&lt;&gt;""),1,0),0)</f>
        <v/>
      </c>
      <c r="DU22">
        <f>IF(DU$4=1,IF(OR(INDEX('×入力'!$A$1:$L$1300,343+DU$3,2+DU$2)&lt;&gt;"",INDEX('×入力'!$A$1:$L$1300,342,2+DU$2)&lt;&gt;"",INDEX('×入力'!$A$1:$L$1300,343+DU$3,1)&lt;&gt;""),1,0),0)</f>
        <v/>
      </c>
      <c r="DV22">
        <f>IF(DV$4=1,IF(OR(INDEX('×入力'!$A$1:$L$1300,343+DV$3,2+DV$2)&lt;&gt;"",INDEX('×入力'!$A$1:$L$1300,342,2+DV$2)&lt;&gt;"",INDEX('×入力'!$A$1:$L$1300,343+DV$3,1)&lt;&gt;""),1,0),0)</f>
        <v/>
      </c>
      <c r="DW22">
        <f>IF(DW$4=1,IF(OR(INDEX('×入力'!$A$1:$L$1300,343+DW$3,2+DW$2)&lt;&gt;"",INDEX('×入力'!$A$1:$L$1300,342,2+DW$2)&lt;&gt;"",INDEX('×入力'!$A$1:$L$1300,343+DW$3,1)&lt;&gt;""),1,0),0)</f>
        <v/>
      </c>
      <c r="DX22">
        <f>IF(DX$4=1,IF(OR(INDEX('×入力'!$A$1:$L$1300,343+DX$3,2+DX$2)&lt;&gt;"",INDEX('×入力'!$A$1:$L$1300,342,2+DX$2)&lt;&gt;"",INDEX('×入力'!$A$1:$L$1300,343+DX$3,1)&lt;&gt;""),1,0),0)</f>
        <v/>
      </c>
      <c r="DY22">
        <f>IF(DY$4=1,IF(OR(INDEX('×入力'!$A$1:$L$1300,343+DY$3,2+DY$2)&lt;&gt;"",INDEX('×入力'!$A$1:$L$1300,342,2+DY$2)&lt;&gt;"",INDEX('×入力'!$A$1:$L$1300,343+DY$3,1)&lt;&gt;""),1,0),0)</f>
        <v/>
      </c>
      <c r="DZ22">
        <f>IF(DZ$4=1,IF(OR(INDEX('×入力'!$A$1:$L$1300,343+DZ$3,2+DZ$2)&lt;&gt;"",INDEX('×入力'!$A$1:$L$1300,342,2+DZ$2)&lt;&gt;"",INDEX('×入力'!$A$1:$L$1300,343+DZ$3,1)&lt;&gt;""),1,0),0)</f>
        <v/>
      </c>
      <c r="EA22">
        <f>IF(EA$4=1,IF(OR(INDEX('×入力'!$A$1:$L$1300,343+EA$3,2+EA$2)&lt;&gt;"",INDEX('×入力'!$A$1:$L$1300,342,2+EA$2)&lt;&gt;"",INDEX('×入力'!$A$1:$L$1300,343+EA$3,1)&lt;&gt;""),1,0),0)</f>
        <v/>
      </c>
      <c r="EB22">
        <f>IF(EB$4=1,IF(OR(INDEX('×入力'!$A$1:$L$1300,343+EB$3,2+EB$2)&lt;&gt;"",INDEX('×入力'!$A$1:$L$1300,342,2+EB$2)&lt;&gt;"",INDEX('×入力'!$A$1:$L$1300,343+EB$3,1)&lt;&gt;""),1,0),0)</f>
        <v/>
      </c>
      <c r="EC22">
        <f>IF(EC$4=1,IF(OR(INDEX('×入力'!$A$1:$L$1300,343+EC$3,2+EC$2)&lt;&gt;"",INDEX('×入力'!$A$1:$L$1300,342,2+EC$2)&lt;&gt;"",INDEX('×入力'!$A$1:$L$1300,343+EC$3,1)&lt;&gt;""),1,0),0)</f>
        <v/>
      </c>
      <c r="ED22">
        <f>IF(ED$4=1,IF(OR(INDEX('×入力'!$A$1:$L$1300,343+ED$3,2+ED$2)&lt;&gt;"",INDEX('×入力'!$A$1:$L$1300,342,2+ED$2)&lt;&gt;"",INDEX('×入力'!$A$1:$L$1300,343+ED$3,1)&lt;&gt;""),1,0),0)</f>
        <v/>
      </c>
      <c r="EE22">
        <f>IF(EE$4=1,IF(OR(INDEX('×入力'!$A$1:$L$1300,343+EE$3,2+EE$2)&lt;&gt;"",INDEX('×入力'!$A$1:$L$1300,342,2+EE$2)&lt;&gt;"",INDEX('×入力'!$A$1:$L$1300,343+EE$3,1)&lt;&gt;""),1,0),0)</f>
        <v/>
      </c>
      <c r="EF22">
        <f>IF(EF$4=1,IF(OR(INDEX('×入力'!$A$1:$L$1300,343+EF$3,2+EF$2)&lt;&gt;"",INDEX('×入力'!$A$1:$L$1300,342,2+EF$2)&lt;&gt;"",INDEX('×入力'!$A$1:$L$1300,343+EF$3,1)&lt;&gt;""),1,0),0)</f>
        <v/>
      </c>
      <c r="EG22">
        <f>IF(EG$4=1,IF(OR(INDEX('×入力'!$A$1:$L$1300,343+EG$3,2+EG$2)&lt;&gt;"",INDEX('×入力'!$A$1:$L$1300,342,2+EG$2)&lt;&gt;"",INDEX('×入力'!$A$1:$L$1300,343+EG$3,1)&lt;&gt;""),1,0),0)</f>
        <v/>
      </c>
      <c r="EH22">
        <f>IF(EH$4=1,IF(OR(INDEX('×入力'!$A$1:$L$1300,343+EH$3,2+EH$2)&lt;&gt;"",INDEX('×入力'!$A$1:$L$1300,342,2+EH$2)&lt;&gt;"",INDEX('×入力'!$A$1:$L$1300,343+EH$3,1)&lt;&gt;""),1,0),0)</f>
        <v/>
      </c>
      <c r="EI22">
        <f>IF(EI$4=1,IF(OR(INDEX('×入力'!$A$1:$L$1300,343+EI$3,2+EI$2)&lt;&gt;"",INDEX('×入力'!$A$1:$L$1300,342,2+EI$2)&lt;&gt;"",INDEX('×入力'!$A$1:$L$1300,343+EI$3,1)&lt;&gt;""),1,0),0)</f>
        <v/>
      </c>
      <c r="EJ22">
        <f>IF(EJ$4=1,IF(OR(INDEX('×入力'!$A$1:$L$1300,343+EJ$3,2+EJ$2)&lt;&gt;"",INDEX('×入力'!$A$1:$L$1300,342,2+EJ$2)&lt;&gt;"",INDEX('×入力'!$A$1:$L$1300,343+EJ$3,1)&lt;&gt;""),1,0),0)</f>
        <v/>
      </c>
      <c r="EK22">
        <f>IF(EK$4=1,IF(OR(INDEX('×入力'!$A$1:$L$1300,343+EK$3,2+EK$2)&lt;&gt;"",INDEX('×入力'!$A$1:$L$1300,342,2+EK$2)&lt;&gt;"",INDEX('×入力'!$A$1:$L$1300,343+EK$3,1)&lt;&gt;""),1,0),0)</f>
        <v/>
      </c>
      <c r="EL22">
        <f>IF(EL$4=1,IF(OR(INDEX('×入力'!$A$1:$L$1300,343+EL$3,2+EL$2)&lt;&gt;"",INDEX('×入力'!$A$1:$L$1300,342,2+EL$2)&lt;&gt;"",INDEX('×入力'!$A$1:$L$1300,343+EL$3,1)&lt;&gt;""),1,0),0)</f>
        <v/>
      </c>
      <c r="EM22">
        <f>IF(EM$4=1,IF(OR(INDEX('×入力'!$A$1:$L$1300,343+EM$3,2+EM$2)&lt;&gt;"",INDEX('×入力'!$A$1:$L$1300,342,2+EM$2)&lt;&gt;"",INDEX('×入力'!$A$1:$L$1300,343+EM$3,1)&lt;&gt;""),1,0),0)</f>
        <v/>
      </c>
      <c r="EN22">
        <f>IF(EN$4=1,IF(OR(INDEX('×入力'!$A$1:$L$1300,343+EN$3,2+EN$2)&lt;&gt;"",INDEX('×入力'!$A$1:$L$1300,342,2+EN$2)&lt;&gt;"",INDEX('×入力'!$A$1:$L$1300,343+EN$3,1)&lt;&gt;""),1,0),0)</f>
        <v/>
      </c>
      <c r="EO22">
        <f>IF(EO$4=1,IF(OR(INDEX('×入力'!$A$1:$L$1300,343+EO$3,2+EO$2)&lt;&gt;"",INDEX('×入力'!$A$1:$L$1300,342,2+EO$2)&lt;&gt;"",INDEX('×入力'!$A$1:$L$1300,343+EO$3,1)&lt;&gt;""),1,0),0)</f>
        <v/>
      </c>
      <c r="EP22">
        <f>IF(EP$4=1,IF(OR(INDEX('×入力'!$A$1:$L$1300,343+EP$3,2+EP$2)&lt;&gt;"",INDEX('×入力'!$A$1:$L$1300,342,2+EP$2)&lt;&gt;"",INDEX('×入力'!$A$1:$L$1300,343+EP$3,1)&lt;&gt;""),1,0),0)</f>
        <v/>
      </c>
      <c r="EQ22">
        <f>IF(EQ$4=1,IF(OR(INDEX('×入力'!$A$1:$L$1300,343+EQ$3,2+EQ$2)&lt;&gt;"",INDEX('×入力'!$A$1:$L$1300,342,2+EQ$2)&lt;&gt;"",INDEX('×入力'!$A$1:$L$1300,343+EQ$3,1)&lt;&gt;""),1,0),0)</f>
        <v/>
      </c>
      <c r="HA22">
        <f>MAX(0,IT22)</f>
        <v/>
      </c>
      <c r="HB22">
        <f>IF(HA22=0,0,INDEX($D$2:$EQ$2,HA22))</f>
        <v/>
      </c>
      <c r="HC22">
        <f>IF(HA22=0,0,INDEX($D$3:$EQ$3,HA22))</f>
        <v/>
      </c>
      <c r="HD22">
        <f>MAX(0,IY22)</f>
        <v/>
      </c>
      <c r="HE22">
        <f>IF(HD22=0,0,INDEX($D$2:$EQ$2,HD22))</f>
        <v/>
      </c>
      <c r="HF22">
        <f>IF(HD22=0,0,INDEX($D$3:$EQ$3,HD22))</f>
        <v/>
      </c>
      <c r="HG22">
        <f>MAX(0,IZ22)</f>
        <v/>
      </c>
      <c r="HH22">
        <f>IF(HG22=0,0,INDEX($D$2:$EQ$2,HG22))</f>
        <v/>
      </c>
      <c r="HI22">
        <f>IF(HG22=0,0,INDEX($D$3:$EQ$3,HG22))</f>
        <v/>
      </c>
      <c r="HJ22">
        <f>IF(AND(HA22&gt;0,HC22&gt;1,OR(HC22-1&lt;&gt;$A$3,$A$4=0)),HA22-1,-1)</f>
        <v/>
      </c>
      <c r="HK22">
        <f>IF(AND(HA22&gt;0,HC22&lt;24,OR(HC22&lt;&gt;$A$3,$A$4=0)),HA22+1,-1)</f>
        <v/>
      </c>
      <c r="HL22">
        <f>IF(AND(HD22&gt;0,HF22&gt;1,OR(HF22-1&lt;&gt;$A$3,$A$4=0)),HD22-1,-1)</f>
        <v/>
      </c>
      <c r="HM22">
        <f>IF(AND(HD22&gt;0,HF22&lt;24,OR(HF22&lt;&gt;$A$3,$A$4=0)),HD22+1,-1)</f>
        <v/>
      </c>
      <c r="HN22">
        <f>IF(AND(HG22&gt;0,HI22&gt;1,OR(HI22-1&lt;&gt;$A$3,$A$4=0)),HG22-1,-1)</f>
        <v/>
      </c>
      <c r="HO22">
        <f>IF(AND(HG22&gt;0,HI22&lt;24,OR(HI22&lt;&gt;$A$3,$A$4=0)),HG22+1,-1)</f>
        <v/>
      </c>
      <c r="IK22">
        <f>IFERROR(INDEX('calcB'!$C$3:$C$47,MATCH(A22,'calcB'!$B$3:$B$47,0)),0)</f>
        <v/>
      </c>
      <c r="IL22">
        <f>IF(AND(C22=1,IK22=0,calcA!$A$6&gt;0),1,0)</f>
        <v/>
      </c>
      <c r="IM22">
        <f>SUMPRODUCT(D72:EQ72*(1-$D$7:$EQ$7))</f>
        <v/>
      </c>
      <c r="IN22">
        <f>SUM(D22:EQ22)</f>
        <v/>
      </c>
      <c r="IO22">
        <f>IF(B22="",0,IF(COUNTIF('調整・決定'!$C$6:$H$29,B22)=1,SUMPRODUCT(('調整・決定'!$C$6:$H$29=B22)*((COLUMN('調整・決定'!$C$6:$H$29)-3)*24+ROW('調整・決定'!$C$6:$H$29)-5)),0))</f>
        <v/>
      </c>
      <c r="IP22">
        <f>IFERROR(MATCH('名簿'!C17,{"早い時刻","遅い時刻","早い日","遅い日"},0),0)</f>
        <v/>
      </c>
      <c r="IQ22">
        <f>IF('名簿'!D17="必ず空けたい",2,IF('名簿'!D17="出来れば空けたい",1,0))</f>
        <v/>
      </c>
      <c r="IR22">
        <f>IFERROR(INDEX('calcC'!$C$3:$C$47,MATCH(A22,'calcC'!$B$3:$B$47,0)),0)</f>
        <v/>
      </c>
      <c r="IS22">
        <f>IF(AND(C22=1,IR22=0,calcA!$A$6&gt;0),1,0)</f>
        <v/>
      </c>
      <c r="IT22">
        <f>IF(OR('名簿'!G17="",'名簿'!H17=""),0,IFERROR((MATCH('名簿'!G17,'設定'!$E$11:$E$16,0)-1)*24+MATCH('名簿'!H17,'設定'!$I$11:$I$34,0),-1))</f>
        <v/>
      </c>
      <c r="IV22">
        <f>IF(OR(JF22=0,IO22=0),1,IF(OR(IF(IT22&gt;0,AND(INDEX($D$2:$EQ$2,IO22)=INDEX($D$2:$EQ$2,IT22),OR(AND(IO22=IT22+1,OR(INDEX($D$3:$EQ$3,IT22)&lt;&gt;$A$3,$A$4=0)),AND(IO22=IT22-1,OR(INDEX($D$3:$EQ$3,IO22)&lt;&gt;$A$3,$A$4=0)))),FALSE),IF(IY22&gt;0,AND(INDEX($D$2:$EQ$2,IO22)=INDEX($D$2:$EQ$2,IY22),OR(AND(IO22=IY22+1,OR(INDEX($D$3:$EQ$3,IY22)&lt;&gt;$A$3,$A$4=0)),AND(IO22=IY22-1,OR(INDEX($D$3:$EQ$3,IO22)&lt;&gt;$A$3,$A$4=0)))),FALSE),IF(IZ22&gt;0,AND(INDEX($D$2:$EQ$2,IO22)=INDEX($D$2:$EQ$2,IZ22),OR(AND(IO22=IZ22+1,OR(INDEX($D$3:$EQ$3,IZ22)&lt;&gt;$A$3,$A$4=0)),AND(IO22=IZ22-1,OR(INDEX($D$3:$EQ$3,IO22)&lt;&gt;$A$3,$A$4=0)))),FALSE)),1,0))</f>
        <v/>
      </c>
      <c r="IW22">
        <f>IF(AND('名簿'!E17&lt;&gt;"",JF22=0),1,0)</f>
        <v/>
      </c>
      <c r="IX22">
        <f>IF('名簿'!D17="空けない",1,0)</f>
        <v/>
      </c>
      <c r="IY22">
        <f>IF(OR('名簿'!J17="",'名簿'!K17=""),0,IFERROR((MATCH('名簿'!J17,'設定'!$E$11:$E$16,0)-1)*24+MATCH('名簿'!K17,'設定'!$I$11:$I$34,0),-1))</f>
        <v/>
      </c>
      <c r="IZ22">
        <f>IF(OR('名簿'!M17="",'名簿'!N17=""),0,IFERROR((MATCH('名簿'!M17,'設定'!$E$11:$E$16,0)-1)*24+MATCH('名簿'!N17,'設定'!$I$11:$I$34,0),-1))</f>
        <v/>
      </c>
      <c r="JC22">
        <f>IF(RIGHT('名簿'!I17,2)="の前",1,IF(RIGHT('名簿'!I17,2)="の後",2,0))</f>
        <v/>
      </c>
      <c r="JD22">
        <f>IF(RIGHT('名簿'!L17,2)="の前",1,IF(RIGHT('名簿'!L17,2)="の後",2,0))</f>
        <v/>
      </c>
      <c r="JE22">
        <f>IF(RIGHT('名簿'!O17,2)="の前",1,IF(RIGHT('名簿'!O17,2)="の後",2,0))</f>
        <v/>
      </c>
      <c r="JF22">
        <f>IF(OR(IT22&gt;0,IY22&gt;0,IZ22&gt;0),1,0)</f>
        <v/>
      </c>
      <c r="JG22">
        <f>IF(OR(IT22&lt;0,IY22&lt;0,IZ22&lt;0),1,0)</f>
        <v/>
      </c>
    </row>
    <row r="23">
      <c r="A23" t="n">
        <v>14</v>
      </c>
      <c r="B23">
        <f>'名簿'!P18</f>
        <v/>
      </c>
      <c r="C23">
        <f>IF(AND(B23&lt;&gt;"",OR('名簿'!Q18="入力済み",'名簿'!Q18="×なし"),IO23=0,COUNTIF('調整・決定'!$C$6:$H$29,B23)=0),1,0)</f>
        <v/>
      </c>
      <c r="D23">
        <f>IF(D$4=1,IF(OR(INDEX('×入力'!$A$1:$L$1300,371+D$3,2+D$2)&lt;&gt;"",INDEX('×入力'!$A$1:$L$1300,370,2+D$2)&lt;&gt;"",INDEX('×入力'!$A$1:$L$1300,371+D$3,1)&lt;&gt;""),1,0),0)</f>
        <v/>
      </c>
      <c r="E23">
        <f>IF(E$4=1,IF(OR(INDEX('×入力'!$A$1:$L$1300,371+E$3,2+E$2)&lt;&gt;"",INDEX('×入力'!$A$1:$L$1300,370,2+E$2)&lt;&gt;"",INDEX('×入力'!$A$1:$L$1300,371+E$3,1)&lt;&gt;""),1,0),0)</f>
        <v/>
      </c>
      <c r="F23">
        <f>IF(F$4=1,IF(OR(INDEX('×入力'!$A$1:$L$1300,371+F$3,2+F$2)&lt;&gt;"",INDEX('×入力'!$A$1:$L$1300,370,2+F$2)&lt;&gt;"",INDEX('×入力'!$A$1:$L$1300,371+F$3,1)&lt;&gt;""),1,0),0)</f>
        <v/>
      </c>
      <c r="G23">
        <f>IF(G$4=1,IF(OR(INDEX('×入力'!$A$1:$L$1300,371+G$3,2+G$2)&lt;&gt;"",INDEX('×入力'!$A$1:$L$1300,370,2+G$2)&lt;&gt;"",INDEX('×入力'!$A$1:$L$1300,371+G$3,1)&lt;&gt;""),1,0),0)</f>
        <v/>
      </c>
      <c r="H23">
        <f>IF(H$4=1,IF(OR(INDEX('×入力'!$A$1:$L$1300,371+H$3,2+H$2)&lt;&gt;"",INDEX('×入力'!$A$1:$L$1300,370,2+H$2)&lt;&gt;"",INDEX('×入力'!$A$1:$L$1300,371+H$3,1)&lt;&gt;""),1,0),0)</f>
        <v/>
      </c>
      <c r="I23">
        <f>IF(I$4=1,IF(OR(INDEX('×入力'!$A$1:$L$1300,371+I$3,2+I$2)&lt;&gt;"",INDEX('×入力'!$A$1:$L$1300,370,2+I$2)&lt;&gt;"",INDEX('×入力'!$A$1:$L$1300,371+I$3,1)&lt;&gt;""),1,0),0)</f>
        <v/>
      </c>
      <c r="J23">
        <f>IF(J$4=1,IF(OR(INDEX('×入力'!$A$1:$L$1300,371+J$3,2+J$2)&lt;&gt;"",INDEX('×入力'!$A$1:$L$1300,370,2+J$2)&lt;&gt;"",INDEX('×入力'!$A$1:$L$1300,371+J$3,1)&lt;&gt;""),1,0),0)</f>
        <v/>
      </c>
      <c r="K23">
        <f>IF(K$4=1,IF(OR(INDEX('×入力'!$A$1:$L$1300,371+K$3,2+K$2)&lt;&gt;"",INDEX('×入力'!$A$1:$L$1300,370,2+K$2)&lt;&gt;"",INDEX('×入力'!$A$1:$L$1300,371+K$3,1)&lt;&gt;""),1,0),0)</f>
        <v/>
      </c>
      <c r="L23">
        <f>IF(L$4=1,IF(OR(INDEX('×入力'!$A$1:$L$1300,371+L$3,2+L$2)&lt;&gt;"",INDEX('×入力'!$A$1:$L$1300,370,2+L$2)&lt;&gt;"",INDEX('×入力'!$A$1:$L$1300,371+L$3,1)&lt;&gt;""),1,0),0)</f>
        <v/>
      </c>
      <c r="M23">
        <f>IF(M$4=1,IF(OR(INDEX('×入力'!$A$1:$L$1300,371+M$3,2+M$2)&lt;&gt;"",INDEX('×入力'!$A$1:$L$1300,370,2+M$2)&lt;&gt;"",INDEX('×入力'!$A$1:$L$1300,371+M$3,1)&lt;&gt;""),1,0),0)</f>
        <v/>
      </c>
      <c r="N23">
        <f>IF(N$4=1,IF(OR(INDEX('×入力'!$A$1:$L$1300,371+N$3,2+N$2)&lt;&gt;"",INDEX('×入力'!$A$1:$L$1300,370,2+N$2)&lt;&gt;"",INDEX('×入力'!$A$1:$L$1300,371+N$3,1)&lt;&gt;""),1,0),0)</f>
        <v/>
      </c>
      <c r="O23">
        <f>IF(O$4=1,IF(OR(INDEX('×入力'!$A$1:$L$1300,371+O$3,2+O$2)&lt;&gt;"",INDEX('×入力'!$A$1:$L$1300,370,2+O$2)&lt;&gt;"",INDEX('×入力'!$A$1:$L$1300,371+O$3,1)&lt;&gt;""),1,0),0)</f>
        <v/>
      </c>
      <c r="P23">
        <f>IF(P$4=1,IF(OR(INDEX('×入力'!$A$1:$L$1300,371+P$3,2+P$2)&lt;&gt;"",INDEX('×入力'!$A$1:$L$1300,370,2+P$2)&lt;&gt;"",INDEX('×入力'!$A$1:$L$1300,371+P$3,1)&lt;&gt;""),1,0),0)</f>
        <v/>
      </c>
      <c r="Q23">
        <f>IF(Q$4=1,IF(OR(INDEX('×入力'!$A$1:$L$1300,371+Q$3,2+Q$2)&lt;&gt;"",INDEX('×入力'!$A$1:$L$1300,370,2+Q$2)&lt;&gt;"",INDEX('×入力'!$A$1:$L$1300,371+Q$3,1)&lt;&gt;""),1,0),0)</f>
        <v/>
      </c>
      <c r="R23">
        <f>IF(R$4=1,IF(OR(INDEX('×入力'!$A$1:$L$1300,371+R$3,2+R$2)&lt;&gt;"",INDEX('×入力'!$A$1:$L$1300,370,2+R$2)&lt;&gt;"",INDEX('×入力'!$A$1:$L$1300,371+R$3,1)&lt;&gt;""),1,0),0)</f>
        <v/>
      </c>
      <c r="S23">
        <f>IF(S$4=1,IF(OR(INDEX('×入力'!$A$1:$L$1300,371+S$3,2+S$2)&lt;&gt;"",INDEX('×入力'!$A$1:$L$1300,370,2+S$2)&lt;&gt;"",INDEX('×入力'!$A$1:$L$1300,371+S$3,1)&lt;&gt;""),1,0),0)</f>
        <v/>
      </c>
      <c r="T23">
        <f>IF(T$4=1,IF(OR(INDEX('×入力'!$A$1:$L$1300,371+T$3,2+T$2)&lt;&gt;"",INDEX('×入力'!$A$1:$L$1300,370,2+T$2)&lt;&gt;"",INDEX('×入力'!$A$1:$L$1300,371+T$3,1)&lt;&gt;""),1,0),0)</f>
        <v/>
      </c>
      <c r="U23">
        <f>IF(U$4=1,IF(OR(INDEX('×入力'!$A$1:$L$1300,371+U$3,2+U$2)&lt;&gt;"",INDEX('×入力'!$A$1:$L$1300,370,2+U$2)&lt;&gt;"",INDEX('×入力'!$A$1:$L$1300,371+U$3,1)&lt;&gt;""),1,0),0)</f>
        <v/>
      </c>
      <c r="V23">
        <f>IF(V$4=1,IF(OR(INDEX('×入力'!$A$1:$L$1300,371+V$3,2+V$2)&lt;&gt;"",INDEX('×入力'!$A$1:$L$1300,370,2+V$2)&lt;&gt;"",INDEX('×入力'!$A$1:$L$1300,371+V$3,1)&lt;&gt;""),1,0),0)</f>
        <v/>
      </c>
      <c r="W23">
        <f>IF(W$4=1,IF(OR(INDEX('×入力'!$A$1:$L$1300,371+W$3,2+W$2)&lt;&gt;"",INDEX('×入力'!$A$1:$L$1300,370,2+W$2)&lt;&gt;"",INDEX('×入力'!$A$1:$L$1300,371+W$3,1)&lt;&gt;""),1,0),0)</f>
        <v/>
      </c>
      <c r="X23">
        <f>IF(X$4=1,IF(OR(INDEX('×入力'!$A$1:$L$1300,371+X$3,2+X$2)&lt;&gt;"",INDEX('×入力'!$A$1:$L$1300,370,2+X$2)&lt;&gt;"",INDEX('×入力'!$A$1:$L$1300,371+X$3,1)&lt;&gt;""),1,0),0)</f>
        <v/>
      </c>
      <c r="Y23">
        <f>IF(Y$4=1,IF(OR(INDEX('×入力'!$A$1:$L$1300,371+Y$3,2+Y$2)&lt;&gt;"",INDEX('×入力'!$A$1:$L$1300,370,2+Y$2)&lt;&gt;"",INDEX('×入力'!$A$1:$L$1300,371+Y$3,1)&lt;&gt;""),1,0),0)</f>
        <v/>
      </c>
      <c r="Z23">
        <f>IF(Z$4=1,IF(OR(INDEX('×入力'!$A$1:$L$1300,371+Z$3,2+Z$2)&lt;&gt;"",INDEX('×入力'!$A$1:$L$1300,370,2+Z$2)&lt;&gt;"",INDEX('×入力'!$A$1:$L$1300,371+Z$3,1)&lt;&gt;""),1,0),0)</f>
        <v/>
      </c>
      <c r="AA23">
        <f>IF(AA$4=1,IF(OR(INDEX('×入力'!$A$1:$L$1300,371+AA$3,2+AA$2)&lt;&gt;"",INDEX('×入力'!$A$1:$L$1300,370,2+AA$2)&lt;&gt;"",INDEX('×入力'!$A$1:$L$1300,371+AA$3,1)&lt;&gt;""),1,0),0)</f>
        <v/>
      </c>
      <c r="AB23">
        <f>IF(AB$4=1,IF(OR(INDEX('×入力'!$A$1:$L$1300,371+AB$3,2+AB$2)&lt;&gt;"",INDEX('×入力'!$A$1:$L$1300,370,2+AB$2)&lt;&gt;"",INDEX('×入力'!$A$1:$L$1300,371+AB$3,1)&lt;&gt;""),1,0),0)</f>
        <v/>
      </c>
      <c r="AC23">
        <f>IF(AC$4=1,IF(OR(INDEX('×入力'!$A$1:$L$1300,371+AC$3,2+AC$2)&lt;&gt;"",INDEX('×入力'!$A$1:$L$1300,370,2+AC$2)&lt;&gt;"",INDEX('×入力'!$A$1:$L$1300,371+AC$3,1)&lt;&gt;""),1,0),0)</f>
        <v/>
      </c>
      <c r="AD23">
        <f>IF(AD$4=1,IF(OR(INDEX('×入力'!$A$1:$L$1300,371+AD$3,2+AD$2)&lt;&gt;"",INDEX('×入力'!$A$1:$L$1300,370,2+AD$2)&lt;&gt;"",INDEX('×入力'!$A$1:$L$1300,371+AD$3,1)&lt;&gt;""),1,0),0)</f>
        <v/>
      </c>
      <c r="AE23">
        <f>IF(AE$4=1,IF(OR(INDEX('×入力'!$A$1:$L$1300,371+AE$3,2+AE$2)&lt;&gt;"",INDEX('×入力'!$A$1:$L$1300,370,2+AE$2)&lt;&gt;"",INDEX('×入力'!$A$1:$L$1300,371+AE$3,1)&lt;&gt;""),1,0),0)</f>
        <v/>
      </c>
      <c r="AF23">
        <f>IF(AF$4=1,IF(OR(INDEX('×入力'!$A$1:$L$1300,371+AF$3,2+AF$2)&lt;&gt;"",INDEX('×入力'!$A$1:$L$1300,370,2+AF$2)&lt;&gt;"",INDEX('×入力'!$A$1:$L$1300,371+AF$3,1)&lt;&gt;""),1,0),0)</f>
        <v/>
      </c>
      <c r="AG23">
        <f>IF(AG$4=1,IF(OR(INDEX('×入力'!$A$1:$L$1300,371+AG$3,2+AG$2)&lt;&gt;"",INDEX('×入力'!$A$1:$L$1300,370,2+AG$2)&lt;&gt;"",INDEX('×入力'!$A$1:$L$1300,371+AG$3,1)&lt;&gt;""),1,0),0)</f>
        <v/>
      </c>
      <c r="AH23">
        <f>IF(AH$4=1,IF(OR(INDEX('×入力'!$A$1:$L$1300,371+AH$3,2+AH$2)&lt;&gt;"",INDEX('×入力'!$A$1:$L$1300,370,2+AH$2)&lt;&gt;"",INDEX('×入力'!$A$1:$L$1300,371+AH$3,1)&lt;&gt;""),1,0),0)</f>
        <v/>
      </c>
      <c r="AI23">
        <f>IF(AI$4=1,IF(OR(INDEX('×入力'!$A$1:$L$1300,371+AI$3,2+AI$2)&lt;&gt;"",INDEX('×入力'!$A$1:$L$1300,370,2+AI$2)&lt;&gt;"",INDEX('×入力'!$A$1:$L$1300,371+AI$3,1)&lt;&gt;""),1,0),0)</f>
        <v/>
      </c>
      <c r="AJ23">
        <f>IF(AJ$4=1,IF(OR(INDEX('×入力'!$A$1:$L$1300,371+AJ$3,2+AJ$2)&lt;&gt;"",INDEX('×入力'!$A$1:$L$1300,370,2+AJ$2)&lt;&gt;"",INDEX('×入力'!$A$1:$L$1300,371+AJ$3,1)&lt;&gt;""),1,0),0)</f>
        <v/>
      </c>
      <c r="AK23">
        <f>IF(AK$4=1,IF(OR(INDEX('×入力'!$A$1:$L$1300,371+AK$3,2+AK$2)&lt;&gt;"",INDEX('×入力'!$A$1:$L$1300,370,2+AK$2)&lt;&gt;"",INDEX('×入力'!$A$1:$L$1300,371+AK$3,1)&lt;&gt;""),1,0),0)</f>
        <v/>
      </c>
      <c r="AL23">
        <f>IF(AL$4=1,IF(OR(INDEX('×入力'!$A$1:$L$1300,371+AL$3,2+AL$2)&lt;&gt;"",INDEX('×入力'!$A$1:$L$1300,370,2+AL$2)&lt;&gt;"",INDEX('×入力'!$A$1:$L$1300,371+AL$3,1)&lt;&gt;""),1,0),0)</f>
        <v/>
      </c>
      <c r="AM23">
        <f>IF(AM$4=1,IF(OR(INDEX('×入力'!$A$1:$L$1300,371+AM$3,2+AM$2)&lt;&gt;"",INDEX('×入力'!$A$1:$L$1300,370,2+AM$2)&lt;&gt;"",INDEX('×入力'!$A$1:$L$1300,371+AM$3,1)&lt;&gt;""),1,0),0)</f>
        <v/>
      </c>
      <c r="AN23">
        <f>IF(AN$4=1,IF(OR(INDEX('×入力'!$A$1:$L$1300,371+AN$3,2+AN$2)&lt;&gt;"",INDEX('×入力'!$A$1:$L$1300,370,2+AN$2)&lt;&gt;"",INDEX('×入力'!$A$1:$L$1300,371+AN$3,1)&lt;&gt;""),1,0),0)</f>
        <v/>
      </c>
      <c r="AO23">
        <f>IF(AO$4=1,IF(OR(INDEX('×入力'!$A$1:$L$1300,371+AO$3,2+AO$2)&lt;&gt;"",INDEX('×入力'!$A$1:$L$1300,370,2+AO$2)&lt;&gt;"",INDEX('×入力'!$A$1:$L$1300,371+AO$3,1)&lt;&gt;""),1,0),0)</f>
        <v/>
      </c>
      <c r="AP23">
        <f>IF(AP$4=1,IF(OR(INDEX('×入力'!$A$1:$L$1300,371+AP$3,2+AP$2)&lt;&gt;"",INDEX('×入力'!$A$1:$L$1300,370,2+AP$2)&lt;&gt;"",INDEX('×入力'!$A$1:$L$1300,371+AP$3,1)&lt;&gt;""),1,0),0)</f>
        <v/>
      </c>
      <c r="AQ23">
        <f>IF(AQ$4=1,IF(OR(INDEX('×入力'!$A$1:$L$1300,371+AQ$3,2+AQ$2)&lt;&gt;"",INDEX('×入力'!$A$1:$L$1300,370,2+AQ$2)&lt;&gt;"",INDEX('×入力'!$A$1:$L$1300,371+AQ$3,1)&lt;&gt;""),1,0),0)</f>
        <v/>
      </c>
      <c r="AR23">
        <f>IF(AR$4=1,IF(OR(INDEX('×入力'!$A$1:$L$1300,371+AR$3,2+AR$2)&lt;&gt;"",INDEX('×入力'!$A$1:$L$1300,370,2+AR$2)&lt;&gt;"",INDEX('×入力'!$A$1:$L$1300,371+AR$3,1)&lt;&gt;""),1,0),0)</f>
        <v/>
      </c>
      <c r="AS23">
        <f>IF(AS$4=1,IF(OR(INDEX('×入力'!$A$1:$L$1300,371+AS$3,2+AS$2)&lt;&gt;"",INDEX('×入力'!$A$1:$L$1300,370,2+AS$2)&lt;&gt;"",INDEX('×入力'!$A$1:$L$1300,371+AS$3,1)&lt;&gt;""),1,0),0)</f>
        <v/>
      </c>
      <c r="AT23">
        <f>IF(AT$4=1,IF(OR(INDEX('×入力'!$A$1:$L$1300,371+AT$3,2+AT$2)&lt;&gt;"",INDEX('×入力'!$A$1:$L$1300,370,2+AT$2)&lt;&gt;"",INDEX('×入力'!$A$1:$L$1300,371+AT$3,1)&lt;&gt;""),1,0),0)</f>
        <v/>
      </c>
      <c r="AU23">
        <f>IF(AU$4=1,IF(OR(INDEX('×入力'!$A$1:$L$1300,371+AU$3,2+AU$2)&lt;&gt;"",INDEX('×入力'!$A$1:$L$1300,370,2+AU$2)&lt;&gt;"",INDEX('×入力'!$A$1:$L$1300,371+AU$3,1)&lt;&gt;""),1,0),0)</f>
        <v/>
      </c>
      <c r="AV23">
        <f>IF(AV$4=1,IF(OR(INDEX('×入力'!$A$1:$L$1300,371+AV$3,2+AV$2)&lt;&gt;"",INDEX('×入力'!$A$1:$L$1300,370,2+AV$2)&lt;&gt;"",INDEX('×入力'!$A$1:$L$1300,371+AV$3,1)&lt;&gt;""),1,0),0)</f>
        <v/>
      </c>
      <c r="AW23">
        <f>IF(AW$4=1,IF(OR(INDEX('×入力'!$A$1:$L$1300,371+AW$3,2+AW$2)&lt;&gt;"",INDEX('×入力'!$A$1:$L$1300,370,2+AW$2)&lt;&gt;"",INDEX('×入力'!$A$1:$L$1300,371+AW$3,1)&lt;&gt;""),1,0),0)</f>
        <v/>
      </c>
      <c r="AX23">
        <f>IF(AX$4=1,IF(OR(INDEX('×入力'!$A$1:$L$1300,371+AX$3,2+AX$2)&lt;&gt;"",INDEX('×入力'!$A$1:$L$1300,370,2+AX$2)&lt;&gt;"",INDEX('×入力'!$A$1:$L$1300,371+AX$3,1)&lt;&gt;""),1,0),0)</f>
        <v/>
      </c>
      <c r="AY23">
        <f>IF(AY$4=1,IF(OR(INDEX('×入力'!$A$1:$L$1300,371+AY$3,2+AY$2)&lt;&gt;"",INDEX('×入力'!$A$1:$L$1300,370,2+AY$2)&lt;&gt;"",INDEX('×入力'!$A$1:$L$1300,371+AY$3,1)&lt;&gt;""),1,0),0)</f>
        <v/>
      </c>
      <c r="AZ23">
        <f>IF(AZ$4=1,IF(OR(INDEX('×入力'!$A$1:$L$1300,371+AZ$3,2+AZ$2)&lt;&gt;"",INDEX('×入力'!$A$1:$L$1300,370,2+AZ$2)&lt;&gt;"",INDEX('×入力'!$A$1:$L$1300,371+AZ$3,1)&lt;&gt;""),1,0),0)</f>
        <v/>
      </c>
      <c r="BA23">
        <f>IF(BA$4=1,IF(OR(INDEX('×入力'!$A$1:$L$1300,371+BA$3,2+BA$2)&lt;&gt;"",INDEX('×入力'!$A$1:$L$1300,370,2+BA$2)&lt;&gt;"",INDEX('×入力'!$A$1:$L$1300,371+BA$3,1)&lt;&gt;""),1,0),0)</f>
        <v/>
      </c>
      <c r="BB23">
        <f>IF(BB$4=1,IF(OR(INDEX('×入力'!$A$1:$L$1300,371+BB$3,2+BB$2)&lt;&gt;"",INDEX('×入力'!$A$1:$L$1300,370,2+BB$2)&lt;&gt;"",INDEX('×入力'!$A$1:$L$1300,371+BB$3,1)&lt;&gt;""),1,0),0)</f>
        <v/>
      </c>
      <c r="BC23">
        <f>IF(BC$4=1,IF(OR(INDEX('×入力'!$A$1:$L$1300,371+BC$3,2+BC$2)&lt;&gt;"",INDEX('×入力'!$A$1:$L$1300,370,2+BC$2)&lt;&gt;"",INDEX('×入力'!$A$1:$L$1300,371+BC$3,1)&lt;&gt;""),1,0),0)</f>
        <v/>
      </c>
      <c r="BD23">
        <f>IF(BD$4=1,IF(OR(INDEX('×入力'!$A$1:$L$1300,371+BD$3,2+BD$2)&lt;&gt;"",INDEX('×入力'!$A$1:$L$1300,370,2+BD$2)&lt;&gt;"",INDEX('×入力'!$A$1:$L$1300,371+BD$3,1)&lt;&gt;""),1,0),0)</f>
        <v/>
      </c>
      <c r="BE23">
        <f>IF(BE$4=1,IF(OR(INDEX('×入力'!$A$1:$L$1300,371+BE$3,2+BE$2)&lt;&gt;"",INDEX('×入力'!$A$1:$L$1300,370,2+BE$2)&lt;&gt;"",INDEX('×入力'!$A$1:$L$1300,371+BE$3,1)&lt;&gt;""),1,0),0)</f>
        <v/>
      </c>
      <c r="BF23">
        <f>IF(BF$4=1,IF(OR(INDEX('×入力'!$A$1:$L$1300,371+BF$3,2+BF$2)&lt;&gt;"",INDEX('×入力'!$A$1:$L$1300,370,2+BF$2)&lt;&gt;"",INDEX('×入力'!$A$1:$L$1300,371+BF$3,1)&lt;&gt;""),1,0),0)</f>
        <v/>
      </c>
      <c r="BG23">
        <f>IF(BG$4=1,IF(OR(INDEX('×入力'!$A$1:$L$1300,371+BG$3,2+BG$2)&lt;&gt;"",INDEX('×入力'!$A$1:$L$1300,370,2+BG$2)&lt;&gt;"",INDEX('×入力'!$A$1:$L$1300,371+BG$3,1)&lt;&gt;""),1,0),0)</f>
        <v/>
      </c>
      <c r="BH23">
        <f>IF(BH$4=1,IF(OR(INDEX('×入力'!$A$1:$L$1300,371+BH$3,2+BH$2)&lt;&gt;"",INDEX('×入力'!$A$1:$L$1300,370,2+BH$2)&lt;&gt;"",INDEX('×入力'!$A$1:$L$1300,371+BH$3,1)&lt;&gt;""),1,0),0)</f>
        <v/>
      </c>
      <c r="BI23">
        <f>IF(BI$4=1,IF(OR(INDEX('×入力'!$A$1:$L$1300,371+BI$3,2+BI$2)&lt;&gt;"",INDEX('×入力'!$A$1:$L$1300,370,2+BI$2)&lt;&gt;"",INDEX('×入力'!$A$1:$L$1300,371+BI$3,1)&lt;&gt;""),1,0),0)</f>
        <v/>
      </c>
      <c r="BJ23">
        <f>IF(BJ$4=1,IF(OR(INDEX('×入力'!$A$1:$L$1300,371+BJ$3,2+BJ$2)&lt;&gt;"",INDEX('×入力'!$A$1:$L$1300,370,2+BJ$2)&lt;&gt;"",INDEX('×入力'!$A$1:$L$1300,371+BJ$3,1)&lt;&gt;""),1,0),0)</f>
        <v/>
      </c>
      <c r="BK23">
        <f>IF(BK$4=1,IF(OR(INDEX('×入力'!$A$1:$L$1300,371+BK$3,2+BK$2)&lt;&gt;"",INDEX('×入力'!$A$1:$L$1300,370,2+BK$2)&lt;&gt;"",INDEX('×入力'!$A$1:$L$1300,371+BK$3,1)&lt;&gt;""),1,0),0)</f>
        <v/>
      </c>
      <c r="BL23">
        <f>IF(BL$4=1,IF(OR(INDEX('×入力'!$A$1:$L$1300,371+BL$3,2+BL$2)&lt;&gt;"",INDEX('×入力'!$A$1:$L$1300,370,2+BL$2)&lt;&gt;"",INDEX('×入力'!$A$1:$L$1300,371+BL$3,1)&lt;&gt;""),1,0),0)</f>
        <v/>
      </c>
      <c r="BM23">
        <f>IF(BM$4=1,IF(OR(INDEX('×入力'!$A$1:$L$1300,371+BM$3,2+BM$2)&lt;&gt;"",INDEX('×入力'!$A$1:$L$1300,370,2+BM$2)&lt;&gt;"",INDEX('×入力'!$A$1:$L$1300,371+BM$3,1)&lt;&gt;""),1,0),0)</f>
        <v/>
      </c>
      <c r="BN23">
        <f>IF(BN$4=1,IF(OR(INDEX('×入力'!$A$1:$L$1300,371+BN$3,2+BN$2)&lt;&gt;"",INDEX('×入力'!$A$1:$L$1300,370,2+BN$2)&lt;&gt;"",INDEX('×入力'!$A$1:$L$1300,371+BN$3,1)&lt;&gt;""),1,0),0)</f>
        <v/>
      </c>
      <c r="BO23">
        <f>IF(BO$4=1,IF(OR(INDEX('×入力'!$A$1:$L$1300,371+BO$3,2+BO$2)&lt;&gt;"",INDEX('×入力'!$A$1:$L$1300,370,2+BO$2)&lt;&gt;"",INDEX('×入力'!$A$1:$L$1300,371+BO$3,1)&lt;&gt;""),1,0),0)</f>
        <v/>
      </c>
      <c r="BP23">
        <f>IF(BP$4=1,IF(OR(INDEX('×入力'!$A$1:$L$1300,371+BP$3,2+BP$2)&lt;&gt;"",INDEX('×入力'!$A$1:$L$1300,370,2+BP$2)&lt;&gt;"",INDEX('×入力'!$A$1:$L$1300,371+BP$3,1)&lt;&gt;""),1,0),0)</f>
        <v/>
      </c>
      <c r="BQ23">
        <f>IF(BQ$4=1,IF(OR(INDEX('×入力'!$A$1:$L$1300,371+BQ$3,2+BQ$2)&lt;&gt;"",INDEX('×入力'!$A$1:$L$1300,370,2+BQ$2)&lt;&gt;"",INDEX('×入力'!$A$1:$L$1300,371+BQ$3,1)&lt;&gt;""),1,0),0)</f>
        <v/>
      </c>
      <c r="BR23">
        <f>IF(BR$4=1,IF(OR(INDEX('×入力'!$A$1:$L$1300,371+BR$3,2+BR$2)&lt;&gt;"",INDEX('×入力'!$A$1:$L$1300,370,2+BR$2)&lt;&gt;"",INDEX('×入力'!$A$1:$L$1300,371+BR$3,1)&lt;&gt;""),1,0),0)</f>
        <v/>
      </c>
      <c r="BS23">
        <f>IF(BS$4=1,IF(OR(INDEX('×入力'!$A$1:$L$1300,371+BS$3,2+BS$2)&lt;&gt;"",INDEX('×入力'!$A$1:$L$1300,370,2+BS$2)&lt;&gt;"",INDEX('×入力'!$A$1:$L$1300,371+BS$3,1)&lt;&gt;""),1,0),0)</f>
        <v/>
      </c>
      <c r="BT23">
        <f>IF(BT$4=1,IF(OR(INDEX('×入力'!$A$1:$L$1300,371+BT$3,2+BT$2)&lt;&gt;"",INDEX('×入力'!$A$1:$L$1300,370,2+BT$2)&lt;&gt;"",INDEX('×入力'!$A$1:$L$1300,371+BT$3,1)&lt;&gt;""),1,0),0)</f>
        <v/>
      </c>
      <c r="BU23">
        <f>IF(BU$4=1,IF(OR(INDEX('×入力'!$A$1:$L$1300,371+BU$3,2+BU$2)&lt;&gt;"",INDEX('×入力'!$A$1:$L$1300,370,2+BU$2)&lt;&gt;"",INDEX('×入力'!$A$1:$L$1300,371+BU$3,1)&lt;&gt;""),1,0),0)</f>
        <v/>
      </c>
      <c r="BV23">
        <f>IF(BV$4=1,IF(OR(INDEX('×入力'!$A$1:$L$1300,371+BV$3,2+BV$2)&lt;&gt;"",INDEX('×入力'!$A$1:$L$1300,370,2+BV$2)&lt;&gt;"",INDEX('×入力'!$A$1:$L$1300,371+BV$3,1)&lt;&gt;""),1,0),0)</f>
        <v/>
      </c>
      <c r="BW23">
        <f>IF(BW$4=1,IF(OR(INDEX('×入力'!$A$1:$L$1300,371+BW$3,2+BW$2)&lt;&gt;"",INDEX('×入力'!$A$1:$L$1300,370,2+BW$2)&lt;&gt;"",INDEX('×入力'!$A$1:$L$1300,371+BW$3,1)&lt;&gt;""),1,0),0)</f>
        <v/>
      </c>
      <c r="BX23">
        <f>IF(BX$4=1,IF(OR(INDEX('×入力'!$A$1:$L$1300,371+BX$3,2+BX$2)&lt;&gt;"",INDEX('×入力'!$A$1:$L$1300,370,2+BX$2)&lt;&gt;"",INDEX('×入力'!$A$1:$L$1300,371+BX$3,1)&lt;&gt;""),1,0),0)</f>
        <v/>
      </c>
      <c r="BY23">
        <f>IF(BY$4=1,IF(OR(INDEX('×入力'!$A$1:$L$1300,371+BY$3,2+BY$2)&lt;&gt;"",INDEX('×入力'!$A$1:$L$1300,370,2+BY$2)&lt;&gt;"",INDEX('×入力'!$A$1:$L$1300,371+BY$3,1)&lt;&gt;""),1,0),0)</f>
        <v/>
      </c>
      <c r="BZ23">
        <f>IF(BZ$4=1,IF(OR(INDEX('×入力'!$A$1:$L$1300,371+BZ$3,2+BZ$2)&lt;&gt;"",INDEX('×入力'!$A$1:$L$1300,370,2+BZ$2)&lt;&gt;"",INDEX('×入力'!$A$1:$L$1300,371+BZ$3,1)&lt;&gt;""),1,0),0)</f>
        <v/>
      </c>
      <c r="CA23">
        <f>IF(CA$4=1,IF(OR(INDEX('×入力'!$A$1:$L$1300,371+CA$3,2+CA$2)&lt;&gt;"",INDEX('×入力'!$A$1:$L$1300,370,2+CA$2)&lt;&gt;"",INDEX('×入力'!$A$1:$L$1300,371+CA$3,1)&lt;&gt;""),1,0),0)</f>
        <v/>
      </c>
      <c r="CB23">
        <f>IF(CB$4=1,IF(OR(INDEX('×入力'!$A$1:$L$1300,371+CB$3,2+CB$2)&lt;&gt;"",INDEX('×入力'!$A$1:$L$1300,370,2+CB$2)&lt;&gt;"",INDEX('×入力'!$A$1:$L$1300,371+CB$3,1)&lt;&gt;""),1,0),0)</f>
        <v/>
      </c>
      <c r="CC23">
        <f>IF(CC$4=1,IF(OR(INDEX('×入力'!$A$1:$L$1300,371+CC$3,2+CC$2)&lt;&gt;"",INDEX('×入力'!$A$1:$L$1300,370,2+CC$2)&lt;&gt;"",INDEX('×入力'!$A$1:$L$1300,371+CC$3,1)&lt;&gt;""),1,0),0)</f>
        <v/>
      </c>
      <c r="CD23">
        <f>IF(CD$4=1,IF(OR(INDEX('×入力'!$A$1:$L$1300,371+CD$3,2+CD$2)&lt;&gt;"",INDEX('×入力'!$A$1:$L$1300,370,2+CD$2)&lt;&gt;"",INDEX('×入力'!$A$1:$L$1300,371+CD$3,1)&lt;&gt;""),1,0),0)</f>
        <v/>
      </c>
      <c r="CE23">
        <f>IF(CE$4=1,IF(OR(INDEX('×入力'!$A$1:$L$1300,371+CE$3,2+CE$2)&lt;&gt;"",INDEX('×入力'!$A$1:$L$1300,370,2+CE$2)&lt;&gt;"",INDEX('×入力'!$A$1:$L$1300,371+CE$3,1)&lt;&gt;""),1,0),0)</f>
        <v/>
      </c>
      <c r="CF23">
        <f>IF(CF$4=1,IF(OR(INDEX('×入力'!$A$1:$L$1300,371+CF$3,2+CF$2)&lt;&gt;"",INDEX('×入力'!$A$1:$L$1300,370,2+CF$2)&lt;&gt;"",INDEX('×入力'!$A$1:$L$1300,371+CF$3,1)&lt;&gt;""),1,0),0)</f>
        <v/>
      </c>
      <c r="CG23">
        <f>IF(CG$4=1,IF(OR(INDEX('×入力'!$A$1:$L$1300,371+CG$3,2+CG$2)&lt;&gt;"",INDEX('×入力'!$A$1:$L$1300,370,2+CG$2)&lt;&gt;"",INDEX('×入力'!$A$1:$L$1300,371+CG$3,1)&lt;&gt;""),1,0),0)</f>
        <v/>
      </c>
      <c r="CH23">
        <f>IF(CH$4=1,IF(OR(INDEX('×入力'!$A$1:$L$1300,371+CH$3,2+CH$2)&lt;&gt;"",INDEX('×入力'!$A$1:$L$1300,370,2+CH$2)&lt;&gt;"",INDEX('×入力'!$A$1:$L$1300,371+CH$3,1)&lt;&gt;""),1,0),0)</f>
        <v/>
      </c>
      <c r="CI23">
        <f>IF(CI$4=1,IF(OR(INDEX('×入力'!$A$1:$L$1300,371+CI$3,2+CI$2)&lt;&gt;"",INDEX('×入力'!$A$1:$L$1300,370,2+CI$2)&lt;&gt;"",INDEX('×入力'!$A$1:$L$1300,371+CI$3,1)&lt;&gt;""),1,0),0)</f>
        <v/>
      </c>
      <c r="CJ23">
        <f>IF(CJ$4=1,IF(OR(INDEX('×入力'!$A$1:$L$1300,371+CJ$3,2+CJ$2)&lt;&gt;"",INDEX('×入力'!$A$1:$L$1300,370,2+CJ$2)&lt;&gt;"",INDEX('×入力'!$A$1:$L$1300,371+CJ$3,1)&lt;&gt;""),1,0),0)</f>
        <v/>
      </c>
      <c r="CK23">
        <f>IF(CK$4=1,IF(OR(INDEX('×入力'!$A$1:$L$1300,371+CK$3,2+CK$2)&lt;&gt;"",INDEX('×入力'!$A$1:$L$1300,370,2+CK$2)&lt;&gt;"",INDEX('×入力'!$A$1:$L$1300,371+CK$3,1)&lt;&gt;""),1,0),0)</f>
        <v/>
      </c>
      <c r="CL23">
        <f>IF(CL$4=1,IF(OR(INDEX('×入力'!$A$1:$L$1300,371+CL$3,2+CL$2)&lt;&gt;"",INDEX('×入力'!$A$1:$L$1300,370,2+CL$2)&lt;&gt;"",INDEX('×入力'!$A$1:$L$1300,371+CL$3,1)&lt;&gt;""),1,0),0)</f>
        <v/>
      </c>
      <c r="CM23">
        <f>IF(CM$4=1,IF(OR(INDEX('×入力'!$A$1:$L$1300,371+CM$3,2+CM$2)&lt;&gt;"",INDEX('×入力'!$A$1:$L$1300,370,2+CM$2)&lt;&gt;"",INDEX('×入力'!$A$1:$L$1300,371+CM$3,1)&lt;&gt;""),1,0),0)</f>
        <v/>
      </c>
      <c r="CN23">
        <f>IF(CN$4=1,IF(OR(INDEX('×入力'!$A$1:$L$1300,371+CN$3,2+CN$2)&lt;&gt;"",INDEX('×入力'!$A$1:$L$1300,370,2+CN$2)&lt;&gt;"",INDEX('×入力'!$A$1:$L$1300,371+CN$3,1)&lt;&gt;""),1,0),0)</f>
        <v/>
      </c>
      <c r="CO23">
        <f>IF(CO$4=1,IF(OR(INDEX('×入力'!$A$1:$L$1300,371+CO$3,2+CO$2)&lt;&gt;"",INDEX('×入力'!$A$1:$L$1300,370,2+CO$2)&lt;&gt;"",INDEX('×入力'!$A$1:$L$1300,371+CO$3,1)&lt;&gt;""),1,0),0)</f>
        <v/>
      </c>
      <c r="CP23">
        <f>IF(CP$4=1,IF(OR(INDEX('×入力'!$A$1:$L$1300,371+CP$3,2+CP$2)&lt;&gt;"",INDEX('×入力'!$A$1:$L$1300,370,2+CP$2)&lt;&gt;"",INDEX('×入力'!$A$1:$L$1300,371+CP$3,1)&lt;&gt;""),1,0),0)</f>
        <v/>
      </c>
      <c r="CQ23">
        <f>IF(CQ$4=1,IF(OR(INDEX('×入力'!$A$1:$L$1300,371+CQ$3,2+CQ$2)&lt;&gt;"",INDEX('×入力'!$A$1:$L$1300,370,2+CQ$2)&lt;&gt;"",INDEX('×入力'!$A$1:$L$1300,371+CQ$3,1)&lt;&gt;""),1,0),0)</f>
        <v/>
      </c>
      <c r="CR23">
        <f>IF(CR$4=1,IF(OR(INDEX('×入力'!$A$1:$L$1300,371+CR$3,2+CR$2)&lt;&gt;"",INDEX('×入力'!$A$1:$L$1300,370,2+CR$2)&lt;&gt;"",INDEX('×入力'!$A$1:$L$1300,371+CR$3,1)&lt;&gt;""),1,0),0)</f>
        <v/>
      </c>
      <c r="CS23">
        <f>IF(CS$4=1,IF(OR(INDEX('×入力'!$A$1:$L$1300,371+CS$3,2+CS$2)&lt;&gt;"",INDEX('×入力'!$A$1:$L$1300,370,2+CS$2)&lt;&gt;"",INDEX('×入力'!$A$1:$L$1300,371+CS$3,1)&lt;&gt;""),1,0),0)</f>
        <v/>
      </c>
      <c r="CT23">
        <f>IF(CT$4=1,IF(OR(INDEX('×入力'!$A$1:$L$1300,371+CT$3,2+CT$2)&lt;&gt;"",INDEX('×入力'!$A$1:$L$1300,370,2+CT$2)&lt;&gt;"",INDEX('×入力'!$A$1:$L$1300,371+CT$3,1)&lt;&gt;""),1,0),0)</f>
        <v/>
      </c>
      <c r="CU23">
        <f>IF(CU$4=1,IF(OR(INDEX('×入力'!$A$1:$L$1300,371+CU$3,2+CU$2)&lt;&gt;"",INDEX('×入力'!$A$1:$L$1300,370,2+CU$2)&lt;&gt;"",INDEX('×入力'!$A$1:$L$1300,371+CU$3,1)&lt;&gt;""),1,0),0)</f>
        <v/>
      </c>
      <c r="CV23">
        <f>IF(CV$4=1,IF(OR(INDEX('×入力'!$A$1:$L$1300,371+CV$3,2+CV$2)&lt;&gt;"",INDEX('×入力'!$A$1:$L$1300,370,2+CV$2)&lt;&gt;"",INDEX('×入力'!$A$1:$L$1300,371+CV$3,1)&lt;&gt;""),1,0),0)</f>
        <v/>
      </c>
      <c r="CW23">
        <f>IF(CW$4=1,IF(OR(INDEX('×入力'!$A$1:$L$1300,371+CW$3,2+CW$2)&lt;&gt;"",INDEX('×入力'!$A$1:$L$1300,370,2+CW$2)&lt;&gt;"",INDEX('×入力'!$A$1:$L$1300,371+CW$3,1)&lt;&gt;""),1,0),0)</f>
        <v/>
      </c>
      <c r="CX23">
        <f>IF(CX$4=1,IF(OR(INDEX('×入力'!$A$1:$L$1300,371+CX$3,2+CX$2)&lt;&gt;"",INDEX('×入力'!$A$1:$L$1300,370,2+CX$2)&lt;&gt;"",INDEX('×入力'!$A$1:$L$1300,371+CX$3,1)&lt;&gt;""),1,0),0)</f>
        <v/>
      </c>
      <c r="CY23">
        <f>IF(CY$4=1,IF(OR(INDEX('×入力'!$A$1:$L$1300,371+CY$3,2+CY$2)&lt;&gt;"",INDEX('×入力'!$A$1:$L$1300,370,2+CY$2)&lt;&gt;"",INDEX('×入力'!$A$1:$L$1300,371+CY$3,1)&lt;&gt;""),1,0),0)</f>
        <v/>
      </c>
      <c r="CZ23">
        <f>IF(CZ$4=1,IF(OR(INDEX('×入力'!$A$1:$L$1300,371+CZ$3,2+CZ$2)&lt;&gt;"",INDEX('×入力'!$A$1:$L$1300,370,2+CZ$2)&lt;&gt;"",INDEX('×入力'!$A$1:$L$1300,371+CZ$3,1)&lt;&gt;""),1,0),0)</f>
        <v/>
      </c>
      <c r="DA23">
        <f>IF(DA$4=1,IF(OR(INDEX('×入力'!$A$1:$L$1300,371+DA$3,2+DA$2)&lt;&gt;"",INDEX('×入力'!$A$1:$L$1300,370,2+DA$2)&lt;&gt;"",INDEX('×入力'!$A$1:$L$1300,371+DA$3,1)&lt;&gt;""),1,0),0)</f>
        <v/>
      </c>
      <c r="DB23">
        <f>IF(DB$4=1,IF(OR(INDEX('×入力'!$A$1:$L$1300,371+DB$3,2+DB$2)&lt;&gt;"",INDEX('×入力'!$A$1:$L$1300,370,2+DB$2)&lt;&gt;"",INDEX('×入力'!$A$1:$L$1300,371+DB$3,1)&lt;&gt;""),1,0),0)</f>
        <v/>
      </c>
      <c r="DC23">
        <f>IF(DC$4=1,IF(OR(INDEX('×入力'!$A$1:$L$1300,371+DC$3,2+DC$2)&lt;&gt;"",INDEX('×入力'!$A$1:$L$1300,370,2+DC$2)&lt;&gt;"",INDEX('×入力'!$A$1:$L$1300,371+DC$3,1)&lt;&gt;""),1,0),0)</f>
        <v/>
      </c>
      <c r="DD23">
        <f>IF(DD$4=1,IF(OR(INDEX('×入力'!$A$1:$L$1300,371+DD$3,2+DD$2)&lt;&gt;"",INDEX('×入力'!$A$1:$L$1300,370,2+DD$2)&lt;&gt;"",INDEX('×入力'!$A$1:$L$1300,371+DD$3,1)&lt;&gt;""),1,0),0)</f>
        <v/>
      </c>
      <c r="DE23">
        <f>IF(DE$4=1,IF(OR(INDEX('×入力'!$A$1:$L$1300,371+DE$3,2+DE$2)&lt;&gt;"",INDEX('×入力'!$A$1:$L$1300,370,2+DE$2)&lt;&gt;"",INDEX('×入力'!$A$1:$L$1300,371+DE$3,1)&lt;&gt;""),1,0),0)</f>
        <v/>
      </c>
      <c r="DF23">
        <f>IF(DF$4=1,IF(OR(INDEX('×入力'!$A$1:$L$1300,371+DF$3,2+DF$2)&lt;&gt;"",INDEX('×入力'!$A$1:$L$1300,370,2+DF$2)&lt;&gt;"",INDEX('×入力'!$A$1:$L$1300,371+DF$3,1)&lt;&gt;""),1,0),0)</f>
        <v/>
      </c>
      <c r="DG23">
        <f>IF(DG$4=1,IF(OR(INDEX('×入力'!$A$1:$L$1300,371+DG$3,2+DG$2)&lt;&gt;"",INDEX('×入力'!$A$1:$L$1300,370,2+DG$2)&lt;&gt;"",INDEX('×入力'!$A$1:$L$1300,371+DG$3,1)&lt;&gt;""),1,0),0)</f>
        <v/>
      </c>
      <c r="DH23">
        <f>IF(DH$4=1,IF(OR(INDEX('×入力'!$A$1:$L$1300,371+DH$3,2+DH$2)&lt;&gt;"",INDEX('×入力'!$A$1:$L$1300,370,2+DH$2)&lt;&gt;"",INDEX('×入力'!$A$1:$L$1300,371+DH$3,1)&lt;&gt;""),1,0),0)</f>
        <v/>
      </c>
      <c r="DI23">
        <f>IF(DI$4=1,IF(OR(INDEX('×入力'!$A$1:$L$1300,371+DI$3,2+DI$2)&lt;&gt;"",INDEX('×入力'!$A$1:$L$1300,370,2+DI$2)&lt;&gt;"",INDEX('×入力'!$A$1:$L$1300,371+DI$3,1)&lt;&gt;""),1,0),0)</f>
        <v/>
      </c>
      <c r="DJ23">
        <f>IF(DJ$4=1,IF(OR(INDEX('×入力'!$A$1:$L$1300,371+DJ$3,2+DJ$2)&lt;&gt;"",INDEX('×入力'!$A$1:$L$1300,370,2+DJ$2)&lt;&gt;"",INDEX('×入力'!$A$1:$L$1300,371+DJ$3,1)&lt;&gt;""),1,0),0)</f>
        <v/>
      </c>
      <c r="DK23">
        <f>IF(DK$4=1,IF(OR(INDEX('×入力'!$A$1:$L$1300,371+DK$3,2+DK$2)&lt;&gt;"",INDEX('×入力'!$A$1:$L$1300,370,2+DK$2)&lt;&gt;"",INDEX('×入力'!$A$1:$L$1300,371+DK$3,1)&lt;&gt;""),1,0),0)</f>
        <v/>
      </c>
      <c r="DL23">
        <f>IF(DL$4=1,IF(OR(INDEX('×入力'!$A$1:$L$1300,371+DL$3,2+DL$2)&lt;&gt;"",INDEX('×入力'!$A$1:$L$1300,370,2+DL$2)&lt;&gt;"",INDEX('×入力'!$A$1:$L$1300,371+DL$3,1)&lt;&gt;""),1,0),0)</f>
        <v/>
      </c>
      <c r="DM23">
        <f>IF(DM$4=1,IF(OR(INDEX('×入力'!$A$1:$L$1300,371+DM$3,2+DM$2)&lt;&gt;"",INDEX('×入力'!$A$1:$L$1300,370,2+DM$2)&lt;&gt;"",INDEX('×入力'!$A$1:$L$1300,371+DM$3,1)&lt;&gt;""),1,0),0)</f>
        <v/>
      </c>
      <c r="DN23">
        <f>IF(DN$4=1,IF(OR(INDEX('×入力'!$A$1:$L$1300,371+DN$3,2+DN$2)&lt;&gt;"",INDEX('×入力'!$A$1:$L$1300,370,2+DN$2)&lt;&gt;"",INDEX('×入力'!$A$1:$L$1300,371+DN$3,1)&lt;&gt;""),1,0),0)</f>
        <v/>
      </c>
      <c r="DO23">
        <f>IF(DO$4=1,IF(OR(INDEX('×入力'!$A$1:$L$1300,371+DO$3,2+DO$2)&lt;&gt;"",INDEX('×入力'!$A$1:$L$1300,370,2+DO$2)&lt;&gt;"",INDEX('×入力'!$A$1:$L$1300,371+DO$3,1)&lt;&gt;""),1,0),0)</f>
        <v/>
      </c>
      <c r="DP23">
        <f>IF(DP$4=1,IF(OR(INDEX('×入力'!$A$1:$L$1300,371+DP$3,2+DP$2)&lt;&gt;"",INDEX('×入力'!$A$1:$L$1300,370,2+DP$2)&lt;&gt;"",INDEX('×入力'!$A$1:$L$1300,371+DP$3,1)&lt;&gt;""),1,0),0)</f>
        <v/>
      </c>
      <c r="DQ23">
        <f>IF(DQ$4=1,IF(OR(INDEX('×入力'!$A$1:$L$1300,371+DQ$3,2+DQ$2)&lt;&gt;"",INDEX('×入力'!$A$1:$L$1300,370,2+DQ$2)&lt;&gt;"",INDEX('×入力'!$A$1:$L$1300,371+DQ$3,1)&lt;&gt;""),1,0),0)</f>
        <v/>
      </c>
      <c r="DR23">
        <f>IF(DR$4=1,IF(OR(INDEX('×入力'!$A$1:$L$1300,371+DR$3,2+DR$2)&lt;&gt;"",INDEX('×入力'!$A$1:$L$1300,370,2+DR$2)&lt;&gt;"",INDEX('×入力'!$A$1:$L$1300,371+DR$3,1)&lt;&gt;""),1,0),0)</f>
        <v/>
      </c>
      <c r="DS23">
        <f>IF(DS$4=1,IF(OR(INDEX('×入力'!$A$1:$L$1300,371+DS$3,2+DS$2)&lt;&gt;"",INDEX('×入力'!$A$1:$L$1300,370,2+DS$2)&lt;&gt;"",INDEX('×入力'!$A$1:$L$1300,371+DS$3,1)&lt;&gt;""),1,0),0)</f>
        <v/>
      </c>
      <c r="DT23">
        <f>IF(DT$4=1,IF(OR(INDEX('×入力'!$A$1:$L$1300,371+DT$3,2+DT$2)&lt;&gt;"",INDEX('×入力'!$A$1:$L$1300,370,2+DT$2)&lt;&gt;"",INDEX('×入力'!$A$1:$L$1300,371+DT$3,1)&lt;&gt;""),1,0),0)</f>
        <v/>
      </c>
      <c r="DU23">
        <f>IF(DU$4=1,IF(OR(INDEX('×入力'!$A$1:$L$1300,371+DU$3,2+DU$2)&lt;&gt;"",INDEX('×入力'!$A$1:$L$1300,370,2+DU$2)&lt;&gt;"",INDEX('×入力'!$A$1:$L$1300,371+DU$3,1)&lt;&gt;""),1,0),0)</f>
        <v/>
      </c>
      <c r="DV23">
        <f>IF(DV$4=1,IF(OR(INDEX('×入力'!$A$1:$L$1300,371+DV$3,2+DV$2)&lt;&gt;"",INDEX('×入力'!$A$1:$L$1300,370,2+DV$2)&lt;&gt;"",INDEX('×入力'!$A$1:$L$1300,371+DV$3,1)&lt;&gt;""),1,0),0)</f>
        <v/>
      </c>
      <c r="DW23">
        <f>IF(DW$4=1,IF(OR(INDEX('×入力'!$A$1:$L$1300,371+DW$3,2+DW$2)&lt;&gt;"",INDEX('×入力'!$A$1:$L$1300,370,2+DW$2)&lt;&gt;"",INDEX('×入力'!$A$1:$L$1300,371+DW$3,1)&lt;&gt;""),1,0),0)</f>
        <v/>
      </c>
      <c r="DX23">
        <f>IF(DX$4=1,IF(OR(INDEX('×入力'!$A$1:$L$1300,371+DX$3,2+DX$2)&lt;&gt;"",INDEX('×入力'!$A$1:$L$1300,370,2+DX$2)&lt;&gt;"",INDEX('×入力'!$A$1:$L$1300,371+DX$3,1)&lt;&gt;""),1,0),0)</f>
        <v/>
      </c>
      <c r="DY23">
        <f>IF(DY$4=1,IF(OR(INDEX('×入力'!$A$1:$L$1300,371+DY$3,2+DY$2)&lt;&gt;"",INDEX('×入力'!$A$1:$L$1300,370,2+DY$2)&lt;&gt;"",INDEX('×入力'!$A$1:$L$1300,371+DY$3,1)&lt;&gt;""),1,0),0)</f>
        <v/>
      </c>
      <c r="DZ23">
        <f>IF(DZ$4=1,IF(OR(INDEX('×入力'!$A$1:$L$1300,371+DZ$3,2+DZ$2)&lt;&gt;"",INDEX('×入力'!$A$1:$L$1300,370,2+DZ$2)&lt;&gt;"",INDEX('×入力'!$A$1:$L$1300,371+DZ$3,1)&lt;&gt;""),1,0),0)</f>
        <v/>
      </c>
      <c r="EA23">
        <f>IF(EA$4=1,IF(OR(INDEX('×入力'!$A$1:$L$1300,371+EA$3,2+EA$2)&lt;&gt;"",INDEX('×入力'!$A$1:$L$1300,370,2+EA$2)&lt;&gt;"",INDEX('×入力'!$A$1:$L$1300,371+EA$3,1)&lt;&gt;""),1,0),0)</f>
        <v/>
      </c>
      <c r="EB23">
        <f>IF(EB$4=1,IF(OR(INDEX('×入力'!$A$1:$L$1300,371+EB$3,2+EB$2)&lt;&gt;"",INDEX('×入力'!$A$1:$L$1300,370,2+EB$2)&lt;&gt;"",INDEX('×入力'!$A$1:$L$1300,371+EB$3,1)&lt;&gt;""),1,0),0)</f>
        <v/>
      </c>
      <c r="EC23">
        <f>IF(EC$4=1,IF(OR(INDEX('×入力'!$A$1:$L$1300,371+EC$3,2+EC$2)&lt;&gt;"",INDEX('×入力'!$A$1:$L$1300,370,2+EC$2)&lt;&gt;"",INDEX('×入力'!$A$1:$L$1300,371+EC$3,1)&lt;&gt;""),1,0),0)</f>
        <v/>
      </c>
      <c r="ED23">
        <f>IF(ED$4=1,IF(OR(INDEX('×入力'!$A$1:$L$1300,371+ED$3,2+ED$2)&lt;&gt;"",INDEX('×入力'!$A$1:$L$1300,370,2+ED$2)&lt;&gt;"",INDEX('×入力'!$A$1:$L$1300,371+ED$3,1)&lt;&gt;""),1,0),0)</f>
        <v/>
      </c>
      <c r="EE23">
        <f>IF(EE$4=1,IF(OR(INDEX('×入力'!$A$1:$L$1300,371+EE$3,2+EE$2)&lt;&gt;"",INDEX('×入力'!$A$1:$L$1300,370,2+EE$2)&lt;&gt;"",INDEX('×入力'!$A$1:$L$1300,371+EE$3,1)&lt;&gt;""),1,0),0)</f>
        <v/>
      </c>
      <c r="EF23">
        <f>IF(EF$4=1,IF(OR(INDEX('×入力'!$A$1:$L$1300,371+EF$3,2+EF$2)&lt;&gt;"",INDEX('×入力'!$A$1:$L$1300,370,2+EF$2)&lt;&gt;"",INDEX('×入力'!$A$1:$L$1300,371+EF$3,1)&lt;&gt;""),1,0),0)</f>
        <v/>
      </c>
      <c r="EG23">
        <f>IF(EG$4=1,IF(OR(INDEX('×入力'!$A$1:$L$1300,371+EG$3,2+EG$2)&lt;&gt;"",INDEX('×入力'!$A$1:$L$1300,370,2+EG$2)&lt;&gt;"",INDEX('×入力'!$A$1:$L$1300,371+EG$3,1)&lt;&gt;""),1,0),0)</f>
        <v/>
      </c>
      <c r="EH23">
        <f>IF(EH$4=1,IF(OR(INDEX('×入力'!$A$1:$L$1300,371+EH$3,2+EH$2)&lt;&gt;"",INDEX('×入力'!$A$1:$L$1300,370,2+EH$2)&lt;&gt;"",INDEX('×入力'!$A$1:$L$1300,371+EH$3,1)&lt;&gt;""),1,0),0)</f>
        <v/>
      </c>
      <c r="EI23">
        <f>IF(EI$4=1,IF(OR(INDEX('×入力'!$A$1:$L$1300,371+EI$3,2+EI$2)&lt;&gt;"",INDEX('×入力'!$A$1:$L$1300,370,2+EI$2)&lt;&gt;"",INDEX('×入力'!$A$1:$L$1300,371+EI$3,1)&lt;&gt;""),1,0),0)</f>
        <v/>
      </c>
      <c r="EJ23">
        <f>IF(EJ$4=1,IF(OR(INDEX('×入力'!$A$1:$L$1300,371+EJ$3,2+EJ$2)&lt;&gt;"",INDEX('×入力'!$A$1:$L$1300,370,2+EJ$2)&lt;&gt;"",INDEX('×入力'!$A$1:$L$1300,371+EJ$3,1)&lt;&gt;""),1,0),0)</f>
        <v/>
      </c>
      <c r="EK23">
        <f>IF(EK$4=1,IF(OR(INDEX('×入力'!$A$1:$L$1300,371+EK$3,2+EK$2)&lt;&gt;"",INDEX('×入力'!$A$1:$L$1300,370,2+EK$2)&lt;&gt;"",INDEX('×入力'!$A$1:$L$1300,371+EK$3,1)&lt;&gt;""),1,0),0)</f>
        <v/>
      </c>
      <c r="EL23">
        <f>IF(EL$4=1,IF(OR(INDEX('×入力'!$A$1:$L$1300,371+EL$3,2+EL$2)&lt;&gt;"",INDEX('×入力'!$A$1:$L$1300,370,2+EL$2)&lt;&gt;"",INDEX('×入力'!$A$1:$L$1300,371+EL$3,1)&lt;&gt;""),1,0),0)</f>
        <v/>
      </c>
      <c r="EM23">
        <f>IF(EM$4=1,IF(OR(INDEX('×入力'!$A$1:$L$1300,371+EM$3,2+EM$2)&lt;&gt;"",INDEX('×入力'!$A$1:$L$1300,370,2+EM$2)&lt;&gt;"",INDEX('×入力'!$A$1:$L$1300,371+EM$3,1)&lt;&gt;""),1,0),0)</f>
        <v/>
      </c>
      <c r="EN23">
        <f>IF(EN$4=1,IF(OR(INDEX('×入力'!$A$1:$L$1300,371+EN$3,2+EN$2)&lt;&gt;"",INDEX('×入力'!$A$1:$L$1300,370,2+EN$2)&lt;&gt;"",INDEX('×入力'!$A$1:$L$1300,371+EN$3,1)&lt;&gt;""),1,0),0)</f>
        <v/>
      </c>
      <c r="EO23">
        <f>IF(EO$4=1,IF(OR(INDEX('×入力'!$A$1:$L$1300,371+EO$3,2+EO$2)&lt;&gt;"",INDEX('×入力'!$A$1:$L$1300,370,2+EO$2)&lt;&gt;"",INDEX('×入力'!$A$1:$L$1300,371+EO$3,1)&lt;&gt;""),1,0),0)</f>
        <v/>
      </c>
      <c r="EP23">
        <f>IF(EP$4=1,IF(OR(INDEX('×入力'!$A$1:$L$1300,371+EP$3,2+EP$2)&lt;&gt;"",INDEX('×入力'!$A$1:$L$1300,370,2+EP$2)&lt;&gt;"",INDEX('×入力'!$A$1:$L$1300,371+EP$3,1)&lt;&gt;""),1,0),0)</f>
        <v/>
      </c>
      <c r="EQ23">
        <f>IF(EQ$4=1,IF(OR(INDEX('×入力'!$A$1:$L$1300,371+EQ$3,2+EQ$2)&lt;&gt;"",INDEX('×入力'!$A$1:$L$1300,370,2+EQ$2)&lt;&gt;"",INDEX('×入力'!$A$1:$L$1300,371+EQ$3,1)&lt;&gt;""),1,0),0)</f>
        <v/>
      </c>
      <c r="HA23">
        <f>MAX(0,IT23)</f>
        <v/>
      </c>
      <c r="HB23">
        <f>IF(HA23=0,0,INDEX($D$2:$EQ$2,HA23))</f>
        <v/>
      </c>
      <c r="HC23">
        <f>IF(HA23=0,0,INDEX($D$3:$EQ$3,HA23))</f>
        <v/>
      </c>
      <c r="HD23">
        <f>MAX(0,IY23)</f>
        <v/>
      </c>
      <c r="HE23">
        <f>IF(HD23=0,0,INDEX($D$2:$EQ$2,HD23))</f>
        <v/>
      </c>
      <c r="HF23">
        <f>IF(HD23=0,0,INDEX($D$3:$EQ$3,HD23))</f>
        <v/>
      </c>
      <c r="HG23">
        <f>MAX(0,IZ23)</f>
        <v/>
      </c>
      <c r="HH23">
        <f>IF(HG23=0,0,INDEX($D$2:$EQ$2,HG23))</f>
        <v/>
      </c>
      <c r="HI23">
        <f>IF(HG23=0,0,INDEX($D$3:$EQ$3,HG23))</f>
        <v/>
      </c>
      <c r="HJ23">
        <f>IF(AND(HA23&gt;0,HC23&gt;1,OR(HC23-1&lt;&gt;$A$3,$A$4=0)),HA23-1,-1)</f>
        <v/>
      </c>
      <c r="HK23">
        <f>IF(AND(HA23&gt;0,HC23&lt;24,OR(HC23&lt;&gt;$A$3,$A$4=0)),HA23+1,-1)</f>
        <v/>
      </c>
      <c r="HL23">
        <f>IF(AND(HD23&gt;0,HF23&gt;1,OR(HF23-1&lt;&gt;$A$3,$A$4=0)),HD23-1,-1)</f>
        <v/>
      </c>
      <c r="HM23">
        <f>IF(AND(HD23&gt;0,HF23&lt;24,OR(HF23&lt;&gt;$A$3,$A$4=0)),HD23+1,-1)</f>
        <v/>
      </c>
      <c r="HN23">
        <f>IF(AND(HG23&gt;0,HI23&gt;1,OR(HI23-1&lt;&gt;$A$3,$A$4=0)),HG23-1,-1)</f>
        <v/>
      </c>
      <c r="HO23">
        <f>IF(AND(HG23&gt;0,HI23&lt;24,OR(HI23&lt;&gt;$A$3,$A$4=0)),HG23+1,-1)</f>
        <v/>
      </c>
      <c r="IK23">
        <f>IFERROR(INDEX('calcB'!$C$3:$C$47,MATCH(A23,'calcB'!$B$3:$B$47,0)),0)</f>
        <v/>
      </c>
      <c r="IL23">
        <f>IF(AND(C23=1,IK23=0,calcA!$A$6&gt;0),1,0)</f>
        <v/>
      </c>
      <c r="IM23">
        <f>SUMPRODUCT(D73:EQ73*(1-$D$7:$EQ$7))</f>
        <v/>
      </c>
      <c r="IN23">
        <f>SUM(D23:EQ23)</f>
        <v/>
      </c>
      <c r="IO23">
        <f>IF(B23="",0,IF(COUNTIF('調整・決定'!$C$6:$H$29,B23)=1,SUMPRODUCT(('調整・決定'!$C$6:$H$29=B23)*((COLUMN('調整・決定'!$C$6:$H$29)-3)*24+ROW('調整・決定'!$C$6:$H$29)-5)),0))</f>
        <v/>
      </c>
      <c r="IP23">
        <f>IFERROR(MATCH('名簿'!C18,{"早い時刻","遅い時刻","早い日","遅い日"},0),0)</f>
        <v/>
      </c>
      <c r="IQ23">
        <f>IF('名簿'!D18="必ず空けたい",2,IF('名簿'!D18="出来れば空けたい",1,0))</f>
        <v/>
      </c>
      <c r="IR23">
        <f>IFERROR(INDEX('calcC'!$C$3:$C$47,MATCH(A23,'calcC'!$B$3:$B$47,0)),0)</f>
        <v/>
      </c>
      <c r="IS23">
        <f>IF(AND(C23=1,IR23=0,calcA!$A$6&gt;0),1,0)</f>
        <v/>
      </c>
      <c r="IT23">
        <f>IF(OR('名簿'!G18="",'名簿'!H18=""),0,IFERROR((MATCH('名簿'!G18,'設定'!$E$11:$E$16,0)-1)*24+MATCH('名簿'!H18,'設定'!$I$11:$I$34,0),-1))</f>
        <v/>
      </c>
      <c r="IV23">
        <f>IF(OR(JF23=0,IO23=0),1,IF(OR(IF(IT23&gt;0,AND(INDEX($D$2:$EQ$2,IO23)=INDEX($D$2:$EQ$2,IT23),OR(AND(IO23=IT23+1,OR(INDEX($D$3:$EQ$3,IT23)&lt;&gt;$A$3,$A$4=0)),AND(IO23=IT23-1,OR(INDEX($D$3:$EQ$3,IO23)&lt;&gt;$A$3,$A$4=0)))),FALSE),IF(IY23&gt;0,AND(INDEX($D$2:$EQ$2,IO23)=INDEX($D$2:$EQ$2,IY23),OR(AND(IO23=IY23+1,OR(INDEX($D$3:$EQ$3,IY23)&lt;&gt;$A$3,$A$4=0)),AND(IO23=IY23-1,OR(INDEX($D$3:$EQ$3,IO23)&lt;&gt;$A$3,$A$4=0)))),FALSE),IF(IZ23&gt;0,AND(INDEX($D$2:$EQ$2,IO23)=INDEX($D$2:$EQ$2,IZ23),OR(AND(IO23=IZ23+1,OR(INDEX($D$3:$EQ$3,IZ23)&lt;&gt;$A$3,$A$4=0)),AND(IO23=IZ23-1,OR(INDEX($D$3:$EQ$3,IO23)&lt;&gt;$A$3,$A$4=0)))),FALSE)),1,0))</f>
        <v/>
      </c>
      <c r="IW23">
        <f>IF(AND('名簿'!E18&lt;&gt;"",JF23=0),1,0)</f>
        <v/>
      </c>
      <c r="IX23">
        <f>IF('名簿'!D18="空けない",1,0)</f>
        <v/>
      </c>
      <c r="IY23">
        <f>IF(OR('名簿'!J18="",'名簿'!K18=""),0,IFERROR((MATCH('名簿'!J18,'設定'!$E$11:$E$16,0)-1)*24+MATCH('名簿'!K18,'設定'!$I$11:$I$34,0),-1))</f>
        <v/>
      </c>
      <c r="IZ23">
        <f>IF(OR('名簿'!M18="",'名簿'!N18=""),0,IFERROR((MATCH('名簿'!M18,'設定'!$E$11:$E$16,0)-1)*24+MATCH('名簿'!N18,'設定'!$I$11:$I$34,0),-1))</f>
        <v/>
      </c>
      <c r="JC23">
        <f>IF(RIGHT('名簿'!I18,2)="の前",1,IF(RIGHT('名簿'!I18,2)="の後",2,0))</f>
        <v/>
      </c>
      <c r="JD23">
        <f>IF(RIGHT('名簿'!L18,2)="の前",1,IF(RIGHT('名簿'!L18,2)="の後",2,0))</f>
        <v/>
      </c>
      <c r="JE23">
        <f>IF(RIGHT('名簿'!O18,2)="の前",1,IF(RIGHT('名簿'!O18,2)="の後",2,0))</f>
        <v/>
      </c>
      <c r="JF23">
        <f>IF(OR(IT23&gt;0,IY23&gt;0,IZ23&gt;0),1,0)</f>
        <v/>
      </c>
      <c r="JG23">
        <f>IF(OR(IT23&lt;0,IY23&lt;0,IZ23&lt;0),1,0)</f>
        <v/>
      </c>
    </row>
    <row r="24">
      <c r="A24" t="n">
        <v>15</v>
      </c>
      <c r="B24">
        <f>'名簿'!P19</f>
        <v/>
      </c>
      <c r="C24">
        <f>IF(AND(B24&lt;&gt;"",OR('名簿'!Q19="入力済み",'名簿'!Q19="×なし"),IO24=0,COUNTIF('調整・決定'!$C$6:$H$29,B24)=0),1,0)</f>
        <v/>
      </c>
      <c r="D24">
        <f>IF(D$4=1,IF(OR(INDEX('×入力'!$A$1:$L$1300,399+D$3,2+D$2)&lt;&gt;"",INDEX('×入力'!$A$1:$L$1300,398,2+D$2)&lt;&gt;"",INDEX('×入力'!$A$1:$L$1300,399+D$3,1)&lt;&gt;""),1,0),0)</f>
        <v/>
      </c>
      <c r="E24">
        <f>IF(E$4=1,IF(OR(INDEX('×入力'!$A$1:$L$1300,399+E$3,2+E$2)&lt;&gt;"",INDEX('×入力'!$A$1:$L$1300,398,2+E$2)&lt;&gt;"",INDEX('×入力'!$A$1:$L$1300,399+E$3,1)&lt;&gt;""),1,0),0)</f>
        <v/>
      </c>
      <c r="F24">
        <f>IF(F$4=1,IF(OR(INDEX('×入力'!$A$1:$L$1300,399+F$3,2+F$2)&lt;&gt;"",INDEX('×入力'!$A$1:$L$1300,398,2+F$2)&lt;&gt;"",INDEX('×入力'!$A$1:$L$1300,399+F$3,1)&lt;&gt;""),1,0),0)</f>
        <v/>
      </c>
      <c r="G24">
        <f>IF(G$4=1,IF(OR(INDEX('×入力'!$A$1:$L$1300,399+G$3,2+G$2)&lt;&gt;"",INDEX('×入力'!$A$1:$L$1300,398,2+G$2)&lt;&gt;"",INDEX('×入力'!$A$1:$L$1300,399+G$3,1)&lt;&gt;""),1,0),0)</f>
        <v/>
      </c>
      <c r="H24">
        <f>IF(H$4=1,IF(OR(INDEX('×入力'!$A$1:$L$1300,399+H$3,2+H$2)&lt;&gt;"",INDEX('×入力'!$A$1:$L$1300,398,2+H$2)&lt;&gt;"",INDEX('×入力'!$A$1:$L$1300,399+H$3,1)&lt;&gt;""),1,0),0)</f>
        <v/>
      </c>
      <c r="I24">
        <f>IF(I$4=1,IF(OR(INDEX('×入力'!$A$1:$L$1300,399+I$3,2+I$2)&lt;&gt;"",INDEX('×入力'!$A$1:$L$1300,398,2+I$2)&lt;&gt;"",INDEX('×入力'!$A$1:$L$1300,399+I$3,1)&lt;&gt;""),1,0),0)</f>
        <v/>
      </c>
      <c r="J24">
        <f>IF(J$4=1,IF(OR(INDEX('×入力'!$A$1:$L$1300,399+J$3,2+J$2)&lt;&gt;"",INDEX('×入力'!$A$1:$L$1300,398,2+J$2)&lt;&gt;"",INDEX('×入力'!$A$1:$L$1300,399+J$3,1)&lt;&gt;""),1,0),0)</f>
        <v/>
      </c>
      <c r="K24">
        <f>IF(K$4=1,IF(OR(INDEX('×入力'!$A$1:$L$1300,399+K$3,2+K$2)&lt;&gt;"",INDEX('×入力'!$A$1:$L$1300,398,2+K$2)&lt;&gt;"",INDEX('×入力'!$A$1:$L$1300,399+K$3,1)&lt;&gt;""),1,0),0)</f>
        <v/>
      </c>
      <c r="L24">
        <f>IF(L$4=1,IF(OR(INDEX('×入力'!$A$1:$L$1300,399+L$3,2+L$2)&lt;&gt;"",INDEX('×入力'!$A$1:$L$1300,398,2+L$2)&lt;&gt;"",INDEX('×入力'!$A$1:$L$1300,399+L$3,1)&lt;&gt;""),1,0),0)</f>
        <v/>
      </c>
      <c r="M24">
        <f>IF(M$4=1,IF(OR(INDEX('×入力'!$A$1:$L$1300,399+M$3,2+M$2)&lt;&gt;"",INDEX('×入力'!$A$1:$L$1300,398,2+M$2)&lt;&gt;"",INDEX('×入力'!$A$1:$L$1300,399+M$3,1)&lt;&gt;""),1,0),0)</f>
        <v/>
      </c>
      <c r="N24">
        <f>IF(N$4=1,IF(OR(INDEX('×入力'!$A$1:$L$1300,399+N$3,2+N$2)&lt;&gt;"",INDEX('×入力'!$A$1:$L$1300,398,2+N$2)&lt;&gt;"",INDEX('×入力'!$A$1:$L$1300,399+N$3,1)&lt;&gt;""),1,0),0)</f>
        <v/>
      </c>
      <c r="O24">
        <f>IF(O$4=1,IF(OR(INDEX('×入力'!$A$1:$L$1300,399+O$3,2+O$2)&lt;&gt;"",INDEX('×入力'!$A$1:$L$1300,398,2+O$2)&lt;&gt;"",INDEX('×入力'!$A$1:$L$1300,399+O$3,1)&lt;&gt;""),1,0),0)</f>
        <v/>
      </c>
      <c r="P24">
        <f>IF(P$4=1,IF(OR(INDEX('×入力'!$A$1:$L$1300,399+P$3,2+P$2)&lt;&gt;"",INDEX('×入力'!$A$1:$L$1300,398,2+P$2)&lt;&gt;"",INDEX('×入力'!$A$1:$L$1300,399+P$3,1)&lt;&gt;""),1,0),0)</f>
        <v/>
      </c>
      <c r="Q24">
        <f>IF(Q$4=1,IF(OR(INDEX('×入力'!$A$1:$L$1300,399+Q$3,2+Q$2)&lt;&gt;"",INDEX('×入力'!$A$1:$L$1300,398,2+Q$2)&lt;&gt;"",INDEX('×入力'!$A$1:$L$1300,399+Q$3,1)&lt;&gt;""),1,0),0)</f>
        <v/>
      </c>
      <c r="R24">
        <f>IF(R$4=1,IF(OR(INDEX('×入力'!$A$1:$L$1300,399+R$3,2+R$2)&lt;&gt;"",INDEX('×入力'!$A$1:$L$1300,398,2+R$2)&lt;&gt;"",INDEX('×入力'!$A$1:$L$1300,399+R$3,1)&lt;&gt;""),1,0),0)</f>
        <v/>
      </c>
      <c r="S24">
        <f>IF(S$4=1,IF(OR(INDEX('×入力'!$A$1:$L$1300,399+S$3,2+S$2)&lt;&gt;"",INDEX('×入力'!$A$1:$L$1300,398,2+S$2)&lt;&gt;"",INDEX('×入力'!$A$1:$L$1300,399+S$3,1)&lt;&gt;""),1,0),0)</f>
        <v/>
      </c>
      <c r="T24">
        <f>IF(T$4=1,IF(OR(INDEX('×入力'!$A$1:$L$1300,399+T$3,2+T$2)&lt;&gt;"",INDEX('×入力'!$A$1:$L$1300,398,2+T$2)&lt;&gt;"",INDEX('×入力'!$A$1:$L$1300,399+T$3,1)&lt;&gt;""),1,0),0)</f>
        <v/>
      </c>
      <c r="U24">
        <f>IF(U$4=1,IF(OR(INDEX('×入力'!$A$1:$L$1300,399+U$3,2+U$2)&lt;&gt;"",INDEX('×入力'!$A$1:$L$1300,398,2+U$2)&lt;&gt;"",INDEX('×入力'!$A$1:$L$1300,399+U$3,1)&lt;&gt;""),1,0),0)</f>
        <v/>
      </c>
      <c r="V24">
        <f>IF(V$4=1,IF(OR(INDEX('×入力'!$A$1:$L$1300,399+V$3,2+V$2)&lt;&gt;"",INDEX('×入力'!$A$1:$L$1300,398,2+V$2)&lt;&gt;"",INDEX('×入力'!$A$1:$L$1300,399+V$3,1)&lt;&gt;""),1,0),0)</f>
        <v/>
      </c>
      <c r="W24">
        <f>IF(W$4=1,IF(OR(INDEX('×入力'!$A$1:$L$1300,399+W$3,2+W$2)&lt;&gt;"",INDEX('×入力'!$A$1:$L$1300,398,2+W$2)&lt;&gt;"",INDEX('×入力'!$A$1:$L$1300,399+W$3,1)&lt;&gt;""),1,0),0)</f>
        <v/>
      </c>
      <c r="X24">
        <f>IF(X$4=1,IF(OR(INDEX('×入力'!$A$1:$L$1300,399+X$3,2+X$2)&lt;&gt;"",INDEX('×入力'!$A$1:$L$1300,398,2+X$2)&lt;&gt;"",INDEX('×入力'!$A$1:$L$1300,399+X$3,1)&lt;&gt;""),1,0),0)</f>
        <v/>
      </c>
      <c r="Y24">
        <f>IF(Y$4=1,IF(OR(INDEX('×入力'!$A$1:$L$1300,399+Y$3,2+Y$2)&lt;&gt;"",INDEX('×入力'!$A$1:$L$1300,398,2+Y$2)&lt;&gt;"",INDEX('×入力'!$A$1:$L$1300,399+Y$3,1)&lt;&gt;""),1,0),0)</f>
        <v/>
      </c>
      <c r="Z24">
        <f>IF(Z$4=1,IF(OR(INDEX('×入力'!$A$1:$L$1300,399+Z$3,2+Z$2)&lt;&gt;"",INDEX('×入力'!$A$1:$L$1300,398,2+Z$2)&lt;&gt;"",INDEX('×入力'!$A$1:$L$1300,399+Z$3,1)&lt;&gt;""),1,0),0)</f>
        <v/>
      </c>
      <c r="AA24">
        <f>IF(AA$4=1,IF(OR(INDEX('×入力'!$A$1:$L$1300,399+AA$3,2+AA$2)&lt;&gt;"",INDEX('×入力'!$A$1:$L$1300,398,2+AA$2)&lt;&gt;"",INDEX('×入力'!$A$1:$L$1300,399+AA$3,1)&lt;&gt;""),1,0),0)</f>
        <v/>
      </c>
      <c r="AB24">
        <f>IF(AB$4=1,IF(OR(INDEX('×入力'!$A$1:$L$1300,399+AB$3,2+AB$2)&lt;&gt;"",INDEX('×入力'!$A$1:$L$1300,398,2+AB$2)&lt;&gt;"",INDEX('×入力'!$A$1:$L$1300,399+AB$3,1)&lt;&gt;""),1,0),0)</f>
        <v/>
      </c>
      <c r="AC24">
        <f>IF(AC$4=1,IF(OR(INDEX('×入力'!$A$1:$L$1300,399+AC$3,2+AC$2)&lt;&gt;"",INDEX('×入力'!$A$1:$L$1300,398,2+AC$2)&lt;&gt;"",INDEX('×入力'!$A$1:$L$1300,399+AC$3,1)&lt;&gt;""),1,0),0)</f>
        <v/>
      </c>
      <c r="AD24">
        <f>IF(AD$4=1,IF(OR(INDEX('×入力'!$A$1:$L$1300,399+AD$3,2+AD$2)&lt;&gt;"",INDEX('×入力'!$A$1:$L$1300,398,2+AD$2)&lt;&gt;"",INDEX('×入力'!$A$1:$L$1300,399+AD$3,1)&lt;&gt;""),1,0),0)</f>
        <v/>
      </c>
      <c r="AE24">
        <f>IF(AE$4=1,IF(OR(INDEX('×入力'!$A$1:$L$1300,399+AE$3,2+AE$2)&lt;&gt;"",INDEX('×入力'!$A$1:$L$1300,398,2+AE$2)&lt;&gt;"",INDEX('×入力'!$A$1:$L$1300,399+AE$3,1)&lt;&gt;""),1,0),0)</f>
        <v/>
      </c>
      <c r="AF24">
        <f>IF(AF$4=1,IF(OR(INDEX('×入力'!$A$1:$L$1300,399+AF$3,2+AF$2)&lt;&gt;"",INDEX('×入力'!$A$1:$L$1300,398,2+AF$2)&lt;&gt;"",INDEX('×入力'!$A$1:$L$1300,399+AF$3,1)&lt;&gt;""),1,0),0)</f>
        <v/>
      </c>
      <c r="AG24">
        <f>IF(AG$4=1,IF(OR(INDEX('×入力'!$A$1:$L$1300,399+AG$3,2+AG$2)&lt;&gt;"",INDEX('×入力'!$A$1:$L$1300,398,2+AG$2)&lt;&gt;"",INDEX('×入力'!$A$1:$L$1300,399+AG$3,1)&lt;&gt;""),1,0),0)</f>
        <v/>
      </c>
      <c r="AH24">
        <f>IF(AH$4=1,IF(OR(INDEX('×入力'!$A$1:$L$1300,399+AH$3,2+AH$2)&lt;&gt;"",INDEX('×入力'!$A$1:$L$1300,398,2+AH$2)&lt;&gt;"",INDEX('×入力'!$A$1:$L$1300,399+AH$3,1)&lt;&gt;""),1,0),0)</f>
        <v/>
      </c>
      <c r="AI24">
        <f>IF(AI$4=1,IF(OR(INDEX('×入力'!$A$1:$L$1300,399+AI$3,2+AI$2)&lt;&gt;"",INDEX('×入力'!$A$1:$L$1300,398,2+AI$2)&lt;&gt;"",INDEX('×入力'!$A$1:$L$1300,399+AI$3,1)&lt;&gt;""),1,0),0)</f>
        <v/>
      </c>
      <c r="AJ24">
        <f>IF(AJ$4=1,IF(OR(INDEX('×入力'!$A$1:$L$1300,399+AJ$3,2+AJ$2)&lt;&gt;"",INDEX('×入力'!$A$1:$L$1300,398,2+AJ$2)&lt;&gt;"",INDEX('×入力'!$A$1:$L$1300,399+AJ$3,1)&lt;&gt;""),1,0),0)</f>
        <v/>
      </c>
      <c r="AK24">
        <f>IF(AK$4=1,IF(OR(INDEX('×入力'!$A$1:$L$1300,399+AK$3,2+AK$2)&lt;&gt;"",INDEX('×入力'!$A$1:$L$1300,398,2+AK$2)&lt;&gt;"",INDEX('×入力'!$A$1:$L$1300,399+AK$3,1)&lt;&gt;""),1,0),0)</f>
        <v/>
      </c>
      <c r="AL24">
        <f>IF(AL$4=1,IF(OR(INDEX('×入力'!$A$1:$L$1300,399+AL$3,2+AL$2)&lt;&gt;"",INDEX('×入力'!$A$1:$L$1300,398,2+AL$2)&lt;&gt;"",INDEX('×入力'!$A$1:$L$1300,399+AL$3,1)&lt;&gt;""),1,0),0)</f>
        <v/>
      </c>
      <c r="AM24">
        <f>IF(AM$4=1,IF(OR(INDEX('×入力'!$A$1:$L$1300,399+AM$3,2+AM$2)&lt;&gt;"",INDEX('×入力'!$A$1:$L$1300,398,2+AM$2)&lt;&gt;"",INDEX('×入力'!$A$1:$L$1300,399+AM$3,1)&lt;&gt;""),1,0),0)</f>
        <v/>
      </c>
      <c r="AN24">
        <f>IF(AN$4=1,IF(OR(INDEX('×入力'!$A$1:$L$1300,399+AN$3,2+AN$2)&lt;&gt;"",INDEX('×入力'!$A$1:$L$1300,398,2+AN$2)&lt;&gt;"",INDEX('×入力'!$A$1:$L$1300,399+AN$3,1)&lt;&gt;""),1,0),0)</f>
        <v/>
      </c>
      <c r="AO24">
        <f>IF(AO$4=1,IF(OR(INDEX('×入力'!$A$1:$L$1300,399+AO$3,2+AO$2)&lt;&gt;"",INDEX('×入力'!$A$1:$L$1300,398,2+AO$2)&lt;&gt;"",INDEX('×入力'!$A$1:$L$1300,399+AO$3,1)&lt;&gt;""),1,0),0)</f>
        <v/>
      </c>
      <c r="AP24">
        <f>IF(AP$4=1,IF(OR(INDEX('×入力'!$A$1:$L$1300,399+AP$3,2+AP$2)&lt;&gt;"",INDEX('×入力'!$A$1:$L$1300,398,2+AP$2)&lt;&gt;"",INDEX('×入力'!$A$1:$L$1300,399+AP$3,1)&lt;&gt;""),1,0),0)</f>
        <v/>
      </c>
      <c r="AQ24">
        <f>IF(AQ$4=1,IF(OR(INDEX('×入力'!$A$1:$L$1300,399+AQ$3,2+AQ$2)&lt;&gt;"",INDEX('×入力'!$A$1:$L$1300,398,2+AQ$2)&lt;&gt;"",INDEX('×入力'!$A$1:$L$1300,399+AQ$3,1)&lt;&gt;""),1,0),0)</f>
        <v/>
      </c>
      <c r="AR24">
        <f>IF(AR$4=1,IF(OR(INDEX('×入力'!$A$1:$L$1300,399+AR$3,2+AR$2)&lt;&gt;"",INDEX('×入力'!$A$1:$L$1300,398,2+AR$2)&lt;&gt;"",INDEX('×入力'!$A$1:$L$1300,399+AR$3,1)&lt;&gt;""),1,0),0)</f>
        <v/>
      </c>
      <c r="AS24">
        <f>IF(AS$4=1,IF(OR(INDEX('×入力'!$A$1:$L$1300,399+AS$3,2+AS$2)&lt;&gt;"",INDEX('×入力'!$A$1:$L$1300,398,2+AS$2)&lt;&gt;"",INDEX('×入力'!$A$1:$L$1300,399+AS$3,1)&lt;&gt;""),1,0),0)</f>
        <v/>
      </c>
      <c r="AT24">
        <f>IF(AT$4=1,IF(OR(INDEX('×入力'!$A$1:$L$1300,399+AT$3,2+AT$2)&lt;&gt;"",INDEX('×入力'!$A$1:$L$1300,398,2+AT$2)&lt;&gt;"",INDEX('×入力'!$A$1:$L$1300,399+AT$3,1)&lt;&gt;""),1,0),0)</f>
        <v/>
      </c>
      <c r="AU24">
        <f>IF(AU$4=1,IF(OR(INDEX('×入力'!$A$1:$L$1300,399+AU$3,2+AU$2)&lt;&gt;"",INDEX('×入力'!$A$1:$L$1300,398,2+AU$2)&lt;&gt;"",INDEX('×入力'!$A$1:$L$1300,399+AU$3,1)&lt;&gt;""),1,0),0)</f>
        <v/>
      </c>
      <c r="AV24">
        <f>IF(AV$4=1,IF(OR(INDEX('×入力'!$A$1:$L$1300,399+AV$3,2+AV$2)&lt;&gt;"",INDEX('×入力'!$A$1:$L$1300,398,2+AV$2)&lt;&gt;"",INDEX('×入力'!$A$1:$L$1300,399+AV$3,1)&lt;&gt;""),1,0),0)</f>
        <v/>
      </c>
      <c r="AW24">
        <f>IF(AW$4=1,IF(OR(INDEX('×入力'!$A$1:$L$1300,399+AW$3,2+AW$2)&lt;&gt;"",INDEX('×入力'!$A$1:$L$1300,398,2+AW$2)&lt;&gt;"",INDEX('×入力'!$A$1:$L$1300,399+AW$3,1)&lt;&gt;""),1,0),0)</f>
        <v/>
      </c>
      <c r="AX24">
        <f>IF(AX$4=1,IF(OR(INDEX('×入力'!$A$1:$L$1300,399+AX$3,2+AX$2)&lt;&gt;"",INDEX('×入力'!$A$1:$L$1300,398,2+AX$2)&lt;&gt;"",INDEX('×入力'!$A$1:$L$1300,399+AX$3,1)&lt;&gt;""),1,0),0)</f>
        <v/>
      </c>
      <c r="AY24">
        <f>IF(AY$4=1,IF(OR(INDEX('×入力'!$A$1:$L$1300,399+AY$3,2+AY$2)&lt;&gt;"",INDEX('×入力'!$A$1:$L$1300,398,2+AY$2)&lt;&gt;"",INDEX('×入力'!$A$1:$L$1300,399+AY$3,1)&lt;&gt;""),1,0),0)</f>
        <v/>
      </c>
      <c r="AZ24">
        <f>IF(AZ$4=1,IF(OR(INDEX('×入力'!$A$1:$L$1300,399+AZ$3,2+AZ$2)&lt;&gt;"",INDEX('×入力'!$A$1:$L$1300,398,2+AZ$2)&lt;&gt;"",INDEX('×入力'!$A$1:$L$1300,399+AZ$3,1)&lt;&gt;""),1,0),0)</f>
        <v/>
      </c>
      <c r="BA24">
        <f>IF(BA$4=1,IF(OR(INDEX('×入力'!$A$1:$L$1300,399+BA$3,2+BA$2)&lt;&gt;"",INDEX('×入力'!$A$1:$L$1300,398,2+BA$2)&lt;&gt;"",INDEX('×入力'!$A$1:$L$1300,399+BA$3,1)&lt;&gt;""),1,0),0)</f>
        <v/>
      </c>
      <c r="BB24">
        <f>IF(BB$4=1,IF(OR(INDEX('×入力'!$A$1:$L$1300,399+BB$3,2+BB$2)&lt;&gt;"",INDEX('×入力'!$A$1:$L$1300,398,2+BB$2)&lt;&gt;"",INDEX('×入力'!$A$1:$L$1300,399+BB$3,1)&lt;&gt;""),1,0),0)</f>
        <v/>
      </c>
      <c r="BC24">
        <f>IF(BC$4=1,IF(OR(INDEX('×入力'!$A$1:$L$1300,399+BC$3,2+BC$2)&lt;&gt;"",INDEX('×入力'!$A$1:$L$1300,398,2+BC$2)&lt;&gt;"",INDEX('×入力'!$A$1:$L$1300,399+BC$3,1)&lt;&gt;""),1,0),0)</f>
        <v/>
      </c>
      <c r="BD24">
        <f>IF(BD$4=1,IF(OR(INDEX('×入力'!$A$1:$L$1300,399+BD$3,2+BD$2)&lt;&gt;"",INDEX('×入力'!$A$1:$L$1300,398,2+BD$2)&lt;&gt;"",INDEX('×入力'!$A$1:$L$1300,399+BD$3,1)&lt;&gt;""),1,0),0)</f>
        <v/>
      </c>
      <c r="BE24">
        <f>IF(BE$4=1,IF(OR(INDEX('×入力'!$A$1:$L$1300,399+BE$3,2+BE$2)&lt;&gt;"",INDEX('×入力'!$A$1:$L$1300,398,2+BE$2)&lt;&gt;"",INDEX('×入力'!$A$1:$L$1300,399+BE$3,1)&lt;&gt;""),1,0),0)</f>
        <v/>
      </c>
      <c r="BF24">
        <f>IF(BF$4=1,IF(OR(INDEX('×入力'!$A$1:$L$1300,399+BF$3,2+BF$2)&lt;&gt;"",INDEX('×入力'!$A$1:$L$1300,398,2+BF$2)&lt;&gt;"",INDEX('×入力'!$A$1:$L$1300,399+BF$3,1)&lt;&gt;""),1,0),0)</f>
        <v/>
      </c>
      <c r="BG24">
        <f>IF(BG$4=1,IF(OR(INDEX('×入力'!$A$1:$L$1300,399+BG$3,2+BG$2)&lt;&gt;"",INDEX('×入力'!$A$1:$L$1300,398,2+BG$2)&lt;&gt;"",INDEX('×入力'!$A$1:$L$1300,399+BG$3,1)&lt;&gt;""),1,0),0)</f>
        <v/>
      </c>
      <c r="BH24">
        <f>IF(BH$4=1,IF(OR(INDEX('×入力'!$A$1:$L$1300,399+BH$3,2+BH$2)&lt;&gt;"",INDEX('×入力'!$A$1:$L$1300,398,2+BH$2)&lt;&gt;"",INDEX('×入力'!$A$1:$L$1300,399+BH$3,1)&lt;&gt;""),1,0),0)</f>
        <v/>
      </c>
      <c r="BI24">
        <f>IF(BI$4=1,IF(OR(INDEX('×入力'!$A$1:$L$1300,399+BI$3,2+BI$2)&lt;&gt;"",INDEX('×入力'!$A$1:$L$1300,398,2+BI$2)&lt;&gt;"",INDEX('×入力'!$A$1:$L$1300,399+BI$3,1)&lt;&gt;""),1,0),0)</f>
        <v/>
      </c>
      <c r="BJ24">
        <f>IF(BJ$4=1,IF(OR(INDEX('×入力'!$A$1:$L$1300,399+BJ$3,2+BJ$2)&lt;&gt;"",INDEX('×入力'!$A$1:$L$1300,398,2+BJ$2)&lt;&gt;"",INDEX('×入力'!$A$1:$L$1300,399+BJ$3,1)&lt;&gt;""),1,0),0)</f>
        <v/>
      </c>
      <c r="BK24">
        <f>IF(BK$4=1,IF(OR(INDEX('×入力'!$A$1:$L$1300,399+BK$3,2+BK$2)&lt;&gt;"",INDEX('×入力'!$A$1:$L$1300,398,2+BK$2)&lt;&gt;"",INDEX('×入力'!$A$1:$L$1300,399+BK$3,1)&lt;&gt;""),1,0),0)</f>
        <v/>
      </c>
      <c r="BL24">
        <f>IF(BL$4=1,IF(OR(INDEX('×入力'!$A$1:$L$1300,399+BL$3,2+BL$2)&lt;&gt;"",INDEX('×入力'!$A$1:$L$1300,398,2+BL$2)&lt;&gt;"",INDEX('×入力'!$A$1:$L$1300,399+BL$3,1)&lt;&gt;""),1,0),0)</f>
        <v/>
      </c>
      <c r="BM24">
        <f>IF(BM$4=1,IF(OR(INDEX('×入力'!$A$1:$L$1300,399+BM$3,2+BM$2)&lt;&gt;"",INDEX('×入力'!$A$1:$L$1300,398,2+BM$2)&lt;&gt;"",INDEX('×入力'!$A$1:$L$1300,399+BM$3,1)&lt;&gt;""),1,0),0)</f>
        <v/>
      </c>
      <c r="BN24">
        <f>IF(BN$4=1,IF(OR(INDEX('×入力'!$A$1:$L$1300,399+BN$3,2+BN$2)&lt;&gt;"",INDEX('×入力'!$A$1:$L$1300,398,2+BN$2)&lt;&gt;"",INDEX('×入力'!$A$1:$L$1300,399+BN$3,1)&lt;&gt;""),1,0),0)</f>
        <v/>
      </c>
      <c r="BO24">
        <f>IF(BO$4=1,IF(OR(INDEX('×入力'!$A$1:$L$1300,399+BO$3,2+BO$2)&lt;&gt;"",INDEX('×入力'!$A$1:$L$1300,398,2+BO$2)&lt;&gt;"",INDEX('×入力'!$A$1:$L$1300,399+BO$3,1)&lt;&gt;""),1,0),0)</f>
        <v/>
      </c>
      <c r="BP24">
        <f>IF(BP$4=1,IF(OR(INDEX('×入力'!$A$1:$L$1300,399+BP$3,2+BP$2)&lt;&gt;"",INDEX('×入力'!$A$1:$L$1300,398,2+BP$2)&lt;&gt;"",INDEX('×入力'!$A$1:$L$1300,399+BP$3,1)&lt;&gt;""),1,0),0)</f>
        <v/>
      </c>
      <c r="BQ24">
        <f>IF(BQ$4=1,IF(OR(INDEX('×入力'!$A$1:$L$1300,399+BQ$3,2+BQ$2)&lt;&gt;"",INDEX('×入力'!$A$1:$L$1300,398,2+BQ$2)&lt;&gt;"",INDEX('×入力'!$A$1:$L$1300,399+BQ$3,1)&lt;&gt;""),1,0),0)</f>
        <v/>
      </c>
      <c r="BR24">
        <f>IF(BR$4=1,IF(OR(INDEX('×入力'!$A$1:$L$1300,399+BR$3,2+BR$2)&lt;&gt;"",INDEX('×入力'!$A$1:$L$1300,398,2+BR$2)&lt;&gt;"",INDEX('×入力'!$A$1:$L$1300,399+BR$3,1)&lt;&gt;""),1,0),0)</f>
        <v/>
      </c>
      <c r="BS24">
        <f>IF(BS$4=1,IF(OR(INDEX('×入力'!$A$1:$L$1300,399+BS$3,2+BS$2)&lt;&gt;"",INDEX('×入力'!$A$1:$L$1300,398,2+BS$2)&lt;&gt;"",INDEX('×入力'!$A$1:$L$1300,399+BS$3,1)&lt;&gt;""),1,0),0)</f>
        <v/>
      </c>
      <c r="BT24">
        <f>IF(BT$4=1,IF(OR(INDEX('×入力'!$A$1:$L$1300,399+BT$3,2+BT$2)&lt;&gt;"",INDEX('×入力'!$A$1:$L$1300,398,2+BT$2)&lt;&gt;"",INDEX('×入力'!$A$1:$L$1300,399+BT$3,1)&lt;&gt;""),1,0),0)</f>
        <v/>
      </c>
      <c r="BU24">
        <f>IF(BU$4=1,IF(OR(INDEX('×入力'!$A$1:$L$1300,399+BU$3,2+BU$2)&lt;&gt;"",INDEX('×入力'!$A$1:$L$1300,398,2+BU$2)&lt;&gt;"",INDEX('×入力'!$A$1:$L$1300,399+BU$3,1)&lt;&gt;""),1,0),0)</f>
        <v/>
      </c>
      <c r="BV24">
        <f>IF(BV$4=1,IF(OR(INDEX('×入力'!$A$1:$L$1300,399+BV$3,2+BV$2)&lt;&gt;"",INDEX('×入力'!$A$1:$L$1300,398,2+BV$2)&lt;&gt;"",INDEX('×入力'!$A$1:$L$1300,399+BV$3,1)&lt;&gt;""),1,0),0)</f>
        <v/>
      </c>
      <c r="BW24">
        <f>IF(BW$4=1,IF(OR(INDEX('×入力'!$A$1:$L$1300,399+BW$3,2+BW$2)&lt;&gt;"",INDEX('×入力'!$A$1:$L$1300,398,2+BW$2)&lt;&gt;"",INDEX('×入力'!$A$1:$L$1300,399+BW$3,1)&lt;&gt;""),1,0),0)</f>
        <v/>
      </c>
      <c r="BX24">
        <f>IF(BX$4=1,IF(OR(INDEX('×入力'!$A$1:$L$1300,399+BX$3,2+BX$2)&lt;&gt;"",INDEX('×入力'!$A$1:$L$1300,398,2+BX$2)&lt;&gt;"",INDEX('×入力'!$A$1:$L$1300,399+BX$3,1)&lt;&gt;""),1,0),0)</f>
        <v/>
      </c>
      <c r="BY24">
        <f>IF(BY$4=1,IF(OR(INDEX('×入力'!$A$1:$L$1300,399+BY$3,2+BY$2)&lt;&gt;"",INDEX('×入力'!$A$1:$L$1300,398,2+BY$2)&lt;&gt;"",INDEX('×入力'!$A$1:$L$1300,399+BY$3,1)&lt;&gt;""),1,0),0)</f>
        <v/>
      </c>
      <c r="BZ24">
        <f>IF(BZ$4=1,IF(OR(INDEX('×入力'!$A$1:$L$1300,399+BZ$3,2+BZ$2)&lt;&gt;"",INDEX('×入力'!$A$1:$L$1300,398,2+BZ$2)&lt;&gt;"",INDEX('×入力'!$A$1:$L$1300,399+BZ$3,1)&lt;&gt;""),1,0),0)</f>
        <v/>
      </c>
      <c r="CA24">
        <f>IF(CA$4=1,IF(OR(INDEX('×入力'!$A$1:$L$1300,399+CA$3,2+CA$2)&lt;&gt;"",INDEX('×入力'!$A$1:$L$1300,398,2+CA$2)&lt;&gt;"",INDEX('×入力'!$A$1:$L$1300,399+CA$3,1)&lt;&gt;""),1,0),0)</f>
        <v/>
      </c>
      <c r="CB24">
        <f>IF(CB$4=1,IF(OR(INDEX('×入力'!$A$1:$L$1300,399+CB$3,2+CB$2)&lt;&gt;"",INDEX('×入力'!$A$1:$L$1300,398,2+CB$2)&lt;&gt;"",INDEX('×入力'!$A$1:$L$1300,399+CB$3,1)&lt;&gt;""),1,0),0)</f>
        <v/>
      </c>
      <c r="CC24">
        <f>IF(CC$4=1,IF(OR(INDEX('×入力'!$A$1:$L$1300,399+CC$3,2+CC$2)&lt;&gt;"",INDEX('×入力'!$A$1:$L$1300,398,2+CC$2)&lt;&gt;"",INDEX('×入力'!$A$1:$L$1300,399+CC$3,1)&lt;&gt;""),1,0),0)</f>
        <v/>
      </c>
      <c r="CD24">
        <f>IF(CD$4=1,IF(OR(INDEX('×入力'!$A$1:$L$1300,399+CD$3,2+CD$2)&lt;&gt;"",INDEX('×入力'!$A$1:$L$1300,398,2+CD$2)&lt;&gt;"",INDEX('×入力'!$A$1:$L$1300,399+CD$3,1)&lt;&gt;""),1,0),0)</f>
        <v/>
      </c>
      <c r="CE24">
        <f>IF(CE$4=1,IF(OR(INDEX('×入力'!$A$1:$L$1300,399+CE$3,2+CE$2)&lt;&gt;"",INDEX('×入力'!$A$1:$L$1300,398,2+CE$2)&lt;&gt;"",INDEX('×入力'!$A$1:$L$1300,399+CE$3,1)&lt;&gt;""),1,0),0)</f>
        <v/>
      </c>
      <c r="CF24">
        <f>IF(CF$4=1,IF(OR(INDEX('×入力'!$A$1:$L$1300,399+CF$3,2+CF$2)&lt;&gt;"",INDEX('×入力'!$A$1:$L$1300,398,2+CF$2)&lt;&gt;"",INDEX('×入力'!$A$1:$L$1300,399+CF$3,1)&lt;&gt;""),1,0),0)</f>
        <v/>
      </c>
      <c r="CG24">
        <f>IF(CG$4=1,IF(OR(INDEX('×入力'!$A$1:$L$1300,399+CG$3,2+CG$2)&lt;&gt;"",INDEX('×入力'!$A$1:$L$1300,398,2+CG$2)&lt;&gt;"",INDEX('×入力'!$A$1:$L$1300,399+CG$3,1)&lt;&gt;""),1,0),0)</f>
        <v/>
      </c>
      <c r="CH24">
        <f>IF(CH$4=1,IF(OR(INDEX('×入力'!$A$1:$L$1300,399+CH$3,2+CH$2)&lt;&gt;"",INDEX('×入力'!$A$1:$L$1300,398,2+CH$2)&lt;&gt;"",INDEX('×入力'!$A$1:$L$1300,399+CH$3,1)&lt;&gt;""),1,0),0)</f>
        <v/>
      </c>
      <c r="CI24">
        <f>IF(CI$4=1,IF(OR(INDEX('×入力'!$A$1:$L$1300,399+CI$3,2+CI$2)&lt;&gt;"",INDEX('×入力'!$A$1:$L$1300,398,2+CI$2)&lt;&gt;"",INDEX('×入力'!$A$1:$L$1300,399+CI$3,1)&lt;&gt;""),1,0),0)</f>
        <v/>
      </c>
      <c r="CJ24">
        <f>IF(CJ$4=1,IF(OR(INDEX('×入力'!$A$1:$L$1300,399+CJ$3,2+CJ$2)&lt;&gt;"",INDEX('×入力'!$A$1:$L$1300,398,2+CJ$2)&lt;&gt;"",INDEX('×入力'!$A$1:$L$1300,399+CJ$3,1)&lt;&gt;""),1,0),0)</f>
        <v/>
      </c>
      <c r="CK24">
        <f>IF(CK$4=1,IF(OR(INDEX('×入力'!$A$1:$L$1300,399+CK$3,2+CK$2)&lt;&gt;"",INDEX('×入力'!$A$1:$L$1300,398,2+CK$2)&lt;&gt;"",INDEX('×入力'!$A$1:$L$1300,399+CK$3,1)&lt;&gt;""),1,0),0)</f>
        <v/>
      </c>
      <c r="CL24">
        <f>IF(CL$4=1,IF(OR(INDEX('×入力'!$A$1:$L$1300,399+CL$3,2+CL$2)&lt;&gt;"",INDEX('×入力'!$A$1:$L$1300,398,2+CL$2)&lt;&gt;"",INDEX('×入力'!$A$1:$L$1300,399+CL$3,1)&lt;&gt;""),1,0),0)</f>
        <v/>
      </c>
      <c r="CM24">
        <f>IF(CM$4=1,IF(OR(INDEX('×入力'!$A$1:$L$1300,399+CM$3,2+CM$2)&lt;&gt;"",INDEX('×入力'!$A$1:$L$1300,398,2+CM$2)&lt;&gt;"",INDEX('×入力'!$A$1:$L$1300,399+CM$3,1)&lt;&gt;""),1,0),0)</f>
        <v/>
      </c>
      <c r="CN24">
        <f>IF(CN$4=1,IF(OR(INDEX('×入力'!$A$1:$L$1300,399+CN$3,2+CN$2)&lt;&gt;"",INDEX('×入力'!$A$1:$L$1300,398,2+CN$2)&lt;&gt;"",INDEX('×入力'!$A$1:$L$1300,399+CN$3,1)&lt;&gt;""),1,0),0)</f>
        <v/>
      </c>
      <c r="CO24">
        <f>IF(CO$4=1,IF(OR(INDEX('×入力'!$A$1:$L$1300,399+CO$3,2+CO$2)&lt;&gt;"",INDEX('×入力'!$A$1:$L$1300,398,2+CO$2)&lt;&gt;"",INDEX('×入力'!$A$1:$L$1300,399+CO$3,1)&lt;&gt;""),1,0),0)</f>
        <v/>
      </c>
      <c r="CP24">
        <f>IF(CP$4=1,IF(OR(INDEX('×入力'!$A$1:$L$1300,399+CP$3,2+CP$2)&lt;&gt;"",INDEX('×入力'!$A$1:$L$1300,398,2+CP$2)&lt;&gt;"",INDEX('×入力'!$A$1:$L$1300,399+CP$3,1)&lt;&gt;""),1,0),0)</f>
        <v/>
      </c>
      <c r="CQ24">
        <f>IF(CQ$4=1,IF(OR(INDEX('×入力'!$A$1:$L$1300,399+CQ$3,2+CQ$2)&lt;&gt;"",INDEX('×入力'!$A$1:$L$1300,398,2+CQ$2)&lt;&gt;"",INDEX('×入力'!$A$1:$L$1300,399+CQ$3,1)&lt;&gt;""),1,0),0)</f>
        <v/>
      </c>
      <c r="CR24">
        <f>IF(CR$4=1,IF(OR(INDEX('×入力'!$A$1:$L$1300,399+CR$3,2+CR$2)&lt;&gt;"",INDEX('×入力'!$A$1:$L$1300,398,2+CR$2)&lt;&gt;"",INDEX('×入力'!$A$1:$L$1300,399+CR$3,1)&lt;&gt;""),1,0),0)</f>
        <v/>
      </c>
      <c r="CS24">
        <f>IF(CS$4=1,IF(OR(INDEX('×入力'!$A$1:$L$1300,399+CS$3,2+CS$2)&lt;&gt;"",INDEX('×入力'!$A$1:$L$1300,398,2+CS$2)&lt;&gt;"",INDEX('×入力'!$A$1:$L$1300,399+CS$3,1)&lt;&gt;""),1,0),0)</f>
        <v/>
      </c>
      <c r="CT24">
        <f>IF(CT$4=1,IF(OR(INDEX('×入力'!$A$1:$L$1300,399+CT$3,2+CT$2)&lt;&gt;"",INDEX('×入力'!$A$1:$L$1300,398,2+CT$2)&lt;&gt;"",INDEX('×入力'!$A$1:$L$1300,399+CT$3,1)&lt;&gt;""),1,0),0)</f>
        <v/>
      </c>
      <c r="CU24">
        <f>IF(CU$4=1,IF(OR(INDEX('×入力'!$A$1:$L$1300,399+CU$3,2+CU$2)&lt;&gt;"",INDEX('×入力'!$A$1:$L$1300,398,2+CU$2)&lt;&gt;"",INDEX('×入力'!$A$1:$L$1300,399+CU$3,1)&lt;&gt;""),1,0),0)</f>
        <v/>
      </c>
      <c r="CV24">
        <f>IF(CV$4=1,IF(OR(INDEX('×入力'!$A$1:$L$1300,399+CV$3,2+CV$2)&lt;&gt;"",INDEX('×入力'!$A$1:$L$1300,398,2+CV$2)&lt;&gt;"",INDEX('×入力'!$A$1:$L$1300,399+CV$3,1)&lt;&gt;""),1,0),0)</f>
        <v/>
      </c>
      <c r="CW24">
        <f>IF(CW$4=1,IF(OR(INDEX('×入力'!$A$1:$L$1300,399+CW$3,2+CW$2)&lt;&gt;"",INDEX('×入力'!$A$1:$L$1300,398,2+CW$2)&lt;&gt;"",INDEX('×入力'!$A$1:$L$1300,399+CW$3,1)&lt;&gt;""),1,0),0)</f>
        <v/>
      </c>
      <c r="CX24">
        <f>IF(CX$4=1,IF(OR(INDEX('×入力'!$A$1:$L$1300,399+CX$3,2+CX$2)&lt;&gt;"",INDEX('×入力'!$A$1:$L$1300,398,2+CX$2)&lt;&gt;"",INDEX('×入力'!$A$1:$L$1300,399+CX$3,1)&lt;&gt;""),1,0),0)</f>
        <v/>
      </c>
      <c r="CY24">
        <f>IF(CY$4=1,IF(OR(INDEX('×入力'!$A$1:$L$1300,399+CY$3,2+CY$2)&lt;&gt;"",INDEX('×入力'!$A$1:$L$1300,398,2+CY$2)&lt;&gt;"",INDEX('×入力'!$A$1:$L$1300,399+CY$3,1)&lt;&gt;""),1,0),0)</f>
        <v/>
      </c>
      <c r="CZ24">
        <f>IF(CZ$4=1,IF(OR(INDEX('×入力'!$A$1:$L$1300,399+CZ$3,2+CZ$2)&lt;&gt;"",INDEX('×入力'!$A$1:$L$1300,398,2+CZ$2)&lt;&gt;"",INDEX('×入力'!$A$1:$L$1300,399+CZ$3,1)&lt;&gt;""),1,0),0)</f>
        <v/>
      </c>
      <c r="DA24">
        <f>IF(DA$4=1,IF(OR(INDEX('×入力'!$A$1:$L$1300,399+DA$3,2+DA$2)&lt;&gt;"",INDEX('×入力'!$A$1:$L$1300,398,2+DA$2)&lt;&gt;"",INDEX('×入力'!$A$1:$L$1300,399+DA$3,1)&lt;&gt;""),1,0),0)</f>
        <v/>
      </c>
      <c r="DB24">
        <f>IF(DB$4=1,IF(OR(INDEX('×入力'!$A$1:$L$1300,399+DB$3,2+DB$2)&lt;&gt;"",INDEX('×入力'!$A$1:$L$1300,398,2+DB$2)&lt;&gt;"",INDEX('×入力'!$A$1:$L$1300,399+DB$3,1)&lt;&gt;""),1,0),0)</f>
        <v/>
      </c>
      <c r="DC24">
        <f>IF(DC$4=1,IF(OR(INDEX('×入力'!$A$1:$L$1300,399+DC$3,2+DC$2)&lt;&gt;"",INDEX('×入力'!$A$1:$L$1300,398,2+DC$2)&lt;&gt;"",INDEX('×入力'!$A$1:$L$1300,399+DC$3,1)&lt;&gt;""),1,0),0)</f>
        <v/>
      </c>
      <c r="DD24">
        <f>IF(DD$4=1,IF(OR(INDEX('×入力'!$A$1:$L$1300,399+DD$3,2+DD$2)&lt;&gt;"",INDEX('×入力'!$A$1:$L$1300,398,2+DD$2)&lt;&gt;"",INDEX('×入力'!$A$1:$L$1300,399+DD$3,1)&lt;&gt;""),1,0),0)</f>
        <v/>
      </c>
      <c r="DE24">
        <f>IF(DE$4=1,IF(OR(INDEX('×入力'!$A$1:$L$1300,399+DE$3,2+DE$2)&lt;&gt;"",INDEX('×入力'!$A$1:$L$1300,398,2+DE$2)&lt;&gt;"",INDEX('×入力'!$A$1:$L$1300,399+DE$3,1)&lt;&gt;""),1,0),0)</f>
        <v/>
      </c>
      <c r="DF24">
        <f>IF(DF$4=1,IF(OR(INDEX('×入力'!$A$1:$L$1300,399+DF$3,2+DF$2)&lt;&gt;"",INDEX('×入力'!$A$1:$L$1300,398,2+DF$2)&lt;&gt;"",INDEX('×入力'!$A$1:$L$1300,399+DF$3,1)&lt;&gt;""),1,0),0)</f>
        <v/>
      </c>
      <c r="DG24">
        <f>IF(DG$4=1,IF(OR(INDEX('×入力'!$A$1:$L$1300,399+DG$3,2+DG$2)&lt;&gt;"",INDEX('×入力'!$A$1:$L$1300,398,2+DG$2)&lt;&gt;"",INDEX('×入力'!$A$1:$L$1300,399+DG$3,1)&lt;&gt;""),1,0),0)</f>
        <v/>
      </c>
      <c r="DH24">
        <f>IF(DH$4=1,IF(OR(INDEX('×入力'!$A$1:$L$1300,399+DH$3,2+DH$2)&lt;&gt;"",INDEX('×入力'!$A$1:$L$1300,398,2+DH$2)&lt;&gt;"",INDEX('×入力'!$A$1:$L$1300,399+DH$3,1)&lt;&gt;""),1,0),0)</f>
        <v/>
      </c>
      <c r="DI24">
        <f>IF(DI$4=1,IF(OR(INDEX('×入力'!$A$1:$L$1300,399+DI$3,2+DI$2)&lt;&gt;"",INDEX('×入力'!$A$1:$L$1300,398,2+DI$2)&lt;&gt;"",INDEX('×入力'!$A$1:$L$1300,399+DI$3,1)&lt;&gt;""),1,0),0)</f>
        <v/>
      </c>
      <c r="DJ24">
        <f>IF(DJ$4=1,IF(OR(INDEX('×入力'!$A$1:$L$1300,399+DJ$3,2+DJ$2)&lt;&gt;"",INDEX('×入力'!$A$1:$L$1300,398,2+DJ$2)&lt;&gt;"",INDEX('×入力'!$A$1:$L$1300,399+DJ$3,1)&lt;&gt;""),1,0),0)</f>
        <v/>
      </c>
      <c r="DK24">
        <f>IF(DK$4=1,IF(OR(INDEX('×入力'!$A$1:$L$1300,399+DK$3,2+DK$2)&lt;&gt;"",INDEX('×入力'!$A$1:$L$1300,398,2+DK$2)&lt;&gt;"",INDEX('×入力'!$A$1:$L$1300,399+DK$3,1)&lt;&gt;""),1,0),0)</f>
        <v/>
      </c>
      <c r="DL24">
        <f>IF(DL$4=1,IF(OR(INDEX('×入力'!$A$1:$L$1300,399+DL$3,2+DL$2)&lt;&gt;"",INDEX('×入力'!$A$1:$L$1300,398,2+DL$2)&lt;&gt;"",INDEX('×入力'!$A$1:$L$1300,399+DL$3,1)&lt;&gt;""),1,0),0)</f>
        <v/>
      </c>
      <c r="DM24">
        <f>IF(DM$4=1,IF(OR(INDEX('×入力'!$A$1:$L$1300,399+DM$3,2+DM$2)&lt;&gt;"",INDEX('×入力'!$A$1:$L$1300,398,2+DM$2)&lt;&gt;"",INDEX('×入力'!$A$1:$L$1300,399+DM$3,1)&lt;&gt;""),1,0),0)</f>
        <v/>
      </c>
      <c r="DN24">
        <f>IF(DN$4=1,IF(OR(INDEX('×入力'!$A$1:$L$1300,399+DN$3,2+DN$2)&lt;&gt;"",INDEX('×入力'!$A$1:$L$1300,398,2+DN$2)&lt;&gt;"",INDEX('×入力'!$A$1:$L$1300,399+DN$3,1)&lt;&gt;""),1,0),0)</f>
        <v/>
      </c>
      <c r="DO24">
        <f>IF(DO$4=1,IF(OR(INDEX('×入力'!$A$1:$L$1300,399+DO$3,2+DO$2)&lt;&gt;"",INDEX('×入力'!$A$1:$L$1300,398,2+DO$2)&lt;&gt;"",INDEX('×入力'!$A$1:$L$1300,399+DO$3,1)&lt;&gt;""),1,0),0)</f>
        <v/>
      </c>
      <c r="DP24">
        <f>IF(DP$4=1,IF(OR(INDEX('×入力'!$A$1:$L$1300,399+DP$3,2+DP$2)&lt;&gt;"",INDEX('×入力'!$A$1:$L$1300,398,2+DP$2)&lt;&gt;"",INDEX('×入力'!$A$1:$L$1300,399+DP$3,1)&lt;&gt;""),1,0),0)</f>
        <v/>
      </c>
      <c r="DQ24">
        <f>IF(DQ$4=1,IF(OR(INDEX('×入力'!$A$1:$L$1300,399+DQ$3,2+DQ$2)&lt;&gt;"",INDEX('×入力'!$A$1:$L$1300,398,2+DQ$2)&lt;&gt;"",INDEX('×入力'!$A$1:$L$1300,399+DQ$3,1)&lt;&gt;""),1,0),0)</f>
        <v/>
      </c>
      <c r="DR24">
        <f>IF(DR$4=1,IF(OR(INDEX('×入力'!$A$1:$L$1300,399+DR$3,2+DR$2)&lt;&gt;"",INDEX('×入力'!$A$1:$L$1300,398,2+DR$2)&lt;&gt;"",INDEX('×入力'!$A$1:$L$1300,399+DR$3,1)&lt;&gt;""),1,0),0)</f>
        <v/>
      </c>
      <c r="DS24">
        <f>IF(DS$4=1,IF(OR(INDEX('×入力'!$A$1:$L$1300,399+DS$3,2+DS$2)&lt;&gt;"",INDEX('×入力'!$A$1:$L$1300,398,2+DS$2)&lt;&gt;"",INDEX('×入力'!$A$1:$L$1300,399+DS$3,1)&lt;&gt;""),1,0),0)</f>
        <v/>
      </c>
      <c r="DT24">
        <f>IF(DT$4=1,IF(OR(INDEX('×入力'!$A$1:$L$1300,399+DT$3,2+DT$2)&lt;&gt;"",INDEX('×入力'!$A$1:$L$1300,398,2+DT$2)&lt;&gt;"",INDEX('×入力'!$A$1:$L$1300,399+DT$3,1)&lt;&gt;""),1,0),0)</f>
        <v/>
      </c>
      <c r="DU24">
        <f>IF(DU$4=1,IF(OR(INDEX('×入力'!$A$1:$L$1300,399+DU$3,2+DU$2)&lt;&gt;"",INDEX('×入力'!$A$1:$L$1300,398,2+DU$2)&lt;&gt;"",INDEX('×入力'!$A$1:$L$1300,399+DU$3,1)&lt;&gt;""),1,0),0)</f>
        <v/>
      </c>
      <c r="DV24">
        <f>IF(DV$4=1,IF(OR(INDEX('×入力'!$A$1:$L$1300,399+DV$3,2+DV$2)&lt;&gt;"",INDEX('×入力'!$A$1:$L$1300,398,2+DV$2)&lt;&gt;"",INDEX('×入力'!$A$1:$L$1300,399+DV$3,1)&lt;&gt;""),1,0),0)</f>
        <v/>
      </c>
      <c r="DW24">
        <f>IF(DW$4=1,IF(OR(INDEX('×入力'!$A$1:$L$1300,399+DW$3,2+DW$2)&lt;&gt;"",INDEX('×入力'!$A$1:$L$1300,398,2+DW$2)&lt;&gt;"",INDEX('×入力'!$A$1:$L$1300,399+DW$3,1)&lt;&gt;""),1,0),0)</f>
        <v/>
      </c>
      <c r="DX24">
        <f>IF(DX$4=1,IF(OR(INDEX('×入力'!$A$1:$L$1300,399+DX$3,2+DX$2)&lt;&gt;"",INDEX('×入力'!$A$1:$L$1300,398,2+DX$2)&lt;&gt;"",INDEX('×入力'!$A$1:$L$1300,399+DX$3,1)&lt;&gt;""),1,0),0)</f>
        <v/>
      </c>
      <c r="DY24">
        <f>IF(DY$4=1,IF(OR(INDEX('×入力'!$A$1:$L$1300,399+DY$3,2+DY$2)&lt;&gt;"",INDEX('×入力'!$A$1:$L$1300,398,2+DY$2)&lt;&gt;"",INDEX('×入力'!$A$1:$L$1300,399+DY$3,1)&lt;&gt;""),1,0),0)</f>
        <v/>
      </c>
      <c r="DZ24">
        <f>IF(DZ$4=1,IF(OR(INDEX('×入力'!$A$1:$L$1300,399+DZ$3,2+DZ$2)&lt;&gt;"",INDEX('×入力'!$A$1:$L$1300,398,2+DZ$2)&lt;&gt;"",INDEX('×入力'!$A$1:$L$1300,399+DZ$3,1)&lt;&gt;""),1,0),0)</f>
        <v/>
      </c>
      <c r="EA24">
        <f>IF(EA$4=1,IF(OR(INDEX('×入力'!$A$1:$L$1300,399+EA$3,2+EA$2)&lt;&gt;"",INDEX('×入力'!$A$1:$L$1300,398,2+EA$2)&lt;&gt;"",INDEX('×入力'!$A$1:$L$1300,399+EA$3,1)&lt;&gt;""),1,0),0)</f>
        <v/>
      </c>
      <c r="EB24">
        <f>IF(EB$4=1,IF(OR(INDEX('×入力'!$A$1:$L$1300,399+EB$3,2+EB$2)&lt;&gt;"",INDEX('×入力'!$A$1:$L$1300,398,2+EB$2)&lt;&gt;"",INDEX('×入力'!$A$1:$L$1300,399+EB$3,1)&lt;&gt;""),1,0),0)</f>
        <v/>
      </c>
      <c r="EC24">
        <f>IF(EC$4=1,IF(OR(INDEX('×入力'!$A$1:$L$1300,399+EC$3,2+EC$2)&lt;&gt;"",INDEX('×入力'!$A$1:$L$1300,398,2+EC$2)&lt;&gt;"",INDEX('×入力'!$A$1:$L$1300,399+EC$3,1)&lt;&gt;""),1,0),0)</f>
        <v/>
      </c>
      <c r="ED24">
        <f>IF(ED$4=1,IF(OR(INDEX('×入力'!$A$1:$L$1300,399+ED$3,2+ED$2)&lt;&gt;"",INDEX('×入力'!$A$1:$L$1300,398,2+ED$2)&lt;&gt;"",INDEX('×入力'!$A$1:$L$1300,399+ED$3,1)&lt;&gt;""),1,0),0)</f>
        <v/>
      </c>
      <c r="EE24">
        <f>IF(EE$4=1,IF(OR(INDEX('×入力'!$A$1:$L$1300,399+EE$3,2+EE$2)&lt;&gt;"",INDEX('×入力'!$A$1:$L$1300,398,2+EE$2)&lt;&gt;"",INDEX('×入力'!$A$1:$L$1300,399+EE$3,1)&lt;&gt;""),1,0),0)</f>
        <v/>
      </c>
      <c r="EF24">
        <f>IF(EF$4=1,IF(OR(INDEX('×入力'!$A$1:$L$1300,399+EF$3,2+EF$2)&lt;&gt;"",INDEX('×入力'!$A$1:$L$1300,398,2+EF$2)&lt;&gt;"",INDEX('×入力'!$A$1:$L$1300,399+EF$3,1)&lt;&gt;""),1,0),0)</f>
        <v/>
      </c>
      <c r="EG24">
        <f>IF(EG$4=1,IF(OR(INDEX('×入力'!$A$1:$L$1300,399+EG$3,2+EG$2)&lt;&gt;"",INDEX('×入力'!$A$1:$L$1300,398,2+EG$2)&lt;&gt;"",INDEX('×入力'!$A$1:$L$1300,399+EG$3,1)&lt;&gt;""),1,0),0)</f>
        <v/>
      </c>
      <c r="EH24">
        <f>IF(EH$4=1,IF(OR(INDEX('×入力'!$A$1:$L$1300,399+EH$3,2+EH$2)&lt;&gt;"",INDEX('×入力'!$A$1:$L$1300,398,2+EH$2)&lt;&gt;"",INDEX('×入力'!$A$1:$L$1300,399+EH$3,1)&lt;&gt;""),1,0),0)</f>
        <v/>
      </c>
      <c r="EI24">
        <f>IF(EI$4=1,IF(OR(INDEX('×入力'!$A$1:$L$1300,399+EI$3,2+EI$2)&lt;&gt;"",INDEX('×入力'!$A$1:$L$1300,398,2+EI$2)&lt;&gt;"",INDEX('×入力'!$A$1:$L$1300,399+EI$3,1)&lt;&gt;""),1,0),0)</f>
        <v/>
      </c>
      <c r="EJ24">
        <f>IF(EJ$4=1,IF(OR(INDEX('×入力'!$A$1:$L$1300,399+EJ$3,2+EJ$2)&lt;&gt;"",INDEX('×入力'!$A$1:$L$1300,398,2+EJ$2)&lt;&gt;"",INDEX('×入力'!$A$1:$L$1300,399+EJ$3,1)&lt;&gt;""),1,0),0)</f>
        <v/>
      </c>
      <c r="EK24">
        <f>IF(EK$4=1,IF(OR(INDEX('×入力'!$A$1:$L$1300,399+EK$3,2+EK$2)&lt;&gt;"",INDEX('×入力'!$A$1:$L$1300,398,2+EK$2)&lt;&gt;"",INDEX('×入力'!$A$1:$L$1300,399+EK$3,1)&lt;&gt;""),1,0),0)</f>
        <v/>
      </c>
      <c r="EL24">
        <f>IF(EL$4=1,IF(OR(INDEX('×入力'!$A$1:$L$1300,399+EL$3,2+EL$2)&lt;&gt;"",INDEX('×入力'!$A$1:$L$1300,398,2+EL$2)&lt;&gt;"",INDEX('×入力'!$A$1:$L$1300,399+EL$3,1)&lt;&gt;""),1,0),0)</f>
        <v/>
      </c>
      <c r="EM24">
        <f>IF(EM$4=1,IF(OR(INDEX('×入力'!$A$1:$L$1300,399+EM$3,2+EM$2)&lt;&gt;"",INDEX('×入力'!$A$1:$L$1300,398,2+EM$2)&lt;&gt;"",INDEX('×入力'!$A$1:$L$1300,399+EM$3,1)&lt;&gt;""),1,0),0)</f>
        <v/>
      </c>
      <c r="EN24">
        <f>IF(EN$4=1,IF(OR(INDEX('×入力'!$A$1:$L$1300,399+EN$3,2+EN$2)&lt;&gt;"",INDEX('×入力'!$A$1:$L$1300,398,2+EN$2)&lt;&gt;"",INDEX('×入力'!$A$1:$L$1300,399+EN$3,1)&lt;&gt;""),1,0),0)</f>
        <v/>
      </c>
      <c r="EO24">
        <f>IF(EO$4=1,IF(OR(INDEX('×入力'!$A$1:$L$1300,399+EO$3,2+EO$2)&lt;&gt;"",INDEX('×入力'!$A$1:$L$1300,398,2+EO$2)&lt;&gt;"",INDEX('×入力'!$A$1:$L$1300,399+EO$3,1)&lt;&gt;""),1,0),0)</f>
        <v/>
      </c>
      <c r="EP24">
        <f>IF(EP$4=1,IF(OR(INDEX('×入力'!$A$1:$L$1300,399+EP$3,2+EP$2)&lt;&gt;"",INDEX('×入力'!$A$1:$L$1300,398,2+EP$2)&lt;&gt;"",INDEX('×入力'!$A$1:$L$1300,399+EP$3,1)&lt;&gt;""),1,0),0)</f>
        <v/>
      </c>
      <c r="EQ24">
        <f>IF(EQ$4=1,IF(OR(INDEX('×入力'!$A$1:$L$1300,399+EQ$3,2+EQ$2)&lt;&gt;"",INDEX('×入力'!$A$1:$L$1300,398,2+EQ$2)&lt;&gt;"",INDEX('×入力'!$A$1:$L$1300,399+EQ$3,1)&lt;&gt;""),1,0),0)</f>
        <v/>
      </c>
      <c r="HA24">
        <f>MAX(0,IT24)</f>
        <v/>
      </c>
      <c r="HB24">
        <f>IF(HA24=0,0,INDEX($D$2:$EQ$2,HA24))</f>
        <v/>
      </c>
      <c r="HC24">
        <f>IF(HA24=0,0,INDEX($D$3:$EQ$3,HA24))</f>
        <v/>
      </c>
      <c r="HD24">
        <f>MAX(0,IY24)</f>
        <v/>
      </c>
      <c r="HE24">
        <f>IF(HD24=0,0,INDEX($D$2:$EQ$2,HD24))</f>
        <v/>
      </c>
      <c r="HF24">
        <f>IF(HD24=0,0,INDEX($D$3:$EQ$3,HD24))</f>
        <v/>
      </c>
      <c r="HG24">
        <f>MAX(0,IZ24)</f>
        <v/>
      </c>
      <c r="HH24">
        <f>IF(HG24=0,0,INDEX($D$2:$EQ$2,HG24))</f>
        <v/>
      </c>
      <c r="HI24">
        <f>IF(HG24=0,0,INDEX($D$3:$EQ$3,HG24))</f>
        <v/>
      </c>
      <c r="HJ24">
        <f>IF(AND(HA24&gt;0,HC24&gt;1,OR(HC24-1&lt;&gt;$A$3,$A$4=0)),HA24-1,-1)</f>
        <v/>
      </c>
      <c r="HK24">
        <f>IF(AND(HA24&gt;0,HC24&lt;24,OR(HC24&lt;&gt;$A$3,$A$4=0)),HA24+1,-1)</f>
        <v/>
      </c>
      <c r="HL24">
        <f>IF(AND(HD24&gt;0,HF24&gt;1,OR(HF24-1&lt;&gt;$A$3,$A$4=0)),HD24-1,-1)</f>
        <v/>
      </c>
      <c r="HM24">
        <f>IF(AND(HD24&gt;0,HF24&lt;24,OR(HF24&lt;&gt;$A$3,$A$4=0)),HD24+1,-1)</f>
        <v/>
      </c>
      <c r="HN24">
        <f>IF(AND(HG24&gt;0,HI24&gt;1,OR(HI24-1&lt;&gt;$A$3,$A$4=0)),HG24-1,-1)</f>
        <v/>
      </c>
      <c r="HO24">
        <f>IF(AND(HG24&gt;0,HI24&lt;24,OR(HI24&lt;&gt;$A$3,$A$4=0)),HG24+1,-1)</f>
        <v/>
      </c>
      <c r="IK24">
        <f>IFERROR(INDEX('calcB'!$C$3:$C$47,MATCH(A24,'calcB'!$B$3:$B$47,0)),0)</f>
        <v/>
      </c>
      <c r="IL24">
        <f>IF(AND(C24=1,IK24=0,calcA!$A$6&gt;0),1,0)</f>
        <v/>
      </c>
      <c r="IM24">
        <f>SUMPRODUCT(D74:EQ74*(1-$D$7:$EQ$7))</f>
        <v/>
      </c>
      <c r="IN24">
        <f>SUM(D24:EQ24)</f>
        <v/>
      </c>
      <c r="IO24">
        <f>IF(B24="",0,IF(COUNTIF('調整・決定'!$C$6:$H$29,B24)=1,SUMPRODUCT(('調整・決定'!$C$6:$H$29=B24)*((COLUMN('調整・決定'!$C$6:$H$29)-3)*24+ROW('調整・決定'!$C$6:$H$29)-5)),0))</f>
        <v/>
      </c>
      <c r="IP24">
        <f>IFERROR(MATCH('名簿'!C19,{"早い時刻","遅い時刻","早い日","遅い日"},0),0)</f>
        <v/>
      </c>
      <c r="IQ24">
        <f>IF('名簿'!D19="必ず空けたい",2,IF('名簿'!D19="出来れば空けたい",1,0))</f>
        <v/>
      </c>
      <c r="IR24">
        <f>IFERROR(INDEX('calcC'!$C$3:$C$47,MATCH(A24,'calcC'!$B$3:$B$47,0)),0)</f>
        <v/>
      </c>
      <c r="IS24">
        <f>IF(AND(C24=1,IR24=0,calcA!$A$6&gt;0),1,0)</f>
        <v/>
      </c>
      <c r="IT24">
        <f>IF(OR('名簿'!G19="",'名簿'!H19=""),0,IFERROR((MATCH('名簿'!G19,'設定'!$E$11:$E$16,0)-1)*24+MATCH('名簿'!H19,'設定'!$I$11:$I$34,0),-1))</f>
        <v/>
      </c>
      <c r="IV24">
        <f>IF(OR(JF24=0,IO24=0),1,IF(OR(IF(IT24&gt;0,AND(INDEX($D$2:$EQ$2,IO24)=INDEX($D$2:$EQ$2,IT24),OR(AND(IO24=IT24+1,OR(INDEX($D$3:$EQ$3,IT24)&lt;&gt;$A$3,$A$4=0)),AND(IO24=IT24-1,OR(INDEX($D$3:$EQ$3,IO24)&lt;&gt;$A$3,$A$4=0)))),FALSE),IF(IY24&gt;0,AND(INDEX($D$2:$EQ$2,IO24)=INDEX($D$2:$EQ$2,IY24),OR(AND(IO24=IY24+1,OR(INDEX($D$3:$EQ$3,IY24)&lt;&gt;$A$3,$A$4=0)),AND(IO24=IY24-1,OR(INDEX($D$3:$EQ$3,IO24)&lt;&gt;$A$3,$A$4=0)))),FALSE),IF(IZ24&gt;0,AND(INDEX($D$2:$EQ$2,IO24)=INDEX($D$2:$EQ$2,IZ24),OR(AND(IO24=IZ24+1,OR(INDEX($D$3:$EQ$3,IZ24)&lt;&gt;$A$3,$A$4=0)),AND(IO24=IZ24-1,OR(INDEX($D$3:$EQ$3,IO24)&lt;&gt;$A$3,$A$4=0)))),FALSE)),1,0))</f>
        <v/>
      </c>
      <c r="IW24">
        <f>IF(AND('名簿'!E19&lt;&gt;"",JF24=0),1,0)</f>
        <v/>
      </c>
      <c r="IX24">
        <f>IF('名簿'!D19="空けない",1,0)</f>
        <v/>
      </c>
      <c r="IY24">
        <f>IF(OR('名簿'!J19="",'名簿'!K19=""),0,IFERROR((MATCH('名簿'!J19,'設定'!$E$11:$E$16,0)-1)*24+MATCH('名簿'!K19,'設定'!$I$11:$I$34,0),-1))</f>
        <v/>
      </c>
      <c r="IZ24">
        <f>IF(OR('名簿'!M19="",'名簿'!N19=""),0,IFERROR((MATCH('名簿'!M19,'設定'!$E$11:$E$16,0)-1)*24+MATCH('名簿'!N19,'設定'!$I$11:$I$34,0),-1))</f>
        <v/>
      </c>
      <c r="JC24">
        <f>IF(RIGHT('名簿'!I19,2)="の前",1,IF(RIGHT('名簿'!I19,2)="の後",2,0))</f>
        <v/>
      </c>
      <c r="JD24">
        <f>IF(RIGHT('名簿'!L19,2)="の前",1,IF(RIGHT('名簿'!L19,2)="の後",2,0))</f>
        <v/>
      </c>
      <c r="JE24">
        <f>IF(RIGHT('名簿'!O19,2)="の前",1,IF(RIGHT('名簿'!O19,2)="の後",2,0))</f>
        <v/>
      </c>
      <c r="JF24">
        <f>IF(OR(IT24&gt;0,IY24&gt;0,IZ24&gt;0),1,0)</f>
        <v/>
      </c>
      <c r="JG24">
        <f>IF(OR(IT24&lt;0,IY24&lt;0,IZ24&lt;0),1,0)</f>
        <v/>
      </c>
    </row>
    <row r="25">
      <c r="A25" t="n">
        <v>16</v>
      </c>
      <c r="B25">
        <f>'名簿'!P20</f>
        <v/>
      </c>
      <c r="C25">
        <f>IF(AND(B25&lt;&gt;"",OR('名簿'!Q20="入力済み",'名簿'!Q20="×なし"),IO25=0,COUNTIF('調整・決定'!$C$6:$H$29,B25)=0),1,0)</f>
        <v/>
      </c>
      <c r="D25">
        <f>IF(D$4=1,IF(OR(INDEX('×入力'!$A$1:$L$1300,427+D$3,2+D$2)&lt;&gt;"",INDEX('×入力'!$A$1:$L$1300,426,2+D$2)&lt;&gt;"",INDEX('×入力'!$A$1:$L$1300,427+D$3,1)&lt;&gt;""),1,0),0)</f>
        <v/>
      </c>
      <c r="E25">
        <f>IF(E$4=1,IF(OR(INDEX('×入力'!$A$1:$L$1300,427+E$3,2+E$2)&lt;&gt;"",INDEX('×入力'!$A$1:$L$1300,426,2+E$2)&lt;&gt;"",INDEX('×入力'!$A$1:$L$1300,427+E$3,1)&lt;&gt;""),1,0),0)</f>
        <v/>
      </c>
      <c r="F25">
        <f>IF(F$4=1,IF(OR(INDEX('×入力'!$A$1:$L$1300,427+F$3,2+F$2)&lt;&gt;"",INDEX('×入力'!$A$1:$L$1300,426,2+F$2)&lt;&gt;"",INDEX('×入力'!$A$1:$L$1300,427+F$3,1)&lt;&gt;""),1,0),0)</f>
        <v/>
      </c>
      <c r="G25">
        <f>IF(G$4=1,IF(OR(INDEX('×入力'!$A$1:$L$1300,427+G$3,2+G$2)&lt;&gt;"",INDEX('×入力'!$A$1:$L$1300,426,2+G$2)&lt;&gt;"",INDEX('×入力'!$A$1:$L$1300,427+G$3,1)&lt;&gt;""),1,0),0)</f>
        <v/>
      </c>
      <c r="H25">
        <f>IF(H$4=1,IF(OR(INDEX('×入力'!$A$1:$L$1300,427+H$3,2+H$2)&lt;&gt;"",INDEX('×入力'!$A$1:$L$1300,426,2+H$2)&lt;&gt;"",INDEX('×入力'!$A$1:$L$1300,427+H$3,1)&lt;&gt;""),1,0),0)</f>
        <v/>
      </c>
      <c r="I25">
        <f>IF(I$4=1,IF(OR(INDEX('×入力'!$A$1:$L$1300,427+I$3,2+I$2)&lt;&gt;"",INDEX('×入力'!$A$1:$L$1300,426,2+I$2)&lt;&gt;"",INDEX('×入力'!$A$1:$L$1300,427+I$3,1)&lt;&gt;""),1,0),0)</f>
        <v/>
      </c>
      <c r="J25">
        <f>IF(J$4=1,IF(OR(INDEX('×入力'!$A$1:$L$1300,427+J$3,2+J$2)&lt;&gt;"",INDEX('×入力'!$A$1:$L$1300,426,2+J$2)&lt;&gt;"",INDEX('×入力'!$A$1:$L$1300,427+J$3,1)&lt;&gt;""),1,0),0)</f>
        <v/>
      </c>
      <c r="K25">
        <f>IF(K$4=1,IF(OR(INDEX('×入力'!$A$1:$L$1300,427+K$3,2+K$2)&lt;&gt;"",INDEX('×入力'!$A$1:$L$1300,426,2+K$2)&lt;&gt;"",INDEX('×入力'!$A$1:$L$1300,427+K$3,1)&lt;&gt;""),1,0),0)</f>
        <v/>
      </c>
      <c r="L25">
        <f>IF(L$4=1,IF(OR(INDEX('×入力'!$A$1:$L$1300,427+L$3,2+L$2)&lt;&gt;"",INDEX('×入力'!$A$1:$L$1300,426,2+L$2)&lt;&gt;"",INDEX('×入力'!$A$1:$L$1300,427+L$3,1)&lt;&gt;""),1,0),0)</f>
        <v/>
      </c>
      <c r="M25">
        <f>IF(M$4=1,IF(OR(INDEX('×入力'!$A$1:$L$1300,427+M$3,2+M$2)&lt;&gt;"",INDEX('×入力'!$A$1:$L$1300,426,2+M$2)&lt;&gt;"",INDEX('×入力'!$A$1:$L$1300,427+M$3,1)&lt;&gt;""),1,0),0)</f>
        <v/>
      </c>
      <c r="N25">
        <f>IF(N$4=1,IF(OR(INDEX('×入力'!$A$1:$L$1300,427+N$3,2+N$2)&lt;&gt;"",INDEX('×入力'!$A$1:$L$1300,426,2+N$2)&lt;&gt;"",INDEX('×入力'!$A$1:$L$1300,427+N$3,1)&lt;&gt;""),1,0),0)</f>
        <v/>
      </c>
      <c r="O25">
        <f>IF(O$4=1,IF(OR(INDEX('×入力'!$A$1:$L$1300,427+O$3,2+O$2)&lt;&gt;"",INDEX('×入力'!$A$1:$L$1300,426,2+O$2)&lt;&gt;"",INDEX('×入力'!$A$1:$L$1300,427+O$3,1)&lt;&gt;""),1,0),0)</f>
        <v/>
      </c>
      <c r="P25">
        <f>IF(P$4=1,IF(OR(INDEX('×入力'!$A$1:$L$1300,427+P$3,2+P$2)&lt;&gt;"",INDEX('×入力'!$A$1:$L$1300,426,2+P$2)&lt;&gt;"",INDEX('×入力'!$A$1:$L$1300,427+P$3,1)&lt;&gt;""),1,0),0)</f>
        <v/>
      </c>
      <c r="Q25">
        <f>IF(Q$4=1,IF(OR(INDEX('×入力'!$A$1:$L$1300,427+Q$3,2+Q$2)&lt;&gt;"",INDEX('×入力'!$A$1:$L$1300,426,2+Q$2)&lt;&gt;"",INDEX('×入力'!$A$1:$L$1300,427+Q$3,1)&lt;&gt;""),1,0),0)</f>
        <v/>
      </c>
      <c r="R25">
        <f>IF(R$4=1,IF(OR(INDEX('×入力'!$A$1:$L$1300,427+R$3,2+R$2)&lt;&gt;"",INDEX('×入力'!$A$1:$L$1300,426,2+R$2)&lt;&gt;"",INDEX('×入力'!$A$1:$L$1300,427+R$3,1)&lt;&gt;""),1,0),0)</f>
        <v/>
      </c>
      <c r="S25">
        <f>IF(S$4=1,IF(OR(INDEX('×入力'!$A$1:$L$1300,427+S$3,2+S$2)&lt;&gt;"",INDEX('×入力'!$A$1:$L$1300,426,2+S$2)&lt;&gt;"",INDEX('×入力'!$A$1:$L$1300,427+S$3,1)&lt;&gt;""),1,0),0)</f>
        <v/>
      </c>
      <c r="T25">
        <f>IF(T$4=1,IF(OR(INDEX('×入力'!$A$1:$L$1300,427+T$3,2+T$2)&lt;&gt;"",INDEX('×入力'!$A$1:$L$1300,426,2+T$2)&lt;&gt;"",INDEX('×入力'!$A$1:$L$1300,427+T$3,1)&lt;&gt;""),1,0),0)</f>
        <v/>
      </c>
      <c r="U25">
        <f>IF(U$4=1,IF(OR(INDEX('×入力'!$A$1:$L$1300,427+U$3,2+U$2)&lt;&gt;"",INDEX('×入力'!$A$1:$L$1300,426,2+U$2)&lt;&gt;"",INDEX('×入力'!$A$1:$L$1300,427+U$3,1)&lt;&gt;""),1,0),0)</f>
        <v/>
      </c>
      <c r="V25">
        <f>IF(V$4=1,IF(OR(INDEX('×入力'!$A$1:$L$1300,427+V$3,2+V$2)&lt;&gt;"",INDEX('×入力'!$A$1:$L$1300,426,2+V$2)&lt;&gt;"",INDEX('×入力'!$A$1:$L$1300,427+V$3,1)&lt;&gt;""),1,0),0)</f>
        <v/>
      </c>
      <c r="W25">
        <f>IF(W$4=1,IF(OR(INDEX('×入力'!$A$1:$L$1300,427+W$3,2+W$2)&lt;&gt;"",INDEX('×入力'!$A$1:$L$1300,426,2+W$2)&lt;&gt;"",INDEX('×入力'!$A$1:$L$1300,427+W$3,1)&lt;&gt;""),1,0),0)</f>
        <v/>
      </c>
      <c r="X25">
        <f>IF(X$4=1,IF(OR(INDEX('×入力'!$A$1:$L$1300,427+X$3,2+X$2)&lt;&gt;"",INDEX('×入力'!$A$1:$L$1300,426,2+X$2)&lt;&gt;"",INDEX('×入力'!$A$1:$L$1300,427+X$3,1)&lt;&gt;""),1,0),0)</f>
        <v/>
      </c>
      <c r="Y25">
        <f>IF(Y$4=1,IF(OR(INDEX('×入力'!$A$1:$L$1300,427+Y$3,2+Y$2)&lt;&gt;"",INDEX('×入力'!$A$1:$L$1300,426,2+Y$2)&lt;&gt;"",INDEX('×入力'!$A$1:$L$1300,427+Y$3,1)&lt;&gt;""),1,0),0)</f>
        <v/>
      </c>
      <c r="Z25">
        <f>IF(Z$4=1,IF(OR(INDEX('×入力'!$A$1:$L$1300,427+Z$3,2+Z$2)&lt;&gt;"",INDEX('×入力'!$A$1:$L$1300,426,2+Z$2)&lt;&gt;"",INDEX('×入力'!$A$1:$L$1300,427+Z$3,1)&lt;&gt;""),1,0),0)</f>
        <v/>
      </c>
      <c r="AA25">
        <f>IF(AA$4=1,IF(OR(INDEX('×入力'!$A$1:$L$1300,427+AA$3,2+AA$2)&lt;&gt;"",INDEX('×入力'!$A$1:$L$1300,426,2+AA$2)&lt;&gt;"",INDEX('×入力'!$A$1:$L$1300,427+AA$3,1)&lt;&gt;""),1,0),0)</f>
        <v/>
      </c>
      <c r="AB25">
        <f>IF(AB$4=1,IF(OR(INDEX('×入力'!$A$1:$L$1300,427+AB$3,2+AB$2)&lt;&gt;"",INDEX('×入力'!$A$1:$L$1300,426,2+AB$2)&lt;&gt;"",INDEX('×入力'!$A$1:$L$1300,427+AB$3,1)&lt;&gt;""),1,0),0)</f>
        <v/>
      </c>
      <c r="AC25">
        <f>IF(AC$4=1,IF(OR(INDEX('×入力'!$A$1:$L$1300,427+AC$3,2+AC$2)&lt;&gt;"",INDEX('×入力'!$A$1:$L$1300,426,2+AC$2)&lt;&gt;"",INDEX('×入力'!$A$1:$L$1300,427+AC$3,1)&lt;&gt;""),1,0),0)</f>
        <v/>
      </c>
      <c r="AD25">
        <f>IF(AD$4=1,IF(OR(INDEX('×入力'!$A$1:$L$1300,427+AD$3,2+AD$2)&lt;&gt;"",INDEX('×入力'!$A$1:$L$1300,426,2+AD$2)&lt;&gt;"",INDEX('×入力'!$A$1:$L$1300,427+AD$3,1)&lt;&gt;""),1,0),0)</f>
        <v/>
      </c>
      <c r="AE25">
        <f>IF(AE$4=1,IF(OR(INDEX('×入力'!$A$1:$L$1300,427+AE$3,2+AE$2)&lt;&gt;"",INDEX('×入力'!$A$1:$L$1300,426,2+AE$2)&lt;&gt;"",INDEX('×入力'!$A$1:$L$1300,427+AE$3,1)&lt;&gt;""),1,0),0)</f>
        <v/>
      </c>
      <c r="AF25">
        <f>IF(AF$4=1,IF(OR(INDEX('×入力'!$A$1:$L$1300,427+AF$3,2+AF$2)&lt;&gt;"",INDEX('×入力'!$A$1:$L$1300,426,2+AF$2)&lt;&gt;"",INDEX('×入力'!$A$1:$L$1300,427+AF$3,1)&lt;&gt;""),1,0),0)</f>
        <v/>
      </c>
      <c r="AG25">
        <f>IF(AG$4=1,IF(OR(INDEX('×入力'!$A$1:$L$1300,427+AG$3,2+AG$2)&lt;&gt;"",INDEX('×入力'!$A$1:$L$1300,426,2+AG$2)&lt;&gt;"",INDEX('×入力'!$A$1:$L$1300,427+AG$3,1)&lt;&gt;""),1,0),0)</f>
        <v/>
      </c>
      <c r="AH25">
        <f>IF(AH$4=1,IF(OR(INDEX('×入力'!$A$1:$L$1300,427+AH$3,2+AH$2)&lt;&gt;"",INDEX('×入力'!$A$1:$L$1300,426,2+AH$2)&lt;&gt;"",INDEX('×入力'!$A$1:$L$1300,427+AH$3,1)&lt;&gt;""),1,0),0)</f>
        <v/>
      </c>
      <c r="AI25">
        <f>IF(AI$4=1,IF(OR(INDEX('×入力'!$A$1:$L$1300,427+AI$3,2+AI$2)&lt;&gt;"",INDEX('×入力'!$A$1:$L$1300,426,2+AI$2)&lt;&gt;"",INDEX('×入力'!$A$1:$L$1300,427+AI$3,1)&lt;&gt;""),1,0),0)</f>
        <v/>
      </c>
      <c r="AJ25">
        <f>IF(AJ$4=1,IF(OR(INDEX('×入力'!$A$1:$L$1300,427+AJ$3,2+AJ$2)&lt;&gt;"",INDEX('×入力'!$A$1:$L$1300,426,2+AJ$2)&lt;&gt;"",INDEX('×入力'!$A$1:$L$1300,427+AJ$3,1)&lt;&gt;""),1,0),0)</f>
        <v/>
      </c>
      <c r="AK25">
        <f>IF(AK$4=1,IF(OR(INDEX('×入力'!$A$1:$L$1300,427+AK$3,2+AK$2)&lt;&gt;"",INDEX('×入力'!$A$1:$L$1300,426,2+AK$2)&lt;&gt;"",INDEX('×入力'!$A$1:$L$1300,427+AK$3,1)&lt;&gt;""),1,0),0)</f>
        <v/>
      </c>
      <c r="AL25">
        <f>IF(AL$4=1,IF(OR(INDEX('×入力'!$A$1:$L$1300,427+AL$3,2+AL$2)&lt;&gt;"",INDEX('×入力'!$A$1:$L$1300,426,2+AL$2)&lt;&gt;"",INDEX('×入力'!$A$1:$L$1300,427+AL$3,1)&lt;&gt;""),1,0),0)</f>
        <v/>
      </c>
      <c r="AM25">
        <f>IF(AM$4=1,IF(OR(INDEX('×入力'!$A$1:$L$1300,427+AM$3,2+AM$2)&lt;&gt;"",INDEX('×入力'!$A$1:$L$1300,426,2+AM$2)&lt;&gt;"",INDEX('×入力'!$A$1:$L$1300,427+AM$3,1)&lt;&gt;""),1,0),0)</f>
        <v/>
      </c>
      <c r="AN25">
        <f>IF(AN$4=1,IF(OR(INDEX('×入力'!$A$1:$L$1300,427+AN$3,2+AN$2)&lt;&gt;"",INDEX('×入力'!$A$1:$L$1300,426,2+AN$2)&lt;&gt;"",INDEX('×入力'!$A$1:$L$1300,427+AN$3,1)&lt;&gt;""),1,0),0)</f>
        <v/>
      </c>
      <c r="AO25">
        <f>IF(AO$4=1,IF(OR(INDEX('×入力'!$A$1:$L$1300,427+AO$3,2+AO$2)&lt;&gt;"",INDEX('×入力'!$A$1:$L$1300,426,2+AO$2)&lt;&gt;"",INDEX('×入力'!$A$1:$L$1300,427+AO$3,1)&lt;&gt;""),1,0),0)</f>
        <v/>
      </c>
      <c r="AP25">
        <f>IF(AP$4=1,IF(OR(INDEX('×入力'!$A$1:$L$1300,427+AP$3,2+AP$2)&lt;&gt;"",INDEX('×入力'!$A$1:$L$1300,426,2+AP$2)&lt;&gt;"",INDEX('×入力'!$A$1:$L$1300,427+AP$3,1)&lt;&gt;""),1,0),0)</f>
        <v/>
      </c>
      <c r="AQ25">
        <f>IF(AQ$4=1,IF(OR(INDEX('×入力'!$A$1:$L$1300,427+AQ$3,2+AQ$2)&lt;&gt;"",INDEX('×入力'!$A$1:$L$1300,426,2+AQ$2)&lt;&gt;"",INDEX('×入力'!$A$1:$L$1300,427+AQ$3,1)&lt;&gt;""),1,0),0)</f>
        <v/>
      </c>
      <c r="AR25">
        <f>IF(AR$4=1,IF(OR(INDEX('×入力'!$A$1:$L$1300,427+AR$3,2+AR$2)&lt;&gt;"",INDEX('×入力'!$A$1:$L$1300,426,2+AR$2)&lt;&gt;"",INDEX('×入力'!$A$1:$L$1300,427+AR$3,1)&lt;&gt;""),1,0),0)</f>
        <v/>
      </c>
      <c r="AS25">
        <f>IF(AS$4=1,IF(OR(INDEX('×入力'!$A$1:$L$1300,427+AS$3,2+AS$2)&lt;&gt;"",INDEX('×入力'!$A$1:$L$1300,426,2+AS$2)&lt;&gt;"",INDEX('×入力'!$A$1:$L$1300,427+AS$3,1)&lt;&gt;""),1,0),0)</f>
        <v/>
      </c>
      <c r="AT25">
        <f>IF(AT$4=1,IF(OR(INDEX('×入力'!$A$1:$L$1300,427+AT$3,2+AT$2)&lt;&gt;"",INDEX('×入力'!$A$1:$L$1300,426,2+AT$2)&lt;&gt;"",INDEX('×入力'!$A$1:$L$1300,427+AT$3,1)&lt;&gt;""),1,0),0)</f>
        <v/>
      </c>
      <c r="AU25">
        <f>IF(AU$4=1,IF(OR(INDEX('×入力'!$A$1:$L$1300,427+AU$3,2+AU$2)&lt;&gt;"",INDEX('×入力'!$A$1:$L$1300,426,2+AU$2)&lt;&gt;"",INDEX('×入力'!$A$1:$L$1300,427+AU$3,1)&lt;&gt;""),1,0),0)</f>
        <v/>
      </c>
      <c r="AV25">
        <f>IF(AV$4=1,IF(OR(INDEX('×入力'!$A$1:$L$1300,427+AV$3,2+AV$2)&lt;&gt;"",INDEX('×入力'!$A$1:$L$1300,426,2+AV$2)&lt;&gt;"",INDEX('×入力'!$A$1:$L$1300,427+AV$3,1)&lt;&gt;""),1,0),0)</f>
        <v/>
      </c>
      <c r="AW25">
        <f>IF(AW$4=1,IF(OR(INDEX('×入力'!$A$1:$L$1300,427+AW$3,2+AW$2)&lt;&gt;"",INDEX('×入力'!$A$1:$L$1300,426,2+AW$2)&lt;&gt;"",INDEX('×入力'!$A$1:$L$1300,427+AW$3,1)&lt;&gt;""),1,0),0)</f>
        <v/>
      </c>
      <c r="AX25">
        <f>IF(AX$4=1,IF(OR(INDEX('×入力'!$A$1:$L$1300,427+AX$3,2+AX$2)&lt;&gt;"",INDEX('×入力'!$A$1:$L$1300,426,2+AX$2)&lt;&gt;"",INDEX('×入力'!$A$1:$L$1300,427+AX$3,1)&lt;&gt;""),1,0),0)</f>
        <v/>
      </c>
      <c r="AY25">
        <f>IF(AY$4=1,IF(OR(INDEX('×入力'!$A$1:$L$1300,427+AY$3,2+AY$2)&lt;&gt;"",INDEX('×入力'!$A$1:$L$1300,426,2+AY$2)&lt;&gt;"",INDEX('×入力'!$A$1:$L$1300,427+AY$3,1)&lt;&gt;""),1,0),0)</f>
        <v/>
      </c>
      <c r="AZ25">
        <f>IF(AZ$4=1,IF(OR(INDEX('×入力'!$A$1:$L$1300,427+AZ$3,2+AZ$2)&lt;&gt;"",INDEX('×入力'!$A$1:$L$1300,426,2+AZ$2)&lt;&gt;"",INDEX('×入力'!$A$1:$L$1300,427+AZ$3,1)&lt;&gt;""),1,0),0)</f>
        <v/>
      </c>
      <c r="BA25">
        <f>IF(BA$4=1,IF(OR(INDEX('×入力'!$A$1:$L$1300,427+BA$3,2+BA$2)&lt;&gt;"",INDEX('×入力'!$A$1:$L$1300,426,2+BA$2)&lt;&gt;"",INDEX('×入力'!$A$1:$L$1300,427+BA$3,1)&lt;&gt;""),1,0),0)</f>
        <v/>
      </c>
      <c r="BB25">
        <f>IF(BB$4=1,IF(OR(INDEX('×入力'!$A$1:$L$1300,427+BB$3,2+BB$2)&lt;&gt;"",INDEX('×入力'!$A$1:$L$1300,426,2+BB$2)&lt;&gt;"",INDEX('×入力'!$A$1:$L$1300,427+BB$3,1)&lt;&gt;""),1,0),0)</f>
        <v/>
      </c>
      <c r="BC25">
        <f>IF(BC$4=1,IF(OR(INDEX('×入力'!$A$1:$L$1300,427+BC$3,2+BC$2)&lt;&gt;"",INDEX('×入力'!$A$1:$L$1300,426,2+BC$2)&lt;&gt;"",INDEX('×入力'!$A$1:$L$1300,427+BC$3,1)&lt;&gt;""),1,0),0)</f>
        <v/>
      </c>
      <c r="BD25">
        <f>IF(BD$4=1,IF(OR(INDEX('×入力'!$A$1:$L$1300,427+BD$3,2+BD$2)&lt;&gt;"",INDEX('×入力'!$A$1:$L$1300,426,2+BD$2)&lt;&gt;"",INDEX('×入力'!$A$1:$L$1300,427+BD$3,1)&lt;&gt;""),1,0),0)</f>
        <v/>
      </c>
      <c r="BE25">
        <f>IF(BE$4=1,IF(OR(INDEX('×入力'!$A$1:$L$1300,427+BE$3,2+BE$2)&lt;&gt;"",INDEX('×入力'!$A$1:$L$1300,426,2+BE$2)&lt;&gt;"",INDEX('×入力'!$A$1:$L$1300,427+BE$3,1)&lt;&gt;""),1,0),0)</f>
        <v/>
      </c>
      <c r="BF25">
        <f>IF(BF$4=1,IF(OR(INDEX('×入力'!$A$1:$L$1300,427+BF$3,2+BF$2)&lt;&gt;"",INDEX('×入力'!$A$1:$L$1300,426,2+BF$2)&lt;&gt;"",INDEX('×入力'!$A$1:$L$1300,427+BF$3,1)&lt;&gt;""),1,0),0)</f>
        <v/>
      </c>
      <c r="BG25">
        <f>IF(BG$4=1,IF(OR(INDEX('×入力'!$A$1:$L$1300,427+BG$3,2+BG$2)&lt;&gt;"",INDEX('×入力'!$A$1:$L$1300,426,2+BG$2)&lt;&gt;"",INDEX('×入力'!$A$1:$L$1300,427+BG$3,1)&lt;&gt;""),1,0),0)</f>
        <v/>
      </c>
      <c r="BH25">
        <f>IF(BH$4=1,IF(OR(INDEX('×入力'!$A$1:$L$1300,427+BH$3,2+BH$2)&lt;&gt;"",INDEX('×入力'!$A$1:$L$1300,426,2+BH$2)&lt;&gt;"",INDEX('×入力'!$A$1:$L$1300,427+BH$3,1)&lt;&gt;""),1,0),0)</f>
        <v/>
      </c>
      <c r="BI25">
        <f>IF(BI$4=1,IF(OR(INDEX('×入力'!$A$1:$L$1300,427+BI$3,2+BI$2)&lt;&gt;"",INDEX('×入力'!$A$1:$L$1300,426,2+BI$2)&lt;&gt;"",INDEX('×入力'!$A$1:$L$1300,427+BI$3,1)&lt;&gt;""),1,0),0)</f>
        <v/>
      </c>
      <c r="BJ25">
        <f>IF(BJ$4=1,IF(OR(INDEX('×入力'!$A$1:$L$1300,427+BJ$3,2+BJ$2)&lt;&gt;"",INDEX('×入力'!$A$1:$L$1300,426,2+BJ$2)&lt;&gt;"",INDEX('×入力'!$A$1:$L$1300,427+BJ$3,1)&lt;&gt;""),1,0),0)</f>
        <v/>
      </c>
      <c r="BK25">
        <f>IF(BK$4=1,IF(OR(INDEX('×入力'!$A$1:$L$1300,427+BK$3,2+BK$2)&lt;&gt;"",INDEX('×入力'!$A$1:$L$1300,426,2+BK$2)&lt;&gt;"",INDEX('×入力'!$A$1:$L$1300,427+BK$3,1)&lt;&gt;""),1,0),0)</f>
        <v/>
      </c>
      <c r="BL25">
        <f>IF(BL$4=1,IF(OR(INDEX('×入力'!$A$1:$L$1300,427+BL$3,2+BL$2)&lt;&gt;"",INDEX('×入力'!$A$1:$L$1300,426,2+BL$2)&lt;&gt;"",INDEX('×入力'!$A$1:$L$1300,427+BL$3,1)&lt;&gt;""),1,0),0)</f>
        <v/>
      </c>
      <c r="BM25">
        <f>IF(BM$4=1,IF(OR(INDEX('×入力'!$A$1:$L$1300,427+BM$3,2+BM$2)&lt;&gt;"",INDEX('×入力'!$A$1:$L$1300,426,2+BM$2)&lt;&gt;"",INDEX('×入力'!$A$1:$L$1300,427+BM$3,1)&lt;&gt;""),1,0),0)</f>
        <v/>
      </c>
      <c r="BN25">
        <f>IF(BN$4=1,IF(OR(INDEX('×入力'!$A$1:$L$1300,427+BN$3,2+BN$2)&lt;&gt;"",INDEX('×入力'!$A$1:$L$1300,426,2+BN$2)&lt;&gt;"",INDEX('×入力'!$A$1:$L$1300,427+BN$3,1)&lt;&gt;""),1,0),0)</f>
        <v/>
      </c>
      <c r="BO25">
        <f>IF(BO$4=1,IF(OR(INDEX('×入力'!$A$1:$L$1300,427+BO$3,2+BO$2)&lt;&gt;"",INDEX('×入力'!$A$1:$L$1300,426,2+BO$2)&lt;&gt;"",INDEX('×入力'!$A$1:$L$1300,427+BO$3,1)&lt;&gt;""),1,0),0)</f>
        <v/>
      </c>
      <c r="BP25">
        <f>IF(BP$4=1,IF(OR(INDEX('×入力'!$A$1:$L$1300,427+BP$3,2+BP$2)&lt;&gt;"",INDEX('×入力'!$A$1:$L$1300,426,2+BP$2)&lt;&gt;"",INDEX('×入力'!$A$1:$L$1300,427+BP$3,1)&lt;&gt;""),1,0),0)</f>
        <v/>
      </c>
      <c r="BQ25">
        <f>IF(BQ$4=1,IF(OR(INDEX('×入力'!$A$1:$L$1300,427+BQ$3,2+BQ$2)&lt;&gt;"",INDEX('×入力'!$A$1:$L$1300,426,2+BQ$2)&lt;&gt;"",INDEX('×入力'!$A$1:$L$1300,427+BQ$3,1)&lt;&gt;""),1,0),0)</f>
        <v/>
      </c>
      <c r="BR25">
        <f>IF(BR$4=1,IF(OR(INDEX('×入力'!$A$1:$L$1300,427+BR$3,2+BR$2)&lt;&gt;"",INDEX('×入力'!$A$1:$L$1300,426,2+BR$2)&lt;&gt;"",INDEX('×入力'!$A$1:$L$1300,427+BR$3,1)&lt;&gt;""),1,0),0)</f>
        <v/>
      </c>
      <c r="BS25">
        <f>IF(BS$4=1,IF(OR(INDEX('×入力'!$A$1:$L$1300,427+BS$3,2+BS$2)&lt;&gt;"",INDEX('×入力'!$A$1:$L$1300,426,2+BS$2)&lt;&gt;"",INDEX('×入力'!$A$1:$L$1300,427+BS$3,1)&lt;&gt;""),1,0),0)</f>
        <v/>
      </c>
      <c r="BT25">
        <f>IF(BT$4=1,IF(OR(INDEX('×入力'!$A$1:$L$1300,427+BT$3,2+BT$2)&lt;&gt;"",INDEX('×入力'!$A$1:$L$1300,426,2+BT$2)&lt;&gt;"",INDEX('×入力'!$A$1:$L$1300,427+BT$3,1)&lt;&gt;""),1,0),0)</f>
        <v/>
      </c>
      <c r="BU25">
        <f>IF(BU$4=1,IF(OR(INDEX('×入力'!$A$1:$L$1300,427+BU$3,2+BU$2)&lt;&gt;"",INDEX('×入力'!$A$1:$L$1300,426,2+BU$2)&lt;&gt;"",INDEX('×入力'!$A$1:$L$1300,427+BU$3,1)&lt;&gt;""),1,0),0)</f>
        <v/>
      </c>
      <c r="BV25">
        <f>IF(BV$4=1,IF(OR(INDEX('×入力'!$A$1:$L$1300,427+BV$3,2+BV$2)&lt;&gt;"",INDEX('×入力'!$A$1:$L$1300,426,2+BV$2)&lt;&gt;"",INDEX('×入力'!$A$1:$L$1300,427+BV$3,1)&lt;&gt;""),1,0),0)</f>
        <v/>
      </c>
      <c r="BW25">
        <f>IF(BW$4=1,IF(OR(INDEX('×入力'!$A$1:$L$1300,427+BW$3,2+BW$2)&lt;&gt;"",INDEX('×入力'!$A$1:$L$1300,426,2+BW$2)&lt;&gt;"",INDEX('×入力'!$A$1:$L$1300,427+BW$3,1)&lt;&gt;""),1,0),0)</f>
        <v/>
      </c>
      <c r="BX25">
        <f>IF(BX$4=1,IF(OR(INDEX('×入力'!$A$1:$L$1300,427+BX$3,2+BX$2)&lt;&gt;"",INDEX('×入力'!$A$1:$L$1300,426,2+BX$2)&lt;&gt;"",INDEX('×入力'!$A$1:$L$1300,427+BX$3,1)&lt;&gt;""),1,0),0)</f>
        <v/>
      </c>
      <c r="BY25">
        <f>IF(BY$4=1,IF(OR(INDEX('×入力'!$A$1:$L$1300,427+BY$3,2+BY$2)&lt;&gt;"",INDEX('×入力'!$A$1:$L$1300,426,2+BY$2)&lt;&gt;"",INDEX('×入力'!$A$1:$L$1300,427+BY$3,1)&lt;&gt;""),1,0),0)</f>
        <v/>
      </c>
      <c r="BZ25">
        <f>IF(BZ$4=1,IF(OR(INDEX('×入力'!$A$1:$L$1300,427+BZ$3,2+BZ$2)&lt;&gt;"",INDEX('×入力'!$A$1:$L$1300,426,2+BZ$2)&lt;&gt;"",INDEX('×入力'!$A$1:$L$1300,427+BZ$3,1)&lt;&gt;""),1,0),0)</f>
        <v/>
      </c>
      <c r="CA25">
        <f>IF(CA$4=1,IF(OR(INDEX('×入力'!$A$1:$L$1300,427+CA$3,2+CA$2)&lt;&gt;"",INDEX('×入力'!$A$1:$L$1300,426,2+CA$2)&lt;&gt;"",INDEX('×入力'!$A$1:$L$1300,427+CA$3,1)&lt;&gt;""),1,0),0)</f>
        <v/>
      </c>
      <c r="CB25">
        <f>IF(CB$4=1,IF(OR(INDEX('×入力'!$A$1:$L$1300,427+CB$3,2+CB$2)&lt;&gt;"",INDEX('×入力'!$A$1:$L$1300,426,2+CB$2)&lt;&gt;"",INDEX('×入力'!$A$1:$L$1300,427+CB$3,1)&lt;&gt;""),1,0),0)</f>
        <v/>
      </c>
      <c r="CC25">
        <f>IF(CC$4=1,IF(OR(INDEX('×入力'!$A$1:$L$1300,427+CC$3,2+CC$2)&lt;&gt;"",INDEX('×入力'!$A$1:$L$1300,426,2+CC$2)&lt;&gt;"",INDEX('×入力'!$A$1:$L$1300,427+CC$3,1)&lt;&gt;""),1,0),0)</f>
        <v/>
      </c>
      <c r="CD25">
        <f>IF(CD$4=1,IF(OR(INDEX('×入力'!$A$1:$L$1300,427+CD$3,2+CD$2)&lt;&gt;"",INDEX('×入力'!$A$1:$L$1300,426,2+CD$2)&lt;&gt;"",INDEX('×入力'!$A$1:$L$1300,427+CD$3,1)&lt;&gt;""),1,0),0)</f>
        <v/>
      </c>
      <c r="CE25">
        <f>IF(CE$4=1,IF(OR(INDEX('×入力'!$A$1:$L$1300,427+CE$3,2+CE$2)&lt;&gt;"",INDEX('×入力'!$A$1:$L$1300,426,2+CE$2)&lt;&gt;"",INDEX('×入力'!$A$1:$L$1300,427+CE$3,1)&lt;&gt;""),1,0),0)</f>
        <v/>
      </c>
      <c r="CF25">
        <f>IF(CF$4=1,IF(OR(INDEX('×入力'!$A$1:$L$1300,427+CF$3,2+CF$2)&lt;&gt;"",INDEX('×入力'!$A$1:$L$1300,426,2+CF$2)&lt;&gt;"",INDEX('×入力'!$A$1:$L$1300,427+CF$3,1)&lt;&gt;""),1,0),0)</f>
        <v/>
      </c>
      <c r="CG25">
        <f>IF(CG$4=1,IF(OR(INDEX('×入力'!$A$1:$L$1300,427+CG$3,2+CG$2)&lt;&gt;"",INDEX('×入力'!$A$1:$L$1300,426,2+CG$2)&lt;&gt;"",INDEX('×入力'!$A$1:$L$1300,427+CG$3,1)&lt;&gt;""),1,0),0)</f>
        <v/>
      </c>
      <c r="CH25">
        <f>IF(CH$4=1,IF(OR(INDEX('×入力'!$A$1:$L$1300,427+CH$3,2+CH$2)&lt;&gt;"",INDEX('×入力'!$A$1:$L$1300,426,2+CH$2)&lt;&gt;"",INDEX('×入力'!$A$1:$L$1300,427+CH$3,1)&lt;&gt;""),1,0),0)</f>
        <v/>
      </c>
      <c r="CI25">
        <f>IF(CI$4=1,IF(OR(INDEX('×入力'!$A$1:$L$1300,427+CI$3,2+CI$2)&lt;&gt;"",INDEX('×入力'!$A$1:$L$1300,426,2+CI$2)&lt;&gt;"",INDEX('×入力'!$A$1:$L$1300,427+CI$3,1)&lt;&gt;""),1,0),0)</f>
        <v/>
      </c>
      <c r="CJ25">
        <f>IF(CJ$4=1,IF(OR(INDEX('×入力'!$A$1:$L$1300,427+CJ$3,2+CJ$2)&lt;&gt;"",INDEX('×入力'!$A$1:$L$1300,426,2+CJ$2)&lt;&gt;"",INDEX('×入力'!$A$1:$L$1300,427+CJ$3,1)&lt;&gt;""),1,0),0)</f>
        <v/>
      </c>
      <c r="CK25">
        <f>IF(CK$4=1,IF(OR(INDEX('×入力'!$A$1:$L$1300,427+CK$3,2+CK$2)&lt;&gt;"",INDEX('×入力'!$A$1:$L$1300,426,2+CK$2)&lt;&gt;"",INDEX('×入力'!$A$1:$L$1300,427+CK$3,1)&lt;&gt;""),1,0),0)</f>
        <v/>
      </c>
      <c r="CL25">
        <f>IF(CL$4=1,IF(OR(INDEX('×入力'!$A$1:$L$1300,427+CL$3,2+CL$2)&lt;&gt;"",INDEX('×入力'!$A$1:$L$1300,426,2+CL$2)&lt;&gt;"",INDEX('×入力'!$A$1:$L$1300,427+CL$3,1)&lt;&gt;""),1,0),0)</f>
        <v/>
      </c>
      <c r="CM25">
        <f>IF(CM$4=1,IF(OR(INDEX('×入力'!$A$1:$L$1300,427+CM$3,2+CM$2)&lt;&gt;"",INDEX('×入力'!$A$1:$L$1300,426,2+CM$2)&lt;&gt;"",INDEX('×入力'!$A$1:$L$1300,427+CM$3,1)&lt;&gt;""),1,0),0)</f>
        <v/>
      </c>
      <c r="CN25">
        <f>IF(CN$4=1,IF(OR(INDEX('×入力'!$A$1:$L$1300,427+CN$3,2+CN$2)&lt;&gt;"",INDEX('×入力'!$A$1:$L$1300,426,2+CN$2)&lt;&gt;"",INDEX('×入力'!$A$1:$L$1300,427+CN$3,1)&lt;&gt;""),1,0),0)</f>
        <v/>
      </c>
      <c r="CO25">
        <f>IF(CO$4=1,IF(OR(INDEX('×入力'!$A$1:$L$1300,427+CO$3,2+CO$2)&lt;&gt;"",INDEX('×入力'!$A$1:$L$1300,426,2+CO$2)&lt;&gt;"",INDEX('×入力'!$A$1:$L$1300,427+CO$3,1)&lt;&gt;""),1,0),0)</f>
        <v/>
      </c>
      <c r="CP25">
        <f>IF(CP$4=1,IF(OR(INDEX('×入力'!$A$1:$L$1300,427+CP$3,2+CP$2)&lt;&gt;"",INDEX('×入力'!$A$1:$L$1300,426,2+CP$2)&lt;&gt;"",INDEX('×入力'!$A$1:$L$1300,427+CP$3,1)&lt;&gt;""),1,0),0)</f>
        <v/>
      </c>
      <c r="CQ25">
        <f>IF(CQ$4=1,IF(OR(INDEX('×入力'!$A$1:$L$1300,427+CQ$3,2+CQ$2)&lt;&gt;"",INDEX('×入力'!$A$1:$L$1300,426,2+CQ$2)&lt;&gt;"",INDEX('×入力'!$A$1:$L$1300,427+CQ$3,1)&lt;&gt;""),1,0),0)</f>
        <v/>
      </c>
      <c r="CR25">
        <f>IF(CR$4=1,IF(OR(INDEX('×入力'!$A$1:$L$1300,427+CR$3,2+CR$2)&lt;&gt;"",INDEX('×入力'!$A$1:$L$1300,426,2+CR$2)&lt;&gt;"",INDEX('×入力'!$A$1:$L$1300,427+CR$3,1)&lt;&gt;""),1,0),0)</f>
        <v/>
      </c>
      <c r="CS25">
        <f>IF(CS$4=1,IF(OR(INDEX('×入力'!$A$1:$L$1300,427+CS$3,2+CS$2)&lt;&gt;"",INDEX('×入力'!$A$1:$L$1300,426,2+CS$2)&lt;&gt;"",INDEX('×入力'!$A$1:$L$1300,427+CS$3,1)&lt;&gt;""),1,0),0)</f>
        <v/>
      </c>
      <c r="CT25">
        <f>IF(CT$4=1,IF(OR(INDEX('×入力'!$A$1:$L$1300,427+CT$3,2+CT$2)&lt;&gt;"",INDEX('×入力'!$A$1:$L$1300,426,2+CT$2)&lt;&gt;"",INDEX('×入力'!$A$1:$L$1300,427+CT$3,1)&lt;&gt;""),1,0),0)</f>
        <v/>
      </c>
      <c r="CU25">
        <f>IF(CU$4=1,IF(OR(INDEX('×入力'!$A$1:$L$1300,427+CU$3,2+CU$2)&lt;&gt;"",INDEX('×入力'!$A$1:$L$1300,426,2+CU$2)&lt;&gt;"",INDEX('×入力'!$A$1:$L$1300,427+CU$3,1)&lt;&gt;""),1,0),0)</f>
        <v/>
      </c>
      <c r="CV25">
        <f>IF(CV$4=1,IF(OR(INDEX('×入力'!$A$1:$L$1300,427+CV$3,2+CV$2)&lt;&gt;"",INDEX('×入力'!$A$1:$L$1300,426,2+CV$2)&lt;&gt;"",INDEX('×入力'!$A$1:$L$1300,427+CV$3,1)&lt;&gt;""),1,0),0)</f>
        <v/>
      </c>
      <c r="CW25">
        <f>IF(CW$4=1,IF(OR(INDEX('×入力'!$A$1:$L$1300,427+CW$3,2+CW$2)&lt;&gt;"",INDEX('×入力'!$A$1:$L$1300,426,2+CW$2)&lt;&gt;"",INDEX('×入力'!$A$1:$L$1300,427+CW$3,1)&lt;&gt;""),1,0),0)</f>
        <v/>
      </c>
      <c r="CX25">
        <f>IF(CX$4=1,IF(OR(INDEX('×入力'!$A$1:$L$1300,427+CX$3,2+CX$2)&lt;&gt;"",INDEX('×入力'!$A$1:$L$1300,426,2+CX$2)&lt;&gt;"",INDEX('×入力'!$A$1:$L$1300,427+CX$3,1)&lt;&gt;""),1,0),0)</f>
        <v/>
      </c>
      <c r="CY25">
        <f>IF(CY$4=1,IF(OR(INDEX('×入力'!$A$1:$L$1300,427+CY$3,2+CY$2)&lt;&gt;"",INDEX('×入力'!$A$1:$L$1300,426,2+CY$2)&lt;&gt;"",INDEX('×入力'!$A$1:$L$1300,427+CY$3,1)&lt;&gt;""),1,0),0)</f>
        <v/>
      </c>
      <c r="CZ25">
        <f>IF(CZ$4=1,IF(OR(INDEX('×入力'!$A$1:$L$1300,427+CZ$3,2+CZ$2)&lt;&gt;"",INDEX('×入力'!$A$1:$L$1300,426,2+CZ$2)&lt;&gt;"",INDEX('×入力'!$A$1:$L$1300,427+CZ$3,1)&lt;&gt;""),1,0),0)</f>
        <v/>
      </c>
      <c r="DA25">
        <f>IF(DA$4=1,IF(OR(INDEX('×入力'!$A$1:$L$1300,427+DA$3,2+DA$2)&lt;&gt;"",INDEX('×入力'!$A$1:$L$1300,426,2+DA$2)&lt;&gt;"",INDEX('×入力'!$A$1:$L$1300,427+DA$3,1)&lt;&gt;""),1,0),0)</f>
        <v/>
      </c>
      <c r="DB25">
        <f>IF(DB$4=1,IF(OR(INDEX('×入力'!$A$1:$L$1300,427+DB$3,2+DB$2)&lt;&gt;"",INDEX('×入力'!$A$1:$L$1300,426,2+DB$2)&lt;&gt;"",INDEX('×入力'!$A$1:$L$1300,427+DB$3,1)&lt;&gt;""),1,0),0)</f>
        <v/>
      </c>
      <c r="DC25">
        <f>IF(DC$4=1,IF(OR(INDEX('×入力'!$A$1:$L$1300,427+DC$3,2+DC$2)&lt;&gt;"",INDEX('×入力'!$A$1:$L$1300,426,2+DC$2)&lt;&gt;"",INDEX('×入力'!$A$1:$L$1300,427+DC$3,1)&lt;&gt;""),1,0),0)</f>
        <v/>
      </c>
      <c r="DD25">
        <f>IF(DD$4=1,IF(OR(INDEX('×入力'!$A$1:$L$1300,427+DD$3,2+DD$2)&lt;&gt;"",INDEX('×入力'!$A$1:$L$1300,426,2+DD$2)&lt;&gt;"",INDEX('×入力'!$A$1:$L$1300,427+DD$3,1)&lt;&gt;""),1,0),0)</f>
        <v/>
      </c>
      <c r="DE25">
        <f>IF(DE$4=1,IF(OR(INDEX('×入力'!$A$1:$L$1300,427+DE$3,2+DE$2)&lt;&gt;"",INDEX('×入力'!$A$1:$L$1300,426,2+DE$2)&lt;&gt;"",INDEX('×入力'!$A$1:$L$1300,427+DE$3,1)&lt;&gt;""),1,0),0)</f>
        <v/>
      </c>
      <c r="DF25">
        <f>IF(DF$4=1,IF(OR(INDEX('×入力'!$A$1:$L$1300,427+DF$3,2+DF$2)&lt;&gt;"",INDEX('×入力'!$A$1:$L$1300,426,2+DF$2)&lt;&gt;"",INDEX('×入力'!$A$1:$L$1300,427+DF$3,1)&lt;&gt;""),1,0),0)</f>
        <v/>
      </c>
      <c r="DG25">
        <f>IF(DG$4=1,IF(OR(INDEX('×入力'!$A$1:$L$1300,427+DG$3,2+DG$2)&lt;&gt;"",INDEX('×入力'!$A$1:$L$1300,426,2+DG$2)&lt;&gt;"",INDEX('×入力'!$A$1:$L$1300,427+DG$3,1)&lt;&gt;""),1,0),0)</f>
        <v/>
      </c>
      <c r="DH25">
        <f>IF(DH$4=1,IF(OR(INDEX('×入力'!$A$1:$L$1300,427+DH$3,2+DH$2)&lt;&gt;"",INDEX('×入力'!$A$1:$L$1300,426,2+DH$2)&lt;&gt;"",INDEX('×入力'!$A$1:$L$1300,427+DH$3,1)&lt;&gt;""),1,0),0)</f>
        <v/>
      </c>
      <c r="DI25">
        <f>IF(DI$4=1,IF(OR(INDEX('×入力'!$A$1:$L$1300,427+DI$3,2+DI$2)&lt;&gt;"",INDEX('×入力'!$A$1:$L$1300,426,2+DI$2)&lt;&gt;"",INDEX('×入力'!$A$1:$L$1300,427+DI$3,1)&lt;&gt;""),1,0),0)</f>
        <v/>
      </c>
      <c r="DJ25">
        <f>IF(DJ$4=1,IF(OR(INDEX('×入力'!$A$1:$L$1300,427+DJ$3,2+DJ$2)&lt;&gt;"",INDEX('×入力'!$A$1:$L$1300,426,2+DJ$2)&lt;&gt;"",INDEX('×入力'!$A$1:$L$1300,427+DJ$3,1)&lt;&gt;""),1,0),0)</f>
        <v/>
      </c>
      <c r="DK25">
        <f>IF(DK$4=1,IF(OR(INDEX('×入力'!$A$1:$L$1300,427+DK$3,2+DK$2)&lt;&gt;"",INDEX('×入力'!$A$1:$L$1300,426,2+DK$2)&lt;&gt;"",INDEX('×入力'!$A$1:$L$1300,427+DK$3,1)&lt;&gt;""),1,0),0)</f>
        <v/>
      </c>
      <c r="DL25">
        <f>IF(DL$4=1,IF(OR(INDEX('×入力'!$A$1:$L$1300,427+DL$3,2+DL$2)&lt;&gt;"",INDEX('×入力'!$A$1:$L$1300,426,2+DL$2)&lt;&gt;"",INDEX('×入力'!$A$1:$L$1300,427+DL$3,1)&lt;&gt;""),1,0),0)</f>
        <v/>
      </c>
      <c r="DM25">
        <f>IF(DM$4=1,IF(OR(INDEX('×入力'!$A$1:$L$1300,427+DM$3,2+DM$2)&lt;&gt;"",INDEX('×入力'!$A$1:$L$1300,426,2+DM$2)&lt;&gt;"",INDEX('×入力'!$A$1:$L$1300,427+DM$3,1)&lt;&gt;""),1,0),0)</f>
        <v/>
      </c>
      <c r="DN25">
        <f>IF(DN$4=1,IF(OR(INDEX('×入力'!$A$1:$L$1300,427+DN$3,2+DN$2)&lt;&gt;"",INDEX('×入力'!$A$1:$L$1300,426,2+DN$2)&lt;&gt;"",INDEX('×入力'!$A$1:$L$1300,427+DN$3,1)&lt;&gt;""),1,0),0)</f>
        <v/>
      </c>
      <c r="DO25">
        <f>IF(DO$4=1,IF(OR(INDEX('×入力'!$A$1:$L$1300,427+DO$3,2+DO$2)&lt;&gt;"",INDEX('×入力'!$A$1:$L$1300,426,2+DO$2)&lt;&gt;"",INDEX('×入力'!$A$1:$L$1300,427+DO$3,1)&lt;&gt;""),1,0),0)</f>
        <v/>
      </c>
      <c r="DP25">
        <f>IF(DP$4=1,IF(OR(INDEX('×入力'!$A$1:$L$1300,427+DP$3,2+DP$2)&lt;&gt;"",INDEX('×入力'!$A$1:$L$1300,426,2+DP$2)&lt;&gt;"",INDEX('×入力'!$A$1:$L$1300,427+DP$3,1)&lt;&gt;""),1,0),0)</f>
        <v/>
      </c>
      <c r="DQ25">
        <f>IF(DQ$4=1,IF(OR(INDEX('×入力'!$A$1:$L$1300,427+DQ$3,2+DQ$2)&lt;&gt;"",INDEX('×入力'!$A$1:$L$1300,426,2+DQ$2)&lt;&gt;"",INDEX('×入力'!$A$1:$L$1300,427+DQ$3,1)&lt;&gt;""),1,0),0)</f>
        <v/>
      </c>
      <c r="DR25">
        <f>IF(DR$4=1,IF(OR(INDEX('×入力'!$A$1:$L$1300,427+DR$3,2+DR$2)&lt;&gt;"",INDEX('×入力'!$A$1:$L$1300,426,2+DR$2)&lt;&gt;"",INDEX('×入力'!$A$1:$L$1300,427+DR$3,1)&lt;&gt;""),1,0),0)</f>
        <v/>
      </c>
      <c r="DS25">
        <f>IF(DS$4=1,IF(OR(INDEX('×入力'!$A$1:$L$1300,427+DS$3,2+DS$2)&lt;&gt;"",INDEX('×入力'!$A$1:$L$1300,426,2+DS$2)&lt;&gt;"",INDEX('×入力'!$A$1:$L$1300,427+DS$3,1)&lt;&gt;""),1,0),0)</f>
        <v/>
      </c>
      <c r="DT25">
        <f>IF(DT$4=1,IF(OR(INDEX('×入力'!$A$1:$L$1300,427+DT$3,2+DT$2)&lt;&gt;"",INDEX('×入力'!$A$1:$L$1300,426,2+DT$2)&lt;&gt;"",INDEX('×入力'!$A$1:$L$1300,427+DT$3,1)&lt;&gt;""),1,0),0)</f>
        <v/>
      </c>
      <c r="DU25">
        <f>IF(DU$4=1,IF(OR(INDEX('×入力'!$A$1:$L$1300,427+DU$3,2+DU$2)&lt;&gt;"",INDEX('×入力'!$A$1:$L$1300,426,2+DU$2)&lt;&gt;"",INDEX('×入力'!$A$1:$L$1300,427+DU$3,1)&lt;&gt;""),1,0),0)</f>
        <v/>
      </c>
      <c r="DV25">
        <f>IF(DV$4=1,IF(OR(INDEX('×入力'!$A$1:$L$1300,427+DV$3,2+DV$2)&lt;&gt;"",INDEX('×入力'!$A$1:$L$1300,426,2+DV$2)&lt;&gt;"",INDEX('×入力'!$A$1:$L$1300,427+DV$3,1)&lt;&gt;""),1,0),0)</f>
        <v/>
      </c>
      <c r="DW25">
        <f>IF(DW$4=1,IF(OR(INDEX('×入力'!$A$1:$L$1300,427+DW$3,2+DW$2)&lt;&gt;"",INDEX('×入力'!$A$1:$L$1300,426,2+DW$2)&lt;&gt;"",INDEX('×入力'!$A$1:$L$1300,427+DW$3,1)&lt;&gt;""),1,0),0)</f>
        <v/>
      </c>
      <c r="DX25">
        <f>IF(DX$4=1,IF(OR(INDEX('×入力'!$A$1:$L$1300,427+DX$3,2+DX$2)&lt;&gt;"",INDEX('×入力'!$A$1:$L$1300,426,2+DX$2)&lt;&gt;"",INDEX('×入力'!$A$1:$L$1300,427+DX$3,1)&lt;&gt;""),1,0),0)</f>
        <v/>
      </c>
      <c r="DY25">
        <f>IF(DY$4=1,IF(OR(INDEX('×入力'!$A$1:$L$1300,427+DY$3,2+DY$2)&lt;&gt;"",INDEX('×入力'!$A$1:$L$1300,426,2+DY$2)&lt;&gt;"",INDEX('×入力'!$A$1:$L$1300,427+DY$3,1)&lt;&gt;""),1,0),0)</f>
        <v/>
      </c>
      <c r="DZ25">
        <f>IF(DZ$4=1,IF(OR(INDEX('×入力'!$A$1:$L$1300,427+DZ$3,2+DZ$2)&lt;&gt;"",INDEX('×入力'!$A$1:$L$1300,426,2+DZ$2)&lt;&gt;"",INDEX('×入力'!$A$1:$L$1300,427+DZ$3,1)&lt;&gt;""),1,0),0)</f>
        <v/>
      </c>
      <c r="EA25">
        <f>IF(EA$4=1,IF(OR(INDEX('×入力'!$A$1:$L$1300,427+EA$3,2+EA$2)&lt;&gt;"",INDEX('×入力'!$A$1:$L$1300,426,2+EA$2)&lt;&gt;"",INDEX('×入力'!$A$1:$L$1300,427+EA$3,1)&lt;&gt;""),1,0),0)</f>
        <v/>
      </c>
      <c r="EB25">
        <f>IF(EB$4=1,IF(OR(INDEX('×入力'!$A$1:$L$1300,427+EB$3,2+EB$2)&lt;&gt;"",INDEX('×入力'!$A$1:$L$1300,426,2+EB$2)&lt;&gt;"",INDEX('×入力'!$A$1:$L$1300,427+EB$3,1)&lt;&gt;""),1,0),0)</f>
        <v/>
      </c>
      <c r="EC25">
        <f>IF(EC$4=1,IF(OR(INDEX('×入力'!$A$1:$L$1300,427+EC$3,2+EC$2)&lt;&gt;"",INDEX('×入力'!$A$1:$L$1300,426,2+EC$2)&lt;&gt;"",INDEX('×入力'!$A$1:$L$1300,427+EC$3,1)&lt;&gt;""),1,0),0)</f>
        <v/>
      </c>
      <c r="ED25">
        <f>IF(ED$4=1,IF(OR(INDEX('×入力'!$A$1:$L$1300,427+ED$3,2+ED$2)&lt;&gt;"",INDEX('×入力'!$A$1:$L$1300,426,2+ED$2)&lt;&gt;"",INDEX('×入力'!$A$1:$L$1300,427+ED$3,1)&lt;&gt;""),1,0),0)</f>
        <v/>
      </c>
      <c r="EE25">
        <f>IF(EE$4=1,IF(OR(INDEX('×入力'!$A$1:$L$1300,427+EE$3,2+EE$2)&lt;&gt;"",INDEX('×入力'!$A$1:$L$1300,426,2+EE$2)&lt;&gt;"",INDEX('×入力'!$A$1:$L$1300,427+EE$3,1)&lt;&gt;""),1,0),0)</f>
        <v/>
      </c>
      <c r="EF25">
        <f>IF(EF$4=1,IF(OR(INDEX('×入力'!$A$1:$L$1300,427+EF$3,2+EF$2)&lt;&gt;"",INDEX('×入力'!$A$1:$L$1300,426,2+EF$2)&lt;&gt;"",INDEX('×入力'!$A$1:$L$1300,427+EF$3,1)&lt;&gt;""),1,0),0)</f>
        <v/>
      </c>
      <c r="EG25">
        <f>IF(EG$4=1,IF(OR(INDEX('×入力'!$A$1:$L$1300,427+EG$3,2+EG$2)&lt;&gt;"",INDEX('×入力'!$A$1:$L$1300,426,2+EG$2)&lt;&gt;"",INDEX('×入力'!$A$1:$L$1300,427+EG$3,1)&lt;&gt;""),1,0),0)</f>
        <v/>
      </c>
      <c r="EH25">
        <f>IF(EH$4=1,IF(OR(INDEX('×入力'!$A$1:$L$1300,427+EH$3,2+EH$2)&lt;&gt;"",INDEX('×入力'!$A$1:$L$1300,426,2+EH$2)&lt;&gt;"",INDEX('×入力'!$A$1:$L$1300,427+EH$3,1)&lt;&gt;""),1,0),0)</f>
        <v/>
      </c>
      <c r="EI25">
        <f>IF(EI$4=1,IF(OR(INDEX('×入力'!$A$1:$L$1300,427+EI$3,2+EI$2)&lt;&gt;"",INDEX('×入力'!$A$1:$L$1300,426,2+EI$2)&lt;&gt;"",INDEX('×入力'!$A$1:$L$1300,427+EI$3,1)&lt;&gt;""),1,0),0)</f>
        <v/>
      </c>
      <c r="EJ25">
        <f>IF(EJ$4=1,IF(OR(INDEX('×入力'!$A$1:$L$1300,427+EJ$3,2+EJ$2)&lt;&gt;"",INDEX('×入力'!$A$1:$L$1300,426,2+EJ$2)&lt;&gt;"",INDEX('×入力'!$A$1:$L$1300,427+EJ$3,1)&lt;&gt;""),1,0),0)</f>
        <v/>
      </c>
      <c r="EK25">
        <f>IF(EK$4=1,IF(OR(INDEX('×入力'!$A$1:$L$1300,427+EK$3,2+EK$2)&lt;&gt;"",INDEX('×入力'!$A$1:$L$1300,426,2+EK$2)&lt;&gt;"",INDEX('×入力'!$A$1:$L$1300,427+EK$3,1)&lt;&gt;""),1,0),0)</f>
        <v/>
      </c>
      <c r="EL25">
        <f>IF(EL$4=1,IF(OR(INDEX('×入力'!$A$1:$L$1300,427+EL$3,2+EL$2)&lt;&gt;"",INDEX('×入力'!$A$1:$L$1300,426,2+EL$2)&lt;&gt;"",INDEX('×入力'!$A$1:$L$1300,427+EL$3,1)&lt;&gt;""),1,0),0)</f>
        <v/>
      </c>
      <c r="EM25">
        <f>IF(EM$4=1,IF(OR(INDEX('×入力'!$A$1:$L$1300,427+EM$3,2+EM$2)&lt;&gt;"",INDEX('×入力'!$A$1:$L$1300,426,2+EM$2)&lt;&gt;"",INDEX('×入力'!$A$1:$L$1300,427+EM$3,1)&lt;&gt;""),1,0),0)</f>
        <v/>
      </c>
      <c r="EN25">
        <f>IF(EN$4=1,IF(OR(INDEX('×入力'!$A$1:$L$1300,427+EN$3,2+EN$2)&lt;&gt;"",INDEX('×入力'!$A$1:$L$1300,426,2+EN$2)&lt;&gt;"",INDEX('×入力'!$A$1:$L$1300,427+EN$3,1)&lt;&gt;""),1,0),0)</f>
        <v/>
      </c>
      <c r="EO25">
        <f>IF(EO$4=1,IF(OR(INDEX('×入力'!$A$1:$L$1300,427+EO$3,2+EO$2)&lt;&gt;"",INDEX('×入力'!$A$1:$L$1300,426,2+EO$2)&lt;&gt;"",INDEX('×入力'!$A$1:$L$1300,427+EO$3,1)&lt;&gt;""),1,0),0)</f>
        <v/>
      </c>
      <c r="EP25">
        <f>IF(EP$4=1,IF(OR(INDEX('×入力'!$A$1:$L$1300,427+EP$3,2+EP$2)&lt;&gt;"",INDEX('×入力'!$A$1:$L$1300,426,2+EP$2)&lt;&gt;"",INDEX('×入力'!$A$1:$L$1300,427+EP$3,1)&lt;&gt;""),1,0),0)</f>
        <v/>
      </c>
      <c r="EQ25">
        <f>IF(EQ$4=1,IF(OR(INDEX('×入力'!$A$1:$L$1300,427+EQ$3,2+EQ$2)&lt;&gt;"",INDEX('×入力'!$A$1:$L$1300,426,2+EQ$2)&lt;&gt;"",INDEX('×入力'!$A$1:$L$1300,427+EQ$3,1)&lt;&gt;""),1,0),0)</f>
        <v/>
      </c>
      <c r="HA25">
        <f>MAX(0,IT25)</f>
        <v/>
      </c>
      <c r="HB25">
        <f>IF(HA25=0,0,INDEX($D$2:$EQ$2,HA25))</f>
        <v/>
      </c>
      <c r="HC25">
        <f>IF(HA25=0,0,INDEX($D$3:$EQ$3,HA25))</f>
        <v/>
      </c>
      <c r="HD25">
        <f>MAX(0,IY25)</f>
        <v/>
      </c>
      <c r="HE25">
        <f>IF(HD25=0,0,INDEX($D$2:$EQ$2,HD25))</f>
        <v/>
      </c>
      <c r="HF25">
        <f>IF(HD25=0,0,INDEX($D$3:$EQ$3,HD25))</f>
        <v/>
      </c>
      <c r="HG25">
        <f>MAX(0,IZ25)</f>
        <v/>
      </c>
      <c r="HH25">
        <f>IF(HG25=0,0,INDEX($D$2:$EQ$2,HG25))</f>
        <v/>
      </c>
      <c r="HI25">
        <f>IF(HG25=0,0,INDEX($D$3:$EQ$3,HG25))</f>
        <v/>
      </c>
      <c r="HJ25">
        <f>IF(AND(HA25&gt;0,HC25&gt;1,OR(HC25-1&lt;&gt;$A$3,$A$4=0)),HA25-1,-1)</f>
        <v/>
      </c>
      <c r="HK25">
        <f>IF(AND(HA25&gt;0,HC25&lt;24,OR(HC25&lt;&gt;$A$3,$A$4=0)),HA25+1,-1)</f>
        <v/>
      </c>
      <c r="HL25">
        <f>IF(AND(HD25&gt;0,HF25&gt;1,OR(HF25-1&lt;&gt;$A$3,$A$4=0)),HD25-1,-1)</f>
        <v/>
      </c>
      <c r="HM25">
        <f>IF(AND(HD25&gt;0,HF25&lt;24,OR(HF25&lt;&gt;$A$3,$A$4=0)),HD25+1,-1)</f>
        <v/>
      </c>
      <c r="HN25">
        <f>IF(AND(HG25&gt;0,HI25&gt;1,OR(HI25-1&lt;&gt;$A$3,$A$4=0)),HG25-1,-1)</f>
        <v/>
      </c>
      <c r="HO25">
        <f>IF(AND(HG25&gt;0,HI25&lt;24,OR(HI25&lt;&gt;$A$3,$A$4=0)),HG25+1,-1)</f>
        <v/>
      </c>
      <c r="IK25">
        <f>IFERROR(INDEX('calcB'!$C$3:$C$47,MATCH(A25,'calcB'!$B$3:$B$47,0)),0)</f>
        <v/>
      </c>
      <c r="IL25">
        <f>IF(AND(C25=1,IK25=0,calcA!$A$6&gt;0),1,0)</f>
        <v/>
      </c>
      <c r="IM25">
        <f>SUMPRODUCT(D75:EQ75*(1-$D$7:$EQ$7))</f>
        <v/>
      </c>
      <c r="IN25">
        <f>SUM(D25:EQ25)</f>
        <v/>
      </c>
      <c r="IO25">
        <f>IF(B25="",0,IF(COUNTIF('調整・決定'!$C$6:$H$29,B25)=1,SUMPRODUCT(('調整・決定'!$C$6:$H$29=B25)*((COLUMN('調整・決定'!$C$6:$H$29)-3)*24+ROW('調整・決定'!$C$6:$H$29)-5)),0))</f>
        <v/>
      </c>
      <c r="IP25">
        <f>IFERROR(MATCH('名簿'!C20,{"早い時刻","遅い時刻","早い日","遅い日"},0),0)</f>
        <v/>
      </c>
      <c r="IQ25">
        <f>IF('名簿'!D20="必ず空けたい",2,IF('名簿'!D20="出来れば空けたい",1,0))</f>
        <v/>
      </c>
      <c r="IR25">
        <f>IFERROR(INDEX('calcC'!$C$3:$C$47,MATCH(A25,'calcC'!$B$3:$B$47,0)),0)</f>
        <v/>
      </c>
      <c r="IS25">
        <f>IF(AND(C25=1,IR25=0,calcA!$A$6&gt;0),1,0)</f>
        <v/>
      </c>
      <c r="IT25">
        <f>IF(OR('名簿'!G20="",'名簿'!H20=""),0,IFERROR((MATCH('名簿'!G20,'設定'!$E$11:$E$16,0)-1)*24+MATCH('名簿'!H20,'設定'!$I$11:$I$34,0),-1))</f>
        <v/>
      </c>
      <c r="IV25">
        <f>IF(OR(JF25=0,IO25=0),1,IF(OR(IF(IT25&gt;0,AND(INDEX($D$2:$EQ$2,IO25)=INDEX($D$2:$EQ$2,IT25),OR(AND(IO25=IT25+1,OR(INDEX($D$3:$EQ$3,IT25)&lt;&gt;$A$3,$A$4=0)),AND(IO25=IT25-1,OR(INDEX($D$3:$EQ$3,IO25)&lt;&gt;$A$3,$A$4=0)))),FALSE),IF(IY25&gt;0,AND(INDEX($D$2:$EQ$2,IO25)=INDEX($D$2:$EQ$2,IY25),OR(AND(IO25=IY25+1,OR(INDEX($D$3:$EQ$3,IY25)&lt;&gt;$A$3,$A$4=0)),AND(IO25=IY25-1,OR(INDEX($D$3:$EQ$3,IO25)&lt;&gt;$A$3,$A$4=0)))),FALSE),IF(IZ25&gt;0,AND(INDEX($D$2:$EQ$2,IO25)=INDEX($D$2:$EQ$2,IZ25),OR(AND(IO25=IZ25+1,OR(INDEX($D$3:$EQ$3,IZ25)&lt;&gt;$A$3,$A$4=0)),AND(IO25=IZ25-1,OR(INDEX($D$3:$EQ$3,IO25)&lt;&gt;$A$3,$A$4=0)))),FALSE)),1,0))</f>
        <v/>
      </c>
      <c r="IW25">
        <f>IF(AND('名簿'!E20&lt;&gt;"",JF25=0),1,0)</f>
        <v/>
      </c>
      <c r="IX25">
        <f>IF('名簿'!D20="空けない",1,0)</f>
        <v/>
      </c>
      <c r="IY25">
        <f>IF(OR('名簿'!J20="",'名簿'!K20=""),0,IFERROR((MATCH('名簿'!J20,'設定'!$E$11:$E$16,0)-1)*24+MATCH('名簿'!K20,'設定'!$I$11:$I$34,0),-1))</f>
        <v/>
      </c>
      <c r="IZ25">
        <f>IF(OR('名簿'!M20="",'名簿'!N20=""),0,IFERROR((MATCH('名簿'!M20,'設定'!$E$11:$E$16,0)-1)*24+MATCH('名簿'!N20,'設定'!$I$11:$I$34,0),-1))</f>
        <v/>
      </c>
      <c r="JC25">
        <f>IF(RIGHT('名簿'!I20,2)="の前",1,IF(RIGHT('名簿'!I20,2)="の後",2,0))</f>
        <v/>
      </c>
      <c r="JD25">
        <f>IF(RIGHT('名簿'!L20,2)="の前",1,IF(RIGHT('名簿'!L20,2)="の後",2,0))</f>
        <v/>
      </c>
      <c r="JE25">
        <f>IF(RIGHT('名簿'!O20,2)="の前",1,IF(RIGHT('名簿'!O20,2)="の後",2,0))</f>
        <v/>
      </c>
      <c r="JF25">
        <f>IF(OR(IT25&gt;0,IY25&gt;0,IZ25&gt;0),1,0)</f>
        <v/>
      </c>
      <c r="JG25">
        <f>IF(OR(IT25&lt;0,IY25&lt;0,IZ25&lt;0),1,0)</f>
        <v/>
      </c>
    </row>
    <row r="26">
      <c r="A26" t="n">
        <v>17</v>
      </c>
      <c r="B26">
        <f>'名簿'!P21</f>
        <v/>
      </c>
      <c r="C26">
        <f>IF(AND(B26&lt;&gt;"",OR('名簿'!Q21="入力済み",'名簿'!Q21="×なし"),IO26=0,COUNTIF('調整・決定'!$C$6:$H$29,B26)=0),1,0)</f>
        <v/>
      </c>
      <c r="D26">
        <f>IF(D$4=1,IF(OR(INDEX('×入力'!$A$1:$L$1300,455+D$3,2+D$2)&lt;&gt;"",INDEX('×入力'!$A$1:$L$1300,454,2+D$2)&lt;&gt;"",INDEX('×入力'!$A$1:$L$1300,455+D$3,1)&lt;&gt;""),1,0),0)</f>
        <v/>
      </c>
      <c r="E26">
        <f>IF(E$4=1,IF(OR(INDEX('×入力'!$A$1:$L$1300,455+E$3,2+E$2)&lt;&gt;"",INDEX('×入力'!$A$1:$L$1300,454,2+E$2)&lt;&gt;"",INDEX('×入力'!$A$1:$L$1300,455+E$3,1)&lt;&gt;""),1,0),0)</f>
        <v/>
      </c>
      <c r="F26">
        <f>IF(F$4=1,IF(OR(INDEX('×入力'!$A$1:$L$1300,455+F$3,2+F$2)&lt;&gt;"",INDEX('×入力'!$A$1:$L$1300,454,2+F$2)&lt;&gt;"",INDEX('×入力'!$A$1:$L$1300,455+F$3,1)&lt;&gt;""),1,0),0)</f>
        <v/>
      </c>
      <c r="G26">
        <f>IF(G$4=1,IF(OR(INDEX('×入力'!$A$1:$L$1300,455+G$3,2+G$2)&lt;&gt;"",INDEX('×入力'!$A$1:$L$1300,454,2+G$2)&lt;&gt;"",INDEX('×入力'!$A$1:$L$1300,455+G$3,1)&lt;&gt;""),1,0),0)</f>
        <v/>
      </c>
      <c r="H26">
        <f>IF(H$4=1,IF(OR(INDEX('×入力'!$A$1:$L$1300,455+H$3,2+H$2)&lt;&gt;"",INDEX('×入力'!$A$1:$L$1300,454,2+H$2)&lt;&gt;"",INDEX('×入力'!$A$1:$L$1300,455+H$3,1)&lt;&gt;""),1,0),0)</f>
        <v/>
      </c>
      <c r="I26">
        <f>IF(I$4=1,IF(OR(INDEX('×入力'!$A$1:$L$1300,455+I$3,2+I$2)&lt;&gt;"",INDEX('×入力'!$A$1:$L$1300,454,2+I$2)&lt;&gt;"",INDEX('×入力'!$A$1:$L$1300,455+I$3,1)&lt;&gt;""),1,0),0)</f>
        <v/>
      </c>
      <c r="J26">
        <f>IF(J$4=1,IF(OR(INDEX('×入力'!$A$1:$L$1300,455+J$3,2+J$2)&lt;&gt;"",INDEX('×入力'!$A$1:$L$1300,454,2+J$2)&lt;&gt;"",INDEX('×入力'!$A$1:$L$1300,455+J$3,1)&lt;&gt;""),1,0),0)</f>
        <v/>
      </c>
      <c r="K26">
        <f>IF(K$4=1,IF(OR(INDEX('×入力'!$A$1:$L$1300,455+K$3,2+K$2)&lt;&gt;"",INDEX('×入力'!$A$1:$L$1300,454,2+K$2)&lt;&gt;"",INDEX('×入力'!$A$1:$L$1300,455+K$3,1)&lt;&gt;""),1,0),0)</f>
        <v/>
      </c>
      <c r="L26">
        <f>IF(L$4=1,IF(OR(INDEX('×入力'!$A$1:$L$1300,455+L$3,2+L$2)&lt;&gt;"",INDEX('×入力'!$A$1:$L$1300,454,2+L$2)&lt;&gt;"",INDEX('×入力'!$A$1:$L$1300,455+L$3,1)&lt;&gt;""),1,0),0)</f>
        <v/>
      </c>
      <c r="M26">
        <f>IF(M$4=1,IF(OR(INDEX('×入力'!$A$1:$L$1300,455+M$3,2+M$2)&lt;&gt;"",INDEX('×入力'!$A$1:$L$1300,454,2+M$2)&lt;&gt;"",INDEX('×入力'!$A$1:$L$1300,455+M$3,1)&lt;&gt;""),1,0),0)</f>
        <v/>
      </c>
      <c r="N26">
        <f>IF(N$4=1,IF(OR(INDEX('×入力'!$A$1:$L$1300,455+N$3,2+N$2)&lt;&gt;"",INDEX('×入力'!$A$1:$L$1300,454,2+N$2)&lt;&gt;"",INDEX('×入力'!$A$1:$L$1300,455+N$3,1)&lt;&gt;""),1,0),0)</f>
        <v/>
      </c>
      <c r="O26">
        <f>IF(O$4=1,IF(OR(INDEX('×入力'!$A$1:$L$1300,455+O$3,2+O$2)&lt;&gt;"",INDEX('×入力'!$A$1:$L$1300,454,2+O$2)&lt;&gt;"",INDEX('×入力'!$A$1:$L$1300,455+O$3,1)&lt;&gt;""),1,0),0)</f>
        <v/>
      </c>
      <c r="P26">
        <f>IF(P$4=1,IF(OR(INDEX('×入力'!$A$1:$L$1300,455+P$3,2+P$2)&lt;&gt;"",INDEX('×入力'!$A$1:$L$1300,454,2+P$2)&lt;&gt;"",INDEX('×入力'!$A$1:$L$1300,455+P$3,1)&lt;&gt;""),1,0),0)</f>
        <v/>
      </c>
      <c r="Q26">
        <f>IF(Q$4=1,IF(OR(INDEX('×入力'!$A$1:$L$1300,455+Q$3,2+Q$2)&lt;&gt;"",INDEX('×入力'!$A$1:$L$1300,454,2+Q$2)&lt;&gt;"",INDEX('×入力'!$A$1:$L$1300,455+Q$3,1)&lt;&gt;""),1,0),0)</f>
        <v/>
      </c>
      <c r="R26">
        <f>IF(R$4=1,IF(OR(INDEX('×入力'!$A$1:$L$1300,455+R$3,2+R$2)&lt;&gt;"",INDEX('×入力'!$A$1:$L$1300,454,2+R$2)&lt;&gt;"",INDEX('×入力'!$A$1:$L$1300,455+R$3,1)&lt;&gt;""),1,0),0)</f>
        <v/>
      </c>
      <c r="S26">
        <f>IF(S$4=1,IF(OR(INDEX('×入力'!$A$1:$L$1300,455+S$3,2+S$2)&lt;&gt;"",INDEX('×入力'!$A$1:$L$1300,454,2+S$2)&lt;&gt;"",INDEX('×入力'!$A$1:$L$1300,455+S$3,1)&lt;&gt;""),1,0),0)</f>
        <v/>
      </c>
      <c r="T26">
        <f>IF(T$4=1,IF(OR(INDEX('×入力'!$A$1:$L$1300,455+T$3,2+T$2)&lt;&gt;"",INDEX('×入力'!$A$1:$L$1300,454,2+T$2)&lt;&gt;"",INDEX('×入力'!$A$1:$L$1300,455+T$3,1)&lt;&gt;""),1,0),0)</f>
        <v/>
      </c>
      <c r="U26">
        <f>IF(U$4=1,IF(OR(INDEX('×入力'!$A$1:$L$1300,455+U$3,2+U$2)&lt;&gt;"",INDEX('×入力'!$A$1:$L$1300,454,2+U$2)&lt;&gt;"",INDEX('×入力'!$A$1:$L$1300,455+U$3,1)&lt;&gt;""),1,0),0)</f>
        <v/>
      </c>
      <c r="V26">
        <f>IF(V$4=1,IF(OR(INDEX('×入力'!$A$1:$L$1300,455+V$3,2+V$2)&lt;&gt;"",INDEX('×入力'!$A$1:$L$1300,454,2+V$2)&lt;&gt;"",INDEX('×入力'!$A$1:$L$1300,455+V$3,1)&lt;&gt;""),1,0),0)</f>
        <v/>
      </c>
      <c r="W26">
        <f>IF(W$4=1,IF(OR(INDEX('×入力'!$A$1:$L$1300,455+W$3,2+W$2)&lt;&gt;"",INDEX('×入力'!$A$1:$L$1300,454,2+W$2)&lt;&gt;"",INDEX('×入力'!$A$1:$L$1300,455+W$3,1)&lt;&gt;""),1,0),0)</f>
        <v/>
      </c>
      <c r="X26">
        <f>IF(X$4=1,IF(OR(INDEX('×入力'!$A$1:$L$1300,455+X$3,2+X$2)&lt;&gt;"",INDEX('×入力'!$A$1:$L$1300,454,2+X$2)&lt;&gt;"",INDEX('×入力'!$A$1:$L$1300,455+X$3,1)&lt;&gt;""),1,0),0)</f>
        <v/>
      </c>
      <c r="Y26">
        <f>IF(Y$4=1,IF(OR(INDEX('×入力'!$A$1:$L$1300,455+Y$3,2+Y$2)&lt;&gt;"",INDEX('×入力'!$A$1:$L$1300,454,2+Y$2)&lt;&gt;"",INDEX('×入力'!$A$1:$L$1300,455+Y$3,1)&lt;&gt;""),1,0),0)</f>
        <v/>
      </c>
      <c r="Z26">
        <f>IF(Z$4=1,IF(OR(INDEX('×入力'!$A$1:$L$1300,455+Z$3,2+Z$2)&lt;&gt;"",INDEX('×入力'!$A$1:$L$1300,454,2+Z$2)&lt;&gt;"",INDEX('×入力'!$A$1:$L$1300,455+Z$3,1)&lt;&gt;""),1,0),0)</f>
        <v/>
      </c>
      <c r="AA26">
        <f>IF(AA$4=1,IF(OR(INDEX('×入力'!$A$1:$L$1300,455+AA$3,2+AA$2)&lt;&gt;"",INDEX('×入力'!$A$1:$L$1300,454,2+AA$2)&lt;&gt;"",INDEX('×入力'!$A$1:$L$1300,455+AA$3,1)&lt;&gt;""),1,0),0)</f>
        <v/>
      </c>
      <c r="AB26">
        <f>IF(AB$4=1,IF(OR(INDEX('×入力'!$A$1:$L$1300,455+AB$3,2+AB$2)&lt;&gt;"",INDEX('×入力'!$A$1:$L$1300,454,2+AB$2)&lt;&gt;"",INDEX('×入力'!$A$1:$L$1300,455+AB$3,1)&lt;&gt;""),1,0),0)</f>
        <v/>
      </c>
      <c r="AC26">
        <f>IF(AC$4=1,IF(OR(INDEX('×入力'!$A$1:$L$1300,455+AC$3,2+AC$2)&lt;&gt;"",INDEX('×入力'!$A$1:$L$1300,454,2+AC$2)&lt;&gt;"",INDEX('×入力'!$A$1:$L$1300,455+AC$3,1)&lt;&gt;""),1,0),0)</f>
        <v/>
      </c>
      <c r="AD26">
        <f>IF(AD$4=1,IF(OR(INDEX('×入力'!$A$1:$L$1300,455+AD$3,2+AD$2)&lt;&gt;"",INDEX('×入力'!$A$1:$L$1300,454,2+AD$2)&lt;&gt;"",INDEX('×入力'!$A$1:$L$1300,455+AD$3,1)&lt;&gt;""),1,0),0)</f>
        <v/>
      </c>
      <c r="AE26">
        <f>IF(AE$4=1,IF(OR(INDEX('×入力'!$A$1:$L$1300,455+AE$3,2+AE$2)&lt;&gt;"",INDEX('×入力'!$A$1:$L$1300,454,2+AE$2)&lt;&gt;"",INDEX('×入力'!$A$1:$L$1300,455+AE$3,1)&lt;&gt;""),1,0),0)</f>
        <v/>
      </c>
      <c r="AF26">
        <f>IF(AF$4=1,IF(OR(INDEX('×入力'!$A$1:$L$1300,455+AF$3,2+AF$2)&lt;&gt;"",INDEX('×入力'!$A$1:$L$1300,454,2+AF$2)&lt;&gt;"",INDEX('×入力'!$A$1:$L$1300,455+AF$3,1)&lt;&gt;""),1,0),0)</f>
        <v/>
      </c>
      <c r="AG26">
        <f>IF(AG$4=1,IF(OR(INDEX('×入力'!$A$1:$L$1300,455+AG$3,2+AG$2)&lt;&gt;"",INDEX('×入力'!$A$1:$L$1300,454,2+AG$2)&lt;&gt;"",INDEX('×入力'!$A$1:$L$1300,455+AG$3,1)&lt;&gt;""),1,0),0)</f>
        <v/>
      </c>
      <c r="AH26">
        <f>IF(AH$4=1,IF(OR(INDEX('×入力'!$A$1:$L$1300,455+AH$3,2+AH$2)&lt;&gt;"",INDEX('×入力'!$A$1:$L$1300,454,2+AH$2)&lt;&gt;"",INDEX('×入力'!$A$1:$L$1300,455+AH$3,1)&lt;&gt;""),1,0),0)</f>
        <v/>
      </c>
      <c r="AI26">
        <f>IF(AI$4=1,IF(OR(INDEX('×入力'!$A$1:$L$1300,455+AI$3,2+AI$2)&lt;&gt;"",INDEX('×入力'!$A$1:$L$1300,454,2+AI$2)&lt;&gt;"",INDEX('×入力'!$A$1:$L$1300,455+AI$3,1)&lt;&gt;""),1,0),0)</f>
        <v/>
      </c>
      <c r="AJ26">
        <f>IF(AJ$4=1,IF(OR(INDEX('×入力'!$A$1:$L$1300,455+AJ$3,2+AJ$2)&lt;&gt;"",INDEX('×入力'!$A$1:$L$1300,454,2+AJ$2)&lt;&gt;"",INDEX('×入力'!$A$1:$L$1300,455+AJ$3,1)&lt;&gt;""),1,0),0)</f>
        <v/>
      </c>
      <c r="AK26">
        <f>IF(AK$4=1,IF(OR(INDEX('×入力'!$A$1:$L$1300,455+AK$3,2+AK$2)&lt;&gt;"",INDEX('×入力'!$A$1:$L$1300,454,2+AK$2)&lt;&gt;"",INDEX('×入力'!$A$1:$L$1300,455+AK$3,1)&lt;&gt;""),1,0),0)</f>
        <v/>
      </c>
      <c r="AL26">
        <f>IF(AL$4=1,IF(OR(INDEX('×入力'!$A$1:$L$1300,455+AL$3,2+AL$2)&lt;&gt;"",INDEX('×入力'!$A$1:$L$1300,454,2+AL$2)&lt;&gt;"",INDEX('×入力'!$A$1:$L$1300,455+AL$3,1)&lt;&gt;""),1,0),0)</f>
        <v/>
      </c>
      <c r="AM26">
        <f>IF(AM$4=1,IF(OR(INDEX('×入力'!$A$1:$L$1300,455+AM$3,2+AM$2)&lt;&gt;"",INDEX('×入力'!$A$1:$L$1300,454,2+AM$2)&lt;&gt;"",INDEX('×入力'!$A$1:$L$1300,455+AM$3,1)&lt;&gt;""),1,0),0)</f>
        <v/>
      </c>
      <c r="AN26">
        <f>IF(AN$4=1,IF(OR(INDEX('×入力'!$A$1:$L$1300,455+AN$3,2+AN$2)&lt;&gt;"",INDEX('×入力'!$A$1:$L$1300,454,2+AN$2)&lt;&gt;"",INDEX('×入力'!$A$1:$L$1300,455+AN$3,1)&lt;&gt;""),1,0),0)</f>
        <v/>
      </c>
      <c r="AO26">
        <f>IF(AO$4=1,IF(OR(INDEX('×入力'!$A$1:$L$1300,455+AO$3,2+AO$2)&lt;&gt;"",INDEX('×入力'!$A$1:$L$1300,454,2+AO$2)&lt;&gt;"",INDEX('×入力'!$A$1:$L$1300,455+AO$3,1)&lt;&gt;""),1,0),0)</f>
        <v/>
      </c>
      <c r="AP26">
        <f>IF(AP$4=1,IF(OR(INDEX('×入力'!$A$1:$L$1300,455+AP$3,2+AP$2)&lt;&gt;"",INDEX('×入力'!$A$1:$L$1300,454,2+AP$2)&lt;&gt;"",INDEX('×入力'!$A$1:$L$1300,455+AP$3,1)&lt;&gt;""),1,0),0)</f>
        <v/>
      </c>
      <c r="AQ26">
        <f>IF(AQ$4=1,IF(OR(INDEX('×入力'!$A$1:$L$1300,455+AQ$3,2+AQ$2)&lt;&gt;"",INDEX('×入力'!$A$1:$L$1300,454,2+AQ$2)&lt;&gt;"",INDEX('×入力'!$A$1:$L$1300,455+AQ$3,1)&lt;&gt;""),1,0),0)</f>
        <v/>
      </c>
      <c r="AR26">
        <f>IF(AR$4=1,IF(OR(INDEX('×入力'!$A$1:$L$1300,455+AR$3,2+AR$2)&lt;&gt;"",INDEX('×入力'!$A$1:$L$1300,454,2+AR$2)&lt;&gt;"",INDEX('×入力'!$A$1:$L$1300,455+AR$3,1)&lt;&gt;""),1,0),0)</f>
        <v/>
      </c>
      <c r="AS26">
        <f>IF(AS$4=1,IF(OR(INDEX('×入力'!$A$1:$L$1300,455+AS$3,2+AS$2)&lt;&gt;"",INDEX('×入力'!$A$1:$L$1300,454,2+AS$2)&lt;&gt;"",INDEX('×入力'!$A$1:$L$1300,455+AS$3,1)&lt;&gt;""),1,0),0)</f>
        <v/>
      </c>
      <c r="AT26">
        <f>IF(AT$4=1,IF(OR(INDEX('×入力'!$A$1:$L$1300,455+AT$3,2+AT$2)&lt;&gt;"",INDEX('×入力'!$A$1:$L$1300,454,2+AT$2)&lt;&gt;"",INDEX('×入力'!$A$1:$L$1300,455+AT$3,1)&lt;&gt;""),1,0),0)</f>
        <v/>
      </c>
      <c r="AU26">
        <f>IF(AU$4=1,IF(OR(INDEX('×入力'!$A$1:$L$1300,455+AU$3,2+AU$2)&lt;&gt;"",INDEX('×入力'!$A$1:$L$1300,454,2+AU$2)&lt;&gt;"",INDEX('×入力'!$A$1:$L$1300,455+AU$3,1)&lt;&gt;""),1,0),0)</f>
        <v/>
      </c>
      <c r="AV26">
        <f>IF(AV$4=1,IF(OR(INDEX('×入力'!$A$1:$L$1300,455+AV$3,2+AV$2)&lt;&gt;"",INDEX('×入力'!$A$1:$L$1300,454,2+AV$2)&lt;&gt;"",INDEX('×入力'!$A$1:$L$1300,455+AV$3,1)&lt;&gt;""),1,0),0)</f>
        <v/>
      </c>
      <c r="AW26">
        <f>IF(AW$4=1,IF(OR(INDEX('×入力'!$A$1:$L$1300,455+AW$3,2+AW$2)&lt;&gt;"",INDEX('×入力'!$A$1:$L$1300,454,2+AW$2)&lt;&gt;"",INDEX('×入力'!$A$1:$L$1300,455+AW$3,1)&lt;&gt;""),1,0),0)</f>
        <v/>
      </c>
      <c r="AX26">
        <f>IF(AX$4=1,IF(OR(INDEX('×入力'!$A$1:$L$1300,455+AX$3,2+AX$2)&lt;&gt;"",INDEX('×入力'!$A$1:$L$1300,454,2+AX$2)&lt;&gt;"",INDEX('×入力'!$A$1:$L$1300,455+AX$3,1)&lt;&gt;""),1,0),0)</f>
        <v/>
      </c>
      <c r="AY26">
        <f>IF(AY$4=1,IF(OR(INDEX('×入力'!$A$1:$L$1300,455+AY$3,2+AY$2)&lt;&gt;"",INDEX('×入力'!$A$1:$L$1300,454,2+AY$2)&lt;&gt;"",INDEX('×入力'!$A$1:$L$1300,455+AY$3,1)&lt;&gt;""),1,0),0)</f>
        <v/>
      </c>
      <c r="AZ26">
        <f>IF(AZ$4=1,IF(OR(INDEX('×入力'!$A$1:$L$1300,455+AZ$3,2+AZ$2)&lt;&gt;"",INDEX('×入力'!$A$1:$L$1300,454,2+AZ$2)&lt;&gt;"",INDEX('×入力'!$A$1:$L$1300,455+AZ$3,1)&lt;&gt;""),1,0),0)</f>
        <v/>
      </c>
      <c r="BA26">
        <f>IF(BA$4=1,IF(OR(INDEX('×入力'!$A$1:$L$1300,455+BA$3,2+BA$2)&lt;&gt;"",INDEX('×入力'!$A$1:$L$1300,454,2+BA$2)&lt;&gt;"",INDEX('×入力'!$A$1:$L$1300,455+BA$3,1)&lt;&gt;""),1,0),0)</f>
        <v/>
      </c>
      <c r="BB26">
        <f>IF(BB$4=1,IF(OR(INDEX('×入力'!$A$1:$L$1300,455+BB$3,2+BB$2)&lt;&gt;"",INDEX('×入力'!$A$1:$L$1300,454,2+BB$2)&lt;&gt;"",INDEX('×入力'!$A$1:$L$1300,455+BB$3,1)&lt;&gt;""),1,0),0)</f>
        <v/>
      </c>
      <c r="BC26">
        <f>IF(BC$4=1,IF(OR(INDEX('×入力'!$A$1:$L$1300,455+BC$3,2+BC$2)&lt;&gt;"",INDEX('×入力'!$A$1:$L$1300,454,2+BC$2)&lt;&gt;"",INDEX('×入力'!$A$1:$L$1300,455+BC$3,1)&lt;&gt;""),1,0),0)</f>
        <v/>
      </c>
      <c r="BD26">
        <f>IF(BD$4=1,IF(OR(INDEX('×入力'!$A$1:$L$1300,455+BD$3,2+BD$2)&lt;&gt;"",INDEX('×入力'!$A$1:$L$1300,454,2+BD$2)&lt;&gt;"",INDEX('×入力'!$A$1:$L$1300,455+BD$3,1)&lt;&gt;""),1,0),0)</f>
        <v/>
      </c>
      <c r="BE26">
        <f>IF(BE$4=1,IF(OR(INDEX('×入力'!$A$1:$L$1300,455+BE$3,2+BE$2)&lt;&gt;"",INDEX('×入力'!$A$1:$L$1300,454,2+BE$2)&lt;&gt;"",INDEX('×入力'!$A$1:$L$1300,455+BE$3,1)&lt;&gt;""),1,0),0)</f>
        <v/>
      </c>
      <c r="BF26">
        <f>IF(BF$4=1,IF(OR(INDEX('×入力'!$A$1:$L$1300,455+BF$3,2+BF$2)&lt;&gt;"",INDEX('×入力'!$A$1:$L$1300,454,2+BF$2)&lt;&gt;"",INDEX('×入力'!$A$1:$L$1300,455+BF$3,1)&lt;&gt;""),1,0),0)</f>
        <v/>
      </c>
      <c r="BG26">
        <f>IF(BG$4=1,IF(OR(INDEX('×入力'!$A$1:$L$1300,455+BG$3,2+BG$2)&lt;&gt;"",INDEX('×入力'!$A$1:$L$1300,454,2+BG$2)&lt;&gt;"",INDEX('×入力'!$A$1:$L$1300,455+BG$3,1)&lt;&gt;""),1,0),0)</f>
        <v/>
      </c>
      <c r="BH26">
        <f>IF(BH$4=1,IF(OR(INDEX('×入力'!$A$1:$L$1300,455+BH$3,2+BH$2)&lt;&gt;"",INDEX('×入力'!$A$1:$L$1300,454,2+BH$2)&lt;&gt;"",INDEX('×入力'!$A$1:$L$1300,455+BH$3,1)&lt;&gt;""),1,0),0)</f>
        <v/>
      </c>
      <c r="BI26">
        <f>IF(BI$4=1,IF(OR(INDEX('×入力'!$A$1:$L$1300,455+BI$3,2+BI$2)&lt;&gt;"",INDEX('×入力'!$A$1:$L$1300,454,2+BI$2)&lt;&gt;"",INDEX('×入力'!$A$1:$L$1300,455+BI$3,1)&lt;&gt;""),1,0),0)</f>
        <v/>
      </c>
      <c r="BJ26">
        <f>IF(BJ$4=1,IF(OR(INDEX('×入力'!$A$1:$L$1300,455+BJ$3,2+BJ$2)&lt;&gt;"",INDEX('×入力'!$A$1:$L$1300,454,2+BJ$2)&lt;&gt;"",INDEX('×入力'!$A$1:$L$1300,455+BJ$3,1)&lt;&gt;""),1,0),0)</f>
        <v/>
      </c>
      <c r="BK26">
        <f>IF(BK$4=1,IF(OR(INDEX('×入力'!$A$1:$L$1300,455+BK$3,2+BK$2)&lt;&gt;"",INDEX('×入力'!$A$1:$L$1300,454,2+BK$2)&lt;&gt;"",INDEX('×入力'!$A$1:$L$1300,455+BK$3,1)&lt;&gt;""),1,0),0)</f>
        <v/>
      </c>
      <c r="BL26">
        <f>IF(BL$4=1,IF(OR(INDEX('×入力'!$A$1:$L$1300,455+BL$3,2+BL$2)&lt;&gt;"",INDEX('×入力'!$A$1:$L$1300,454,2+BL$2)&lt;&gt;"",INDEX('×入力'!$A$1:$L$1300,455+BL$3,1)&lt;&gt;""),1,0),0)</f>
        <v/>
      </c>
      <c r="BM26">
        <f>IF(BM$4=1,IF(OR(INDEX('×入力'!$A$1:$L$1300,455+BM$3,2+BM$2)&lt;&gt;"",INDEX('×入力'!$A$1:$L$1300,454,2+BM$2)&lt;&gt;"",INDEX('×入力'!$A$1:$L$1300,455+BM$3,1)&lt;&gt;""),1,0),0)</f>
        <v/>
      </c>
      <c r="BN26">
        <f>IF(BN$4=1,IF(OR(INDEX('×入力'!$A$1:$L$1300,455+BN$3,2+BN$2)&lt;&gt;"",INDEX('×入力'!$A$1:$L$1300,454,2+BN$2)&lt;&gt;"",INDEX('×入力'!$A$1:$L$1300,455+BN$3,1)&lt;&gt;""),1,0),0)</f>
        <v/>
      </c>
      <c r="BO26">
        <f>IF(BO$4=1,IF(OR(INDEX('×入力'!$A$1:$L$1300,455+BO$3,2+BO$2)&lt;&gt;"",INDEX('×入力'!$A$1:$L$1300,454,2+BO$2)&lt;&gt;"",INDEX('×入力'!$A$1:$L$1300,455+BO$3,1)&lt;&gt;""),1,0),0)</f>
        <v/>
      </c>
      <c r="BP26">
        <f>IF(BP$4=1,IF(OR(INDEX('×入力'!$A$1:$L$1300,455+BP$3,2+BP$2)&lt;&gt;"",INDEX('×入力'!$A$1:$L$1300,454,2+BP$2)&lt;&gt;"",INDEX('×入力'!$A$1:$L$1300,455+BP$3,1)&lt;&gt;""),1,0),0)</f>
        <v/>
      </c>
      <c r="BQ26">
        <f>IF(BQ$4=1,IF(OR(INDEX('×入力'!$A$1:$L$1300,455+BQ$3,2+BQ$2)&lt;&gt;"",INDEX('×入力'!$A$1:$L$1300,454,2+BQ$2)&lt;&gt;"",INDEX('×入力'!$A$1:$L$1300,455+BQ$3,1)&lt;&gt;""),1,0),0)</f>
        <v/>
      </c>
      <c r="BR26">
        <f>IF(BR$4=1,IF(OR(INDEX('×入力'!$A$1:$L$1300,455+BR$3,2+BR$2)&lt;&gt;"",INDEX('×入力'!$A$1:$L$1300,454,2+BR$2)&lt;&gt;"",INDEX('×入力'!$A$1:$L$1300,455+BR$3,1)&lt;&gt;""),1,0),0)</f>
        <v/>
      </c>
      <c r="BS26">
        <f>IF(BS$4=1,IF(OR(INDEX('×入力'!$A$1:$L$1300,455+BS$3,2+BS$2)&lt;&gt;"",INDEX('×入力'!$A$1:$L$1300,454,2+BS$2)&lt;&gt;"",INDEX('×入力'!$A$1:$L$1300,455+BS$3,1)&lt;&gt;""),1,0),0)</f>
        <v/>
      </c>
      <c r="BT26">
        <f>IF(BT$4=1,IF(OR(INDEX('×入力'!$A$1:$L$1300,455+BT$3,2+BT$2)&lt;&gt;"",INDEX('×入力'!$A$1:$L$1300,454,2+BT$2)&lt;&gt;"",INDEX('×入力'!$A$1:$L$1300,455+BT$3,1)&lt;&gt;""),1,0),0)</f>
        <v/>
      </c>
      <c r="BU26">
        <f>IF(BU$4=1,IF(OR(INDEX('×入力'!$A$1:$L$1300,455+BU$3,2+BU$2)&lt;&gt;"",INDEX('×入力'!$A$1:$L$1300,454,2+BU$2)&lt;&gt;"",INDEX('×入力'!$A$1:$L$1300,455+BU$3,1)&lt;&gt;""),1,0),0)</f>
        <v/>
      </c>
      <c r="BV26">
        <f>IF(BV$4=1,IF(OR(INDEX('×入力'!$A$1:$L$1300,455+BV$3,2+BV$2)&lt;&gt;"",INDEX('×入力'!$A$1:$L$1300,454,2+BV$2)&lt;&gt;"",INDEX('×入力'!$A$1:$L$1300,455+BV$3,1)&lt;&gt;""),1,0),0)</f>
        <v/>
      </c>
      <c r="BW26">
        <f>IF(BW$4=1,IF(OR(INDEX('×入力'!$A$1:$L$1300,455+BW$3,2+BW$2)&lt;&gt;"",INDEX('×入力'!$A$1:$L$1300,454,2+BW$2)&lt;&gt;"",INDEX('×入力'!$A$1:$L$1300,455+BW$3,1)&lt;&gt;""),1,0),0)</f>
        <v/>
      </c>
      <c r="BX26">
        <f>IF(BX$4=1,IF(OR(INDEX('×入力'!$A$1:$L$1300,455+BX$3,2+BX$2)&lt;&gt;"",INDEX('×入力'!$A$1:$L$1300,454,2+BX$2)&lt;&gt;"",INDEX('×入力'!$A$1:$L$1300,455+BX$3,1)&lt;&gt;""),1,0),0)</f>
        <v/>
      </c>
      <c r="BY26">
        <f>IF(BY$4=1,IF(OR(INDEX('×入力'!$A$1:$L$1300,455+BY$3,2+BY$2)&lt;&gt;"",INDEX('×入力'!$A$1:$L$1300,454,2+BY$2)&lt;&gt;"",INDEX('×入力'!$A$1:$L$1300,455+BY$3,1)&lt;&gt;""),1,0),0)</f>
        <v/>
      </c>
      <c r="BZ26">
        <f>IF(BZ$4=1,IF(OR(INDEX('×入力'!$A$1:$L$1300,455+BZ$3,2+BZ$2)&lt;&gt;"",INDEX('×入力'!$A$1:$L$1300,454,2+BZ$2)&lt;&gt;"",INDEX('×入力'!$A$1:$L$1300,455+BZ$3,1)&lt;&gt;""),1,0),0)</f>
        <v/>
      </c>
      <c r="CA26">
        <f>IF(CA$4=1,IF(OR(INDEX('×入力'!$A$1:$L$1300,455+CA$3,2+CA$2)&lt;&gt;"",INDEX('×入力'!$A$1:$L$1300,454,2+CA$2)&lt;&gt;"",INDEX('×入力'!$A$1:$L$1300,455+CA$3,1)&lt;&gt;""),1,0),0)</f>
        <v/>
      </c>
      <c r="CB26">
        <f>IF(CB$4=1,IF(OR(INDEX('×入力'!$A$1:$L$1300,455+CB$3,2+CB$2)&lt;&gt;"",INDEX('×入力'!$A$1:$L$1300,454,2+CB$2)&lt;&gt;"",INDEX('×入力'!$A$1:$L$1300,455+CB$3,1)&lt;&gt;""),1,0),0)</f>
        <v/>
      </c>
      <c r="CC26">
        <f>IF(CC$4=1,IF(OR(INDEX('×入力'!$A$1:$L$1300,455+CC$3,2+CC$2)&lt;&gt;"",INDEX('×入力'!$A$1:$L$1300,454,2+CC$2)&lt;&gt;"",INDEX('×入力'!$A$1:$L$1300,455+CC$3,1)&lt;&gt;""),1,0),0)</f>
        <v/>
      </c>
      <c r="CD26">
        <f>IF(CD$4=1,IF(OR(INDEX('×入力'!$A$1:$L$1300,455+CD$3,2+CD$2)&lt;&gt;"",INDEX('×入力'!$A$1:$L$1300,454,2+CD$2)&lt;&gt;"",INDEX('×入力'!$A$1:$L$1300,455+CD$3,1)&lt;&gt;""),1,0),0)</f>
        <v/>
      </c>
      <c r="CE26">
        <f>IF(CE$4=1,IF(OR(INDEX('×入力'!$A$1:$L$1300,455+CE$3,2+CE$2)&lt;&gt;"",INDEX('×入力'!$A$1:$L$1300,454,2+CE$2)&lt;&gt;"",INDEX('×入力'!$A$1:$L$1300,455+CE$3,1)&lt;&gt;""),1,0),0)</f>
        <v/>
      </c>
      <c r="CF26">
        <f>IF(CF$4=1,IF(OR(INDEX('×入力'!$A$1:$L$1300,455+CF$3,2+CF$2)&lt;&gt;"",INDEX('×入力'!$A$1:$L$1300,454,2+CF$2)&lt;&gt;"",INDEX('×入力'!$A$1:$L$1300,455+CF$3,1)&lt;&gt;""),1,0),0)</f>
        <v/>
      </c>
      <c r="CG26">
        <f>IF(CG$4=1,IF(OR(INDEX('×入力'!$A$1:$L$1300,455+CG$3,2+CG$2)&lt;&gt;"",INDEX('×入力'!$A$1:$L$1300,454,2+CG$2)&lt;&gt;"",INDEX('×入力'!$A$1:$L$1300,455+CG$3,1)&lt;&gt;""),1,0),0)</f>
        <v/>
      </c>
      <c r="CH26">
        <f>IF(CH$4=1,IF(OR(INDEX('×入力'!$A$1:$L$1300,455+CH$3,2+CH$2)&lt;&gt;"",INDEX('×入力'!$A$1:$L$1300,454,2+CH$2)&lt;&gt;"",INDEX('×入力'!$A$1:$L$1300,455+CH$3,1)&lt;&gt;""),1,0),0)</f>
        <v/>
      </c>
      <c r="CI26">
        <f>IF(CI$4=1,IF(OR(INDEX('×入力'!$A$1:$L$1300,455+CI$3,2+CI$2)&lt;&gt;"",INDEX('×入力'!$A$1:$L$1300,454,2+CI$2)&lt;&gt;"",INDEX('×入力'!$A$1:$L$1300,455+CI$3,1)&lt;&gt;""),1,0),0)</f>
        <v/>
      </c>
      <c r="CJ26">
        <f>IF(CJ$4=1,IF(OR(INDEX('×入力'!$A$1:$L$1300,455+CJ$3,2+CJ$2)&lt;&gt;"",INDEX('×入力'!$A$1:$L$1300,454,2+CJ$2)&lt;&gt;"",INDEX('×入力'!$A$1:$L$1300,455+CJ$3,1)&lt;&gt;""),1,0),0)</f>
        <v/>
      </c>
      <c r="CK26">
        <f>IF(CK$4=1,IF(OR(INDEX('×入力'!$A$1:$L$1300,455+CK$3,2+CK$2)&lt;&gt;"",INDEX('×入力'!$A$1:$L$1300,454,2+CK$2)&lt;&gt;"",INDEX('×入力'!$A$1:$L$1300,455+CK$3,1)&lt;&gt;""),1,0),0)</f>
        <v/>
      </c>
      <c r="CL26">
        <f>IF(CL$4=1,IF(OR(INDEX('×入力'!$A$1:$L$1300,455+CL$3,2+CL$2)&lt;&gt;"",INDEX('×入力'!$A$1:$L$1300,454,2+CL$2)&lt;&gt;"",INDEX('×入力'!$A$1:$L$1300,455+CL$3,1)&lt;&gt;""),1,0),0)</f>
        <v/>
      </c>
      <c r="CM26">
        <f>IF(CM$4=1,IF(OR(INDEX('×入力'!$A$1:$L$1300,455+CM$3,2+CM$2)&lt;&gt;"",INDEX('×入力'!$A$1:$L$1300,454,2+CM$2)&lt;&gt;"",INDEX('×入力'!$A$1:$L$1300,455+CM$3,1)&lt;&gt;""),1,0),0)</f>
        <v/>
      </c>
      <c r="CN26">
        <f>IF(CN$4=1,IF(OR(INDEX('×入力'!$A$1:$L$1300,455+CN$3,2+CN$2)&lt;&gt;"",INDEX('×入力'!$A$1:$L$1300,454,2+CN$2)&lt;&gt;"",INDEX('×入力'!$A$1:$L$1300,455+CN$3,1)&lt;&gt;""),1,0),0)</f>
        <v/>
      </c>
      <c r="CO26">
        <f>IF(CO$4=1,IF(OR(INDEX('×入力'!$A$1:$L$1300,455+CO$3,2+CO$2)&lt;&gt;"",INDEX('×入力'!$A$1:$L$1300,454,2+CO$2)&lt;&gt;"",INDEX('×入力'!$A$1:$L$1300,455+CO$3,1)&lt;&gt;""),1,0),0)</f>
        <v/>
      </c>
      <c r="CP26">
        <f>IF(CP$4=1,IF(OR(INDEX('×入力'!$A$1:$L$1300,455+CP$3,2+CP$2)&lt;&gt;"",INDEX('×入力'!$A$1:$L$1300,454,2+CP$2)&lt;&gt;"",INDEX('×入力'!$A$1:$L$1300,455+CP$3,1)&lt;&gt;""),1,0),0)</f>
        <v/>
      </c>
      <c r="CQ26">
        <f>IF(CQ$4=1,IF(OR(INDEX('×入力'!$A$1:$L$1300,455+CQ$3,2+CQ$2)&lt;&gt;"",INDEX('×入力'!$A$1:$L$1300,454,2+CQ$2)&lt;&gt;"",INDEX('×入力'!$A$1:$L$1300,455+CQ$3,1)&lt;&gt;""),1,0),0)</f>
        <v/>
      </c>
      <c r="CR26">
        <f>IF(CR$4=1,IF(OR(INDEX('×入力'!$A$1:$L$1300,455+CR$3,2+CR$2)&lt;&gt;"",INDEX('×入力'!$A$1:$L$1300,454,2+CR$2)&lt;&gt;"",INDEX('×入力'!$A$1:$L$1300,455+CR$3,1)&lt;&gt;""),1,0),0)</f>
        <v/>
      </c>
      <c r="CS26">
        <f>IF(CS$4=1,IF(OR(INDEX('×入力'!$A$1:$L$1300,455+CS$3,2+CS$2)&lt;&gt;"",INDEX('×入力'!$A$1:$L$1300,454,2+CS$2)&lt;&gt;"",INDEX('×入力'!$A$1:$L$1300,455+CS$3,1)&lt;&gt;""),1,0),0)</f>
        <v/>
      </c>
      <c r="CT26">
        <f>IF(CT$4=1,IF(OR(INDEX('×入力'!$A$1:$L$1300,455+CT$3,2+CT$2)&lt;&gt;"",INDEX('×入力'!$A$1:$L$1300,454,2+CT$2)&lt;&gt;"",INDEX('×入力'!$A$1:$L$1300,455+CT$3,1)&lt;&gt;""),1,0),0)</f>
        <v/>
      </c>
      <c r="CU26">
        <f>IF(CU$4=1,IF(OR(INDEX('×入力'!$A$1:$L$1300,455+CU$3,2+CU$2)&lt;&gt;"",INDEX('×入力'!$A$1:$L$1300,454,2+CU$2)&lt;&gt;"",INDEX('×入力'!$A$1:$L$1300,455+CU$3,1)&lt;&gt;""),1,0),0)</f>
        <v/>
      </c>
      <c r="CV26">
        <f>IF(CV$4=1,IF(OR(INDEX('×入力'!$A$1:$L$1300,455+CV$3,2+CV$2)&lt;&gt;"",INDEX('×入力'!$A$1:$L$1300,454,2+CV$2)&lt;&gt;"",INDEX('×入力'!$A$1:$L$1300,455+CV$3,1)&lt;&gt;""),1,0),0)</f>
        <v/>
      </c>
      <c r="CW26">
        <f>IF(CW$4=1,IF(OR(INDEX('×入力'!$A$1:$L$1300,455+CW$3,2+CW$2)&lt;&gt;"",INDEX('×入力'!$A$1:$L$1300,454,2+CW$2)&lt;&gt;"",INDEX('×入力'!$A$1:$L$1300,455+CW$3,1)&lt;&gt;""),1,0),0)</f>
        <v/>
      </c>
      <c r="CX26">
        <f>IF(CX$4=1,IF(OR(INDEX('×入力'!$A$1:$L$1300,455+CX$3,2+CX$2)&lt;&gt;"",INDEX('×入力'!$A$1:$L$1300,454,2+CX$2)&lt;&gt;"",INDEX('×入力'!$A$1:$L$1300,455+CX$3,1)&lt;&gt;""),1,0),0)</f>
        <v/>
      </c>
      <c r="CY26">
        <f>IF(CY$4=1,IF(OR(INDEX('×入力'!$A$1:$L$1300,455+CY$3,2+CY$2)&lt;&gt;"",INDEX('×入力'!$A$1:$L$1300,454,2+CY$2)&lt;&gt;"",INDEX('×入力'!$A$1:$L$1300,455+CY$3,1)&lt;&gt;""),1,0),0)</f>
        <v/>
      </c>
      <c r="CZ26">
        <f>IF(CZ$4=1,IF(OR(INDEX('×入力'!$A$1:$L$1300,455+CZ$3,2+CZ$2)&lt;&gt;"",INDEX('×入力'!$A$1:$L$1300,454,2+CZ$2)&lt;&gt;"",INDEX('×入力'!$A$1:$L$1300,455+CZ$3,1)&lt;&gt;""),1,0),0)</f>
        <v/>
      </c>
      <c r="DA26">
        <f>IF(DA$4=1,IF(OR(INDEX('×入力'!$A$1:$L$1300,455+DA$3,2+DA$2)&lt;&gt;"",INDEX('×入力'!$A$1:$L$1300,454,2+DA$2)&lt;&gt;"",INDEX('×入力'!$A$1:$L$1300,455+DA$3,1)&lt;&gt;""),1,0),0)</f>
        <v/>
      </c>
      <c r="DB26">
        <f>IF(DB$4=1,IF(OR(INDEX('×入力'!$A$1:$L$1300,455+DB$3,2+DB$2)&lt;&gt;"",INDEX('×入力'!$A$1:$L$1300,454,2+DB$2)&lt;&gt;"",INDEX('×入力'!$A$1:$L$1300,455+DB$3,1)&lt;&gt;""),1,0),0)</f>
        <v/>
      </c>
      <c r="DC26">
        <f>IF(DC$4=1,IF(OR(INDEX('×入力'!$A$1:$L$1300,455+DC$3,2+DC$2)&lt;&gt;"",INDEX('×入力'!$A$1:$L$1300,454,2+DC$2)&lt;&gt;"",INDEX('×入力'!$A$1:$L$1300,455+DC$3,1)&lt;&gt;""),1,0),0)</f>
        <v/>
      </c>
      <c r="DD26">
        <f>IF(DD$4=1,IF(OR(INDEX('×入力'!$A$1:$L$1300,455+DD$3,2+DD$2)&lt;&gt;"",INDEX('×入力'!$A$1:$L$1300,454,2+DD$2)&lt;&gt;"",INDEX('×入力'!$A$1:$L$1300,455+DD$3,1)&lt;&gt;""),1,0),0)</f>
        <v/>
      </c>
      <c r="DE26">
        <f>IF(DE$4=1,IF(OR(INDEX('×入力'!$A$1:$L$1300,455+DE$3,2+DE$2)&lt;&gt;"",INDEX('×入力'!$A$1:$L$1300,454,2+DE$2)&lt;&gt;"",INDEX('×入力'!$A$1:$L$1300,455+DE$3,1)&lt;&gt;""),1,0),0)</f>
        <v/>
      </c>
      <c r="DF26">
        <f>IF(DF$4=1,IF(OR(INDEX('×入力'!$A$1:$L$1300,455+DF$3,2+DF$2)&lt;&gt;"",INDEX('×入力'!$A$1:$L$1300,454,2+DF$2)&lt;&gt;"",INDEX('×入力'!$A$1:$L$1300,455+DF$3,1)&lt;&gt;""),1,0),0)</f>
        <v/>
      </c>
      <c r="DG26">
        <f>IF(DG$4=1,IF(OR(INDEX('×入力'!$A$1:$L$1300,455+DG$3,2+DG$2)&lt;&gt;"",INDEX('×入力'!$A$1:$L$1300,454,2+DG$2)&lt;&gt;"",INDEX('×入力'!$A$1:$L$1300,455+DG$3,1)&lt;&gt;""),1,0),0)</f>
        <v/>
      </c>
      <c r="DH26">
        <f>IF(DH$4=1,IF(OR(INDEX('×入力'!$A$1:$L$1300,455+DH$3,2+DH$2)&lt;&gt;"",INDEX('×入力'!$A$1:$L$1300,454,2+DH$2)&lt;&gt;"",INDEX('×入力'!$A$1:$L$1300,455+DH$3,1)&lt;&gt;""),1,0),0)</f>
        <v/>
      </c>
      <c r="DI26">
        <f>IF(DI$4=1,IF(OR(INDEX('×入力'!$A$1:$L$1300,455+DI$3,2+DI$2)&lt;&gt;"",INDEX('×入力'!$A$1:$L$1300,454,2+DI$2)&lt;&gt;"",INDEX('×入力'!$A$1:$L$1300,455+DI$3,1)&lt;&gt;""),1,0),0)</f>
        <v/>
      </c>
      <c r="DJ26">
        <f>IF(DJ$4=1,IF(OR(INDEX('×入力'!$A$1:$L$1300,455+DJ$3,2+DJ$2)&lt;&gt;"",INDEX('×入力'!$A$1:$L$1300,454,2+DJ$2)&lt;&gt;"",INDEX('×入力'!$A$1:$L$1300,455+DJ$3,1)&lt;&gt;""),1,0),0)</f>
        <v/>
      </c>
      <c r="DK26">
        <f>IF(DK$4=1,IF(OR(INDEX('×入力'!$A$1:$L$1300,455+DK$3,2+DK$2)&lt;&gt;"",INDEX('×入力'!$A$1:$L$1300,454,2+DK$2)&lt;&gt;"",INDEX('×入力'!$A$1:$L$1300,455+DK$3,1)&lt;&gt;""),1,0),0)</f>
        <v/>
      </c>
      <c r="DL26">
        <f>IF(DL$4=1,IF(OR(INDEX('×入力'!$A$1:$L$1300,455+DL$3,2+DL$2)&lt;&gt;"",INDEX('×入力'!$A$1:$L$1300,454,2+DL$2)&lt;&gt;"",INDEX('×入力'!$A$1:$L$1300,455+DL$3,1)&lt;&gt;""),1,0),0)</f>
        <v/>
      </c>
      <c r="DM26">
        <f>IF(DM$4=1,IF(OR(INDEX('×入力'!$A$1:$L$1300,455+DM$3,2+DM$2)&lt;&gt;"",INDEX('×入力'!$A$1:$L$1300,454,2+DM$2)&lt;&gt;"",INDEX('×入力'!$A$1:$L$1300,455+DM$3,1)&lt;&gt;""),1,0),0)</f>
        <v/>
      </c>
      <c r="DN26">
        <f>IF(DN$4=1,IF(OR(INDEX('×入力'!$A$1:$L$1300,455+DN$3,2+DN$2)&lt;&gt;"",INDEX('×入力'!$A$1:$L$1300,454,2+DN$2)&lt;&gt;"",INDEX('×入力'!$A$1:$L$1300,455+DN$3,1)&lt;&gt;""),1,0),0)</f>
        <v/>
      </c>
      <c r="DO26">
        <f>IF(DO$4=1,IF(OR(INDEX('×入力'!$A$1:$L$1300,455+DO$3,2+DO$2)&lt;&gt;"",INDEX('×入力'!$A$1:$L$1300,454,2+DO$2)&lt;&gt;"",INDEX('×入力'!$A$1:$L$1300,455+DO$3,1)&lt;&gt;""),1,0),0)</f>
        <v/>
      </c>
      <c r="DP26">
        <f>IF(DP$4=1,IF(OR(INDEX('×入力'!$A$1:$L$1300,455+DP$3,2+DP$2)&lt;&gt;"",INDEX('×入力'!$A$1:$L$1300,454,2+DP$2)&lt;&gt;"",INDEX('×入力'!$A$1:$L$1300,455+DP$3,1)&lt;&gt;""),1,0),0)</f>
        <v/>
      </c>
      <c r="DQ26">
        <f>IF(DQ$4=1,IF(OR(INDEX('×入力'!$A$1:$L$1300,455+DQ$3,2+DQ$2)&lt;&gt;"",INDEX('×入力'!$A$1:$L$1300,454,2+DQ$2)&lt;&gt;"",INDEX('×入力'!$A$1:$L$1300,455+DQ$3,1)&lt;&gt;""),1,0),0)</f>
        <v/>
      </c>
      <c r="DR26">
        <f>IF(DR$4=1,IF(OR(INDEX('×入力'!$A$1:$L$1300,455+DR$3,2+DR$2)&lt;&gt;"",INDEX('×入力'!$A$1:$L$1300,454,2+DR$2)&lt;&gt;"",INDEX('×入力'!$A$1:$L$1300,455+DR$3,1)&lt;&gt;""),1,0),0)</f>
        <v/>
      </c>
      <c r="DS26">
        <f>IF(DS$4=1,IF(OR(INDEX('×入力'!$A$1:$L$1300,455+DS$3,2+DS$2)&lt;&gt;"",INDEX('×入力'!$A$1:$L$1300,454,2+DS$2)&lt;&gt;"",INDEX('×入力'!$A$1:$L$1300,455+DS$3,1)&lt;&gt;""),1,0),0)</f>
        <v/>
      </c>
      <c r="DT26">
        <f>IF(DT$4=1,IF(OR(INDEX('×入力'!$A$1:$L$1300,455+DT$3,2+DT$2)&lt;&gt;"",INDEX('×入力'!$A$1:$L$1300,454,2+DT$2)&lt;&gt;"",INDEX('×入力'!$A$1:$L$1300,455+DT$3,1)&lt;&gt;""),1,0),0)</f>
        <v/>
      </c>
      <c r="DU26">
        <f>IF(DU$4=1,IF(OR(INDEX('×入力'!$A$1:$L$1300,455+DU$3,2+DU$2)&lt;&gt;"",INDEX('×入力'!$A$1:$L$1300,454,2+DU$2)&lt;&gt;"",INDEX('×入力'!$A$1:$L$1300,455+DU$3,1)&lt;&gt;""),1,0),0)</f>
        <v/>
      </c>
      <c r="DV26">
        <f>IF(DV$4=1,IF(OR(INDEX('×入力'!$A$1:$L$1300,455+DV$3,2+DV$2)&lt;&gt;"",INDEX('×入力'!$A$1:$L$1300,454,2+DV$2)&lt;&gt;"",INDEX('×入力'!$A$1:$L$1300,455+DV$3,1)&lt;&gt;""),1,0),0)</f>
        <v/>
      </c>
      <c r="DW26">
        <f>IF(DW$4=1,IF(OR(INDEX('×入力'!$A$1:$L$1300,455+DW$3,2+DW$2)&lt;&gt;"",INDEX('×入力'!$A$1:$L$1300,454,2+DW$2)&lt;&gt;"",INDEX('×入力'!$A$1:$L$1300,455+DW$3,1)&lt;&gt;""),1,0),0)</f>
        <v/>
      </c>
      <c r="DX26">
        <f>IF(DX$4=1,IF(OR(INDEX('×入力'!$A$1:$L$1300,455+DX$3,2+DX$2)&lt;&gt;"",INDEX('×入力'!$A$1:$L$1300,454,2+DX$2)&lt;&gt;"",INDEX('×入力'!$A$1:$L$1300,455+DX$3,1)&lt;&gt;""),1,0),0)</f>
        <v/>
      </c>
      <c r="DY26">
        <f>IF(DY$4=1,IF(OR(INDEX('×入力'!$A$1:$L$1300,455+DY$3,2+DY$2)&lt;&gt;"",INDEX('×入力'!$A$1:$L$1300,454,2+DY$2)&lt;&gt;"",INDEX('×入力'!$A$1:$L$1300,455+DY$3,1)&lt;&gt;""),1,0),0)</f>
        <v/>
      </c>
      <c r="DZ26">
        <f>IF(DZ$4=1,IF(OR(INDEX('×入力'!$A$1:$L$1300,455+DZ$3,2+DZ$2)&lt;&gt;"",INDEX('×入力'!$A$1:$L$1300,454,2+DZ$2)&lt;&gt;"",INDEX('×入力'!$A$1:$L$1300,455+DZ$3,1)&lt;&gt;""),1,0),0)</f>
        <v/>
      </c>
      <c r="EA26">
        <f>IF(EA$4=1,IF(OR(INDEX('×入力'!$A$1:$L$1300,455+EA$3,2+EA$2)&lt;&gt;"",INDEX('×入力'!$A$1:$L$1300,454,2+EA$2)&lt;&gt;"",INDEX('×入力'!$A$1:$L$1300,455+EA$3,1)&lt;&gt;""),1,0),0)</f>
        <v/>
      </c>
      <c r="EB26">
        <f>IF(EB$4=1,IF(OR(INDEX('×入力'!$A$1:$L$1300,455+EB$3,2+EB$2)&lt;&gt;"",INDEX('×入力'!$A$1:$L$1300,454,2+EB$2)&lt;&gt;"",INDEX('×入力'!$A$1:$L$1300,455+EB$3,1)&lt;&gt;""),1,0),0)</f>
        <v/>
      </c>
      <c r="EC26">
        <f>IF(EC$4=1,IF(OR(INDEX('×入力'!$A$1:$L$1300,455+EC$3,2+EC$2)&lt;&gt;"",INDEX('×入力'!$A$1:$L$1300,454,2+EC$2)&lt;&gt;"",INDEX('×入力'!$A$1:$L$1300,455+EC$3,1)&lt;&gt;""),1,0),0)</f>
        <v/>
      </c>
      <c r="ED26">
        <f>IF(ED$4=1,IF(OR(INDEX('×入力'!$A$1:$L$1300,455+ED$3,2+ED$2)&lt;&gt;"",INDEX('×入力'!$A$1:$L$1300,454,2+ED$2)&lt;&gt;"",INDEX('×入力'!$A$1:$L$1300,455+ED$3,1)&lt;&gt;""),1,0),0)</f>
        <v/>
      </c>
      <c r="EE26">
        <f>IF(EE$4=1,IF(OR(INDEX('×入力'!$A$1:$L$1300,455+EE$3,2+EE$2)&lt;&gt;"",INDEX('×入力'!$A$1:$L$1300,454,2+EE$2)&lt;&gt;"",INDEX('×入力'!$A$1:$L$1300,455+EE$3,1)&lt;&gt;""),1,0),0)</f>
        <v/>
      </c>
      <c r="EF26">
        <f>IF(EF$4=1,IF(OR(INDEX('×入力'!$A$1:$L$1300,455+EF$3,2+EF$2)&lt;&gt;"",INDEX('×入力'!$A$1:$L$1300,454,2+EF$2)&lt;&gt;"",INDEX('×入力'!$A$1:$L$1300,455+EF$3,1)&lt;&gt;""),1,0),0)</f>
        <v/>
      </c>
      <c r="EG26">
        <f>IF(EG$4=1,IF(OR(INDEX('×入力'!$A$1:$L$1300,455+EG$3,2+EG$2)&lt;&gt;"",INDEX('×入力'!$A$1:$L$1300,454,2+EG$2)&lt;&gt;"",INDEX('×入力'!$A$1:$L$1300,455+EG$3,1)&lt;&gt;""),1,0),0)</f>
        <v/>
      </c>
      <c r="EH26">
        <f>IF(EH$4=1,IF(OR(INDEX('×入力'!$A$1:$L$1300,455+EH$3,2+EH$2)&lt;&gt;"",INDEX('×入力'!$A$1:$L$1300,454,2+EH$2)&lt;&gt;"",INDEX('×入力'!$A$1:$L$1300,455+EH$3,1)&lt;&gt;""),1,0),0)</f>
        <v/>
      </c>
      <c r="EI26">
        <f>IF(EI$4=1,IF(OR(INDEX('×入力'!$A$1:$L$1300,455+EI$3,2+EI$2)&lt;&gt;"",INDEX('×入力'!$A$1:$L$1300,454,2+EI$2)&lt;&gt;"",INDEX('×入力'!$A$1:$L$1300,455+EI$3,1)&lt;&gt;""),1,0),0)</f>
        <v/>
      </c>
      <c r="EJ26">
        <f>IF(EJ$4=1,IF(OR(INDEX('×入力'!$A$1:$L$1300,455+EJ$3,2+EJ$2)&lt;&gt;"",INDEX('×入力'!$A$1:$L$1300,454,2+EJ$2)&lt;&gt;"",INDEX('×入力'!$A$1:$L$1300,455+EJ$3,1)&lt;&gt;""),1,0),0)</f>
        <v/>
      </c>
      <c r="EK26">
        <f>IF(EK$4=1,IF(OR(INDEX('×入力'!$A$1:$L$1300,455+EK$3,2+EK$2)&lt;&gt;"",INDEX('×入力'!$A$1:$L$1300,454,2+EK$2)&lt;&gt;"",INDEX('×入力'!$A$1:$L$1300,455+EK$3,1)&lt;&gt;""),1,0),0)</f>
        <v/>
      </c>
      <c r="EL26">
        <f>IF(EL$4=1,IF(OR(INDEX('×入力'!$A$1:$L$1300,455+EL$3,2+EL$2)&lt;&gt;"",INDEX('×入力'!$A$1:$L$1300,454,2+EL$2)&lt;&gt;"",INDEX('×入力'!$A$1:$L$1300,455+EL$3,1)&lt;&gt;""),1,0),0)</f>
        <v/>
      </c>
      <c r="EM26">
        <f>IF(EM$4=1,IF(OR(INDEX('×入力'!$A$1:$L$1300,455+EM$3,2+EM$2)&lt;&gt;"",INDEX('×入力'!$A$1:$L$1300,454,2+EM$2)&lt;&gt;"",INDEX('×入力'!$A$1:$L$1300,455+EM$3,1)&lt;&gt;""),1,0),0)</f>
        <v/>
      </c>
      <c r="EN26">
        <f>IF(EN$4=1,IF(OR(INDEX('×入力'!$A$1:$L$1300,455+EN$3,2+EN$2)&lt;&gt;"",INDEX('×入力'!$A$1:$L$1300,454,2+EN$2)&lt;&gt;"",INDEX('×入力'!$A$1:$L$1300,455+EN$3,1)&lt;&gt;""),1,0),0)</f>
        <v/>
      </c>
      <c r="EO26">
        <f>IF(EO$4=1,IF(OR(INDEX('×入力'!$A$1:$L$1300,455+EO$3,2+EO$2)&lt;&gt;"",INDEX('×入力'!$A$1:$L$1300,454,2+EO$2)&lt;&gt;"",INDEX('×入力'!$A$1:$L$1300,455+EO$3,1)&lt;&gt;""),1,0),0)</f>
        <v/>
      </c>
      <c r="EP26">
        <f>IF(EP$4=1,IF(OR(INDEX('×入力'!$A$1:$L$1300,455+EP$3,2+EP$2)&lt;&gt;"",INDEX('×入力'!$A$1:$L$1300,454,2+EP$2)&lt;&gt;"",INDEX('×入力'!$A$1:$L$1300,455+EP$3,1)&lt;&gt;""),1,0),0)</f>
        <v/>
      </c>
      <c r="EQ26">
        <f>IF(EQ$4=1,IF(OR(INDEX('×入力'!$A$1:$L$1300,455+EQ$3,2+EQ$2)&lt;&gt;"",INDEX('×入力'!$A$1:$L$1300,454,2+EQ$2)&lt;&gt;"",INDEX('×入力'!$A$1:$L$1300,455+EQ$3,1)&lt;&gt;""),1,0),0)</f>
        <v/>
      </c>
      <c r="HA26">
        <f>MAX(0,IT26)</f>
        <v/>
      </c>
      <c r="HB26">
        <f>IF(HA26=0,0,INDEX($D$2:$EQ$2,HA26))</f>
        <v/>
      </c>
      <c r="HC26">
        <f>IF(HA26=0,0,INDEX($D$3:$EQ$3,HA26))</f>
        <v/>
      </c>
      <c r="HD26">
        <f>MAX(0,IY26)</f>
        <v/>
      </c>
      <c r="HE26">
        <f>IF(HD26=0,0,INDEX($D$2:$EQ$2,HD26))</f>
        <v/>
      </c>
      <c r="HF26">
        <f>IF(HD26=0,0,INDEX($D$3:$EQ$3,HD26))</f>
        <v/>
      </c>
      <c r="HG26">
        <f>MAX(0,IZ26)</f>
        <v/>
      </c>
      <c r="HH26">
        <f>IF(HG26=0,0,INDEX($D$2:$EQ$2,HG26))</f>
        <v/>
      </c>
      <c r="HI26">
        <f>IF(HG26=0,0,INDEX($D$3:$EQ$3,HG26))</f>
        <v/>
      </c>
      <c r="HJ26">
        <f>IF(AND(HA26&gt;0,HC26&gt;1,OR(HC26-1&lt;&gt;$A$3,$A$4=0)),HA26-1,-1)</f>
        <v/>
      </c>
      <c r="HK26">
        <f>IF(AND(HA26&gt;0,HC26&lt;24,OR(HC26&lt;&gt;$A$3,$A$4=0)),HA26+1,-1)</f>
        <v/>
      </c>
      <c r="HL26">
        <f>IF(AND(HD26&gt;0,HF26&gt;1,OR(HF26-1&lt;&gt;$A$3,$A$4=0)),HD26-1,-1)</f>
        <v/>
      </c>
      <c r="HM26">
        <f>IF(AND(HD26&gt;0,HF26&lt;24,OR(HF26&lt;&gt;$A$3,$A$4=0)),HD26+1,-1)</f>
        <v/>
      </c>
      <c r="HN26">
        <f>IF(AND(HG26&gt;0,HI26&gt;1,OR(HI26-1&lt;&gt;$A$3,$A$4=0)),HG26-1,-1)</f>
        <v/>
      </c>
      <c r="HO26">
        <f>IF(AND(HG26&gt;0,HI26&lt;24,OR(HI26&lt;&gt;$A$3,$A$4=0)),HG26+1,-1)</f>
        <v/>
      </c>
      <c r="IK26">
        <f>IFERROR(INDEX('calcB'!$C$3:$C$47,MATCH(A26,'calcB'!$B$3:$B$47,0)),0)</f>
        <v/>
      </c>
      <c r="IL26">
        <f>IF(AND(C26=1,IK26=0,calcA!$A$6&gt;0),1,0)</f>
        <v/>
      </c>
      <c r="IM26">
        <f>SUMPRODUCT(D76:EQ76*(1-$D$7:$EQ$7))</f>
        <v/>
      </c>
      <c r="IN26">
        <f>SUM(D26:EQ26)</f>
        <v/>
      </c>
      <c r="IO26">
        <f>IF(B26="",0,IF(COUNTIF('調整・決定'!$C$6:$H$29,B26)=1,SUMPRODUCT(('調整・決定'!$C$6:$H$29=B26)*((COLUMN('調整・決定'!$C$6:$H$29)-3)*24+ROW('調整・決定'!$C$6:$H$29)-5)),0))</f>
        <v/>
      </c>
      <c r="IP26">
        <f>IFERROR(MATCH('名簿'!C21,{"早い時刻","遅い時刻","早い日","遅い日"},0),0)</f>
        <v/>
      </c>
      <c r="IQ26">
        <f>IF('名簿'!D21="必ず空けたい",2,IF('名簿'!D21="出来れば空けたい",1,0))</f>
        <v/>
      </c>
      <c r="IR26">
        <f>IFERROR(INDEX('calcC'!$C$3:$C$47,MATCH(A26,'calcC'!$B$3:$B$47,0)),0)</f>
        <v/>
      </c>
      <c r="IS26">
        <f>IF(AND(C26=1,IR26=0,calcA!$A$6&gt;0),1,0)</f>
        <v/>
      </c>
      <c r="IT26">
        <f>IF(OR('名簿'!G21="",'名簿'!H21=""),0,IFERROR((MATCH('名簿'!G21,'設定'!$E$11:$E$16,0)-1)*24+MATCH('名簿'!H21,'設定'!$I$11:$I$34,0),-1))</f>
        <v/>
      </c>
      <c r="IV26">
        <f>IF(OR(JF26=0,IO26=0),1,IF(OR(IF(IT26&gt;0,AND(INDEX($D$2:$EQ$2,IO26)=INDEX($D$2:$EQ$2,IT26),OR(AND(IO26=IT26+1,OR(INDEX($D$3:$EQ$3,IT26)&lt;&gt;$A$3,$A$4=0)),AND(IO26=IT26-1,OR(INDEX($D$3:$EQ$3,IO26)&lt;&gt;$A$3,$A$4=0)))),FALSE),IF(IY26&gt;0,AND(INDEX($D$2:$EQ$2,IO26)=INDEX($D$2:$EQ$2,IY26),OR(AND(IO26=IY26+1,OR(INDEX($D$3:$EQ$3,IY26)&lt;&gt;$A$3,$A$4=0)),AND(IO26=IY26-1,OR(INDEX($D$3:$EQ$3,IO26)&lt;&gt;$A$3,$A$4=0)))),FALSE),IF(IZ26&gt;0,AND(INDEX($D$2:$EQ$2,IO26)=INDEX($D$2:$EQ$2,IZ26),OR(AND(IO26=IZ26+1,OR(INDEX($D$3:$EQ$3,IZ26)&lt;&gt;$A$3,$A$4=0)),AND(IO26=IZ26-1,OR(INDEX($D$3:$EQ$3,IO26)&lt;&gt;$A$3,$A$4=0)))),FALSE)),1,0))</f>
        <v/>
      </c>
      <c r="IW26">
        <f>IF(AND('名簿'!E21&lt;&gt;"",JF26=0),1,0)</f>
        <v/>
      </c>
      <c r="IX26">
        <f>IF('名簿'!D21="空けない",1,0)</f>
        <v/>
      </c>
      <c r="IY26">
        <f>IF(OR('名簿'!J21="",'名簿'!K21=""),0,IFERROR((MATCH('名簿'!J21,'設定'!$E$11:$E$16,0)-1)*24+MATCH('名簿'!K21,'設定'!$I$11:$I$34,0),-1))</f>
        <v/>
      </c>
      <c r="IZ26">
        <f>IF(OR('名簿'!M21="",'名簿'!N21=""),0,IFERROR((MATCH('名簿'!M21,'設定'!$E$11:$E$16,0)-1)*24+MATCH('名簿'!N21,'設定'!$I$11:$I$34,0),-1))</f>
        <v/>
      </c>
      <c r="JC26">
        <f>IF(RIGHT('名簿'!I21,2)="の前",1,IF(RIGHT('名簿'!I21,2)="の後",2,0))</f>
        <v/>
      </c>
      <c r="JD26">
        <f>IF(RIGHT('名簿'!L21,2)="の前",1,IF(RIGHT('名簿'!L21,2)="の後",2,0))</f>
        <v/>
      </c>
      <c r="JE26">
        <f>IF(RIGHT('名簿'!O21,2)="の前",1,IF(RIGHT('名簿'!O21,2)="の後",2,0))</f>
        <v/>
      </c>
      <c r="JF26">
        <f>IF(OR(IT26&gt;0,IY26&gt;0,IZ26&gt;0),1,0)</f>
        <v/>
      </c>
      <c r="JG26">
        <f>IF(OR(IT26&lt;0,IY26&lt;0,IZ26&lt;0),1,0)</f>
        <v/>
      </c>
    </row>
    <row r="27">
      <c r="A27" t="n">
        <v>18</v>
      </c>
      <c r="B27">
        <f>'名簿'!P22</f>
        <v/>
      </c>
      <c r="C27">
        <f>IF(AND(B27&lt;&gt;"",OR('名簿'!Q22="入力済み",'名簿'!Q22="×なし"),IO27=0,COUNTIF('調整・決定'!$C$6:$H$29,B27)=0),1,0)</f>
        <v/>
      </c>
      <c r="D27">
        <f>IF(D$4=1,IF(OR(INDEX('×入力'!$A$1:$L$1300,483+D$3,2+D$2)&lt;&gt;"",INDEX('×入力'!$A$1:$L$1300,482,2+D$2)&lt;&gt;"",INDEX('×入力'!$A$1:$L$1300,483+D$3,1)&lt;&gt;""),1,0),0)</f>
        <v/>
      </c>
      <c r="E27">
        <f>IF(E$4=1,IF(OR(INDEX('×入力'!$A$1:$L$1300,483+E$3,2+E$2)&lt;&gt;"",INDEX('×入力'!$A$1:$L$1300,482,2+E$2)&lt;&gt;"",INDEX('×入力'!$A$1:$L$1300,483+E$3,1)&lt;&gt;""),1,0),0)</f>
        <v/>
      </c>
      <c r="F27">
        <f>IF(F$4=1,IF(OR(INDEX('×入力'!$A$1:$L$1300,483+F$3,2+F$2)&lt;&gt;"",INDEX('×入力'!$A$1:$L$1300,482,2+F$2)&lt;&gt;"",INDEX('×入力'!$A$1:$L$1300,483+F$3,1)&lt;&gt;""),1,0),0)</f>
        <v/>
      </c>
      <c r="G27">
        <f>IF(G$4=1,IF(OR(INDEX('×入力'!$A$1:$L$1300,483+G$3,2+G$2)&lt;&gt;"",INDEX('×入力'!$A$1:$L$1300,482,2+G$2)&lt;&gt;"",INDEX('×入力'!$A$1:$L$1300,483+G$3,1)&lt;&gt;""),1,0),0)</f>
        <v/>
      </c>
      <c r="H27">
        <f>IF(H$4=1,IF(OR(INDEX('×入力'!$A$1:$L$1300,483+H$3,2+H$2)&lt;&gt;"",INDEX('×入力'!$A$1:$L$1300,482,2+H$2)&lt;&gt;"",INDEX('×入力'!$A$1:$L$1300,483+H$3,1)&lt;&gt;""),1,0),0)</f>
        <v/>
      </c>
      <c r="I27">
        <f>IF(I$4=1,IF(OR(INDEX('×入力'!$A$1:$L$1300,483+I$3,2+I$2)&lt;&gt;"",INDEX('×入力'!$A$1:$L$1300,482,2+I$2)&lt;&gt;"",INDEX('×入力'!$A$1:$L$1300,483+I$3,1)&lt;&gt;""),1,0),0)</f>
        <v/>
      </c>
      <c r="J27">
        <f>IF(J$4=1,IF(OR(INDEX('×入力'!$A$1:$L$1300,483+J$3,2+J$2)&lt;&gt;"",INDEX('×入力'!$A$1:$L$1300,482,2+J$2)&lt;&gt;"",INDEX('×入力'!$A$1:$L$1300,483+J$3,1)&lt;&gt;""),1,0),0)</f>
        <v/>
      </c>
      <c r="K27">
        <f>IF(K$4=1,IF(OR(INDEX('×入力'!$A$1:$L$1300,483+K$3,2+K$2)&lt;&gt;"",INDEX('×入力'!$A$1:$L$1300,482,2+K$2)&lt;&gt;"",INDEX('×入力'!$A$1:$L$1300,483+K$3,1)&lt;&gt;""),1,0),0)</f>
        <v/>
      </c>
      <c r="L27">
        <f>IF(L$4=1,IF(OR(INDEX('×入力'!$A$1:$L$1300,483+L$3,2+L$2)&lt;&gt;"",INDEX('×入力'!$A$1:$L$1300,482,2+L$2)&lt;&gt;"",INDEX('×入力'!$A$1:$L$1300,483+L$3,1)&lt;&gt;""),1,0),0)</f>
        <v/>
      </c>
      <c r="M27">
        <f>IF(M$4=1,IF(OR(INDEX('×入力'!$A$1:$L$1300,483+M$3,2+M$2)&lt;&gt;"",INDEX('×入力'!$A$1:$L$1300,482,2+M$2)&lt;&gt;"",INDEX('×入力'!$A$1:$L$1300,483+M$3,1)&lt;&gt;""),1,0),0)</f>
        <v/>
      </c>
      <c r="N27">
        <f>IF(N$4=1,IF(OR(INDEX('×入力'!$A$1:$L$1300,483+N$3,2+N$2)&lt;&gt;"",INDEX('×入力'!$A$1:$L$1300,482,2+N$2)&lt;&gt;"",INDEX('×入力'!$A$1:$L$1300,483+N$3,1)&lt;&gt;""),1,0),0)</f>
        <v/>
      </c>
      <c r="O27">
        <f>IF(O$4=1,IF(OR(INDEX('×入力'!$A$1:$L$1300,483+O$3,2+O$2)&lt;&gt;"",INDEX('×入力'!$A$1:$L$1300,482,2+O$2)&lt;&gt;"",INDEX('×入力'!$A$1:$L$1300,483+O$3,1)&lt;&gt;""),1,0),0)</f>
        <v/>
      </c>
      <c r="P27">
        <f>IF(P$4=1,IF(OR(INDEX('×入力'!$A$1:$L$1300,483+P$3,2+P$2)&lt;&gt;"",INDEX('×入力'!$A$1:$L$1300,482,2+P$2)&lt;&gt;"",INDEX('×入力'!$A$1:$L$1300,483+P$3,1)&lt;&gt;""),1,0),0)</f>
        <v/>
      </c>
      <c r="Q27">
        <f>IF(Q$4=1,IF(OR(INDEX('×入力'!$A$1:$L$1300,483+Q$3,2+Q$2)&lt;&gt;"",INDEX('×入力'!$A$1:$L$1300,482,2+Q$2)&lt;&gt;"",INDEX('×入力'!$A$1:$L$1300,483+Q$3,1)&lt;&gt;""),1,0),0)</f>
        <v/>
      </c>
      <c r="R27">
        <f>IF(R$4=1,IF(OR(INDEX('×入力'!$A$1:$L$1300,483+R$3,2+R$2)&lt;&gt;"",INDEX('×入力'!$A$1:$L$1300,482,2+R$2)&lt;&gt;"",INDEX('×入力'!$A$1:$L$1300,483+R$3,1)&lt;&gt;""),1,0),0)</f>
        <v/>
      </c>
      <c r="S27">
        <f>IF(S$4=1,IF(OR(INDEX('×入力'!$A$1:$L$1300,483+S$3,2+S$2)&lt;&gt;"",INDEX('×入力'!$A$1:$L$1300,482,2+S$2)&lt;&gt;"",INDEX('×入力'!$A$1:$L$1300,483+S$3,1)&lt;&gt;""),1,0),0)</f>
        <v/>
      </c>
      <c r="T27">
        <f>IF(T$4=1,IF(OR(INDEX('×入力'!$A$1:$L$1300,483+T$3,2+T$2)&lt;&gt;"",INDEX('×入力'!$A$1:$L$1300,482,2+T$2)&lt;&gt;"",INDEX('×入力'!$A$1:$L$1300,483+T$3,1)&lt;&gt;""),1,0),0)</f>
        <v/>
      </c>
      <c r="U27">
        <f>IF(U$4=1,IF(OR(INDEX('×入力'!$A$1:$L$1300,483+U$3,2+U$2)&lt;&gt;"",INDEX('×入力'!$A$1:$L$1300,482,2+U$2)&lt;&gt;"",INDEX('×入力'!$A$1:$L$1300,483+U$3,1)&lt;&gt;""),1,0),0)</f>
        <v/>
      </c>
      <c r="V27">
        <f>IF(V$4=1,IF(OR(INDEX('×入力'!$A$1:$L$1300,483+V$3,2+V$2)&lt;&gt;"",INDEX('×入力'!$A$1:$L$1300,482,2+V$2)&lt;&gt;"",INDEX('×入力'!$A$1:$L$1300,483+V$3,1)&lt;&gt;""),1,0),0)</f>
        <v/>
      </c>
      <c r="W27">
        <f>IF(W$4=1,IF(OR(INDEX('×入力'!$A$1:$L$1300,483+W$3,2+W$2)&lt;&gt;"",INDEX('×入力'!$A$1:$L$1300,482,2+W$2)&lt;&gt;"",INDEX('×入力'!$A$1:$L$1300,483+W$3,1)&lt;&gt;""),1,0),0)</f>
        <v/>
      </c>
      <c r="X27">
        <f>IF(X$4=1,IF(OR(INDEX('×入力'!$A$1:$L$1300,483+X$3,2+X$2)&lt;&gt;"",INDEX('×入力'!$A$1:$L$1300,482,2+X$2)&lt;&gt;"",INDEX('×入力'!$A$1:$L$1300,483+X$3,1)&lt;&gt;""),1,0),0)</f>
        <v/>
      </c>
      <c r="Y27">
        <f>IF(Y$4=1,IF(OR(INDEX('×入力'!$A$1:$L$1300,483+Y$3,2+Y$2)&lt;&gt;"",INDEX('×入力'!$A$1:$L$1300,482,2+Y$2)&lt;&gt;"",INDEX('×入力'!$A$1:$L$1300,483+Y$3,1)&lt;&gt;""),1,0),0)</f>
        <v/>
      </c>
      <c r="Z27">
        <f>IF(Z$4=1,IF(OR(INDEX('×入力'!$A$1:$L$1300,483+Z$3,2+Z$2)&lt;&gt;"",INDEX('×入力'!$A$1:$L$1300,482,2+Z$2)&lt;&gt;"",INDEX('×入力'!$A$1:$L$1300,483+Z$3,1)&lt;&gt;""),1,0),0)</f>
        <v/>
      </c>
      <c r="AA27">
        <f>IF(AA$4=1,IF(OR(INDEX('×入力'!$A$1:$L$1300,483+AA$3,2+AA$2)&lt;&gt;"",INDEX('×入力'!$A$1:$L$1300,482,2+AA$2)&lt;&gt;"",INDEX('×入力'!$A$1:$L$1300,483+AA$3,1)&lt;&gt;""),1,0),0)</f>
        <v/>
      </c>
      <c r="AB27">
        <f>IF(AB$4=1,IF(OR(INDEX('×入力'!$A$1:$L$1300,483+AB$3,2+AB$2)&lt;&gt;"",INDEX('×入力'!$A$1:$L$1300,482,2+AB$2)&lt;&gt;"",INDEX('×入力'!$A$1:$L$1300,483+AB$3,1)&lt;&gt;""),1,0),0)</f>
        <v/>
      </c>
      <c r="AC27">
        <f>IF(AC$4=1,IF(OR(INDEX('×入力'!$A$1:$L$1300,483+AC$3,2+AC$2)&lt;&gt;"",INDEX('×入力'!$A$1:$L$1300,482,2+AC$2)&lt;&gt;"",INDEX('×入力'!$A$1:$L$1300,483+AC$3,1)&lt;&gt;""),1,0),0)</f>
        <v/>
      </c>
      <c r="AD27">
        <f>IF(AD$4=1,IF(OR(INDEX('×入力'!$A$1:$L$1300,483+AD$3,2+AD$2)&lt;&gt;"",INDEX('×入力'!$A$1:$L$1300,482,2+AD$2)&lt;&gt;"",INDEX('×入力'!$A$1:$L$1300,483+AD$3,1)&lt;&gt;""),1,0),0)</f>
        <v/>
      </c>
      <c r="AE27">
        <f>IF(AE$4=1,IF(OR(INDEX('×入力'!$A$1:$L$1300,483+AE$3,2+AE$2)&lt;&gt;"",INDEX('×入力'!$A$1:$L$1300,482,2+AE$2)&lt;&gt;"",INDEX('×入力'!$A$1:$L$1300,483+AE$3,1)&lt;&gt;""),1,0),0)</f>
        <v/>
      </c>
      <c r="AF27">
        <f>IF(AF$4=1,IF(OR(INDEX('×入力'!$A$1:$L$1300,483+AF$3,2+AF$2)&lt;&gt;"",INDEX('×入力'!$A$1:$L$1300,482,2+AF$2)&lt;&gt;"",INDEX('×入力'!$A$1:$L$1300,483+AF$3,1)&lt;&gt;""),1,0),0)</f>
        <v/>
      </c>
      <c r="AG27">
        <f>IF(AG$4=1,IF(OR(INDEX('×入力'!$A$1:$L$1300,483+AG$3,2+AG$2)&lt;&gt;"",INDEX('×入力'!$A$1:$L$1300,482,2+AG$2)&lt;&gt;"",INDEX('×入力'!$A$1:$L$1300,483+AG$3,1)&lt;&gt;""),1,0),0)</f>
        <v/>
      </c>
      <c r="AH27">
        <f>IF(AH$4=1,IF(OR(INDEX('×入力'!$A$1:$L$1300,483+AH$3,2+AH$2)&lt;&gt;"",INDEX('×入力'!$A$1:$L$1300,482,2+AH$2)&lt;&gt;"",INDEX('×入力'!$A$1:$L$1300,483+AH$3,1)&lt;&gt;""),1,0),0)</f>
        <v/>
      </c>
      <c r="AI27">
        <f>IF(AI$4=1,IF(OR(INDEX('×入力'!$A$1:$L$1300,483+AI$3,2+AI$2)&lt;&gt;"",INDEX('×入力'!$A$1:$L$1300,482,2+AI$2)&lt;&gt;"",INDEX('×入力'!$A$1:$L$1300,483+AI$3,1)&lt;&gt;""),1,0),0)</f>
        <v/>
      </c>
      <c r="AJ27">
        <f>IF(AJ$4=1,IF(OR(INDEX('×入力'!$A$1:$L$1300,483+AJ$3,2+AJ$2)&lt;&gt;"",INDEX('×入力'!$A$1:$L$1300,482,2+AJ$2)&lt;&gt;"",INDEX('×入力'!$A$1:$L$1300,483+AJ$3,1)&lt;&gt;""),1,0),0)</f>
        <v/>
      </c>
      <c r="AK27">
        <f>IF(AK$4=1,IF(OR(INDEX('×入力'!$A$1:$L$1300,483+AK$3,2+AK$2)&lt;&gt;"",INDEX('×入力'!$A$1:$L$1300,482,2+AK$2)&lt;&gt;"",INDEX('×入力'!$A$1:$L$1300,483+AK$3,1)&lt;&gt;""),1,0),0)</f>
        <v/>
      </c>
      <c r="AL27">
        <f>IF(AL$4=1,IF(OR(INDEX('×入力'!$A$1:$L$1300,483+AL$3,2+AL$2)&lt;&gt;"",INDEX('×入力'!$A$1:$L$1300,482,2+AL$2)&lt;&gt;"",INDEX('×入力'!$A$1:$L$1300,483+AL$3,1)&lt;&gt;""),1,0),0)</f>
        <v/>
      </c>
      <c r="AM27">
        <f>IF(AM$4=1,IF(OR(INDEX('×入力'!$A$1:$L$1300,483+AM$3,2+AM$2)&lt;&gt;"",INDEX('×入力'!$A$1:$L$1300,482,2+AM$2)&lt;&gt;"",INDEX('×入力'!$A$1:$L$1300,483+AM$3,1)&lt;&gt;""),1,0),0)</f>
        <v/>
      </c>
      <c r="AN27">
        <f>IF(AN$4=1,IF(OR(INDEX('×入力'!$A$1:$L$1300,483+AN$3,2+AN$2)&lt;&gt;"",INDEX('×入力'!$A$1:$L$1300,482,2+AN$2)&lt;&gt;"",INDEX('×入力'!$A$1:$L$1300,483+AN$3,1)&lt;&gt;""),1,0),0)</f>
        <v/>
      </c>
      <c r="AO27">
        <f>IF(AO$4=1,IF(OR(INDEX('×入力'!$A$1:$L$1300,483+AO$3,2+AO$2)&lt;&gt;"",INDEX('×入力'!$A$1:$L$1300,482,2+AO$2)&lt;&gt;"",INDEX('×入力'!$A$1:$L$1300,483+AO$3,1)&lt;&gt;""),1,0),0)</f>
        <v/>
      </c>
      <c r="AP27">
        <f>IF(AP$4=1,IF(OR(INDEX('×入力'!$A$1:$L$1300,483+AP$3,2+AP$2)&lt;&gt;"",INDEX('×入力'!$A$1:$L$1300,482,2+AP$2)&lt;&gt;"",INDEX('×入力'!$A$1:$L$1300,483+AP$3,1)&lt;&gt;""),1,0),0)</f>
        <v/>
      </c>
      <c r="AQ27">
        <f>IF(AQ$4=1,IF(OR(INDEX('×入力'!$A$1:$L$1300,483+AQ$3,2+AQ$2)&lt;&gt;"",INDEX('×入力'!$A$1:$L$1300,482,2+AQ$2)&lt;&gt;"",INDEX('×入力'!$A$1:$L$1300,483+AQ$3,1)&lt;&gt;""),1,0),0)</f>
        <v/>
      </c>
      <c r="AR27">
        <f>IF(AR$4=1,IF(OR(INDEX('×入力'!$A$1:$L$1300,483+AR$3,2+AR$2)&lt;&gt;"",INDEX('×入力'!$A$1:$L$1300,482,2+AR$2)&lt;&gt;"",INDEX('×入力'!$A$1:$L$1300,483+AR$3,1)&lt;&gt;""),1,0),0)</f>
        <v/>
      </c>
      <c r="AS27">
        <f>IF(AS$4=1,IF(OR(INDEX('×入力'!$A$1:$L$1300,483+AS$3,2+AS$2)&lt;&gt;"",INDEX('×入力'!$A$1:$L$1300,482,2+AS$2)&lt;&gt;"",INDEX('×入力'!$A$1:$L$1300,483+AS$3,1)&lt;&gt;""),1,0),0)</f>
        <v/>
      </c>
      <c r="AT27">
        <f>IF(AT$4=1,IF(OR(INDEX('×入力'!$A$1:$L$1300,483+AT$3,2+AT$2)&lt;&gt;"",INDEX('×入力'!$A$1:$L$1300,482,2+AT$2)&lt;&gt;"",INDEX('×入力'!$A$1:$L$1300,483+AT$3,1)&lt;&gt;""),1,0),0)</f>
        <v/>
      </c>
      <c r="AU27">
        <f>IF(AU$4=1,IF(OR(INDEX('×入力'!$A$1:$L$1300,483+AU$3,2+AU$2)&lt;&gt;"",INDEX('×入力'!$A$1:$L$1300,482,2+AU$2)&lt;&gt;"",INDEX('×入力'!$A$1:$L$1300,483+AU$3,1)&lt;&gt;""),1,0),0)</f>
        <v/>
      </c>
      <c r="AV27">
        <f>IF(AV$4=1,IF(OR(INDEX('×入力'!$A$1:$L$1300,483+AV$3,2+AV$2)&lt;&gt;"",INDEX('×入力'!$A$1:$L$1300,482,2+AV$2)&lt;&gt;"",INDEX('×入力'!$A$1:$L$1300,483+AV$3,1)&lt;&gt;""),1,0),0)</f>
        <v/>
      </c>
      <c r="AW27">
        <f>IF(AW$4=1,IF(OR(INDEX('×入力'!$A$1:$L$1300,483+AW$3,2+AW$2)&lt;&gt;"",INDEX('×入力'!$A$1:$L$1300,482,2+AW$2)&lt;&gt;"",INDEX('×入力'!$A$1:$L$1300,483+AW$3,1)&lt;&gt;""),1,0),0)</f>
        <v/>
      </c>
      <c r="AX27">
        <f>IF(AX$4=1,IF(OR(INDEX('×入力'!$A$1:$L$1300,483+AX$3,2+AX$2)&lt;&gt;"",INDEX('×入力'!$A$1:$L$1300,482,2+AX$2)&lt;&gt;"",INDEX('×入力'!$A$1:$L$1300,483+AX$3,1)&lt;&gt;""),1,0),0)</f>
        <v/>
      </c>
      <c r="AY27">
        <f>IF(AY$4=1,IF(OR(INDEX('×入力'!$A$1:$L$1300,483+AY$3,2+AY$2)&lt;&gt;"",INDEX('×入力'!$A$1:$L$1300,482,2+AY$2)&lt;&gt;"",INDEX('×入力'!$A$1:$L$1300,483+AY$3,1)&lt;&gt;""),1,0),0)</f>
        <v/>
      </c>
      <c r="AZ27">
        <f>IF(AZ$4=1,IF(OR(INDEX('×入力'!$A$1:$L$1300,483+AZ$3,2+AZ$2)&lt;&gt;"",INDEX('×入力'!$A$1:$L$1300,482,2+AZ$2)&lt;&gt;"",INDEX('×入力'!$A$1:$L$1300,483+AZ$3,1)&lt;&gt;""),1,0),0)</f>
        <v/>
      </c>
      <c r="BA27">
        <f>IF(BA$4=1,IF(OR(INDEX('×入力'!$A$1:$L$1300,483+BA$3,2+BA$2)&lt;&gt;"",INDEX('×入力'!$A$1:$L$1300,482,2+BA$2)&lt;&gt;"",INDEX('×入力'!$A$1:$L$1300,483+BA$3,1)&lt;&gt;""),1,0),0)</f>
        <v/>
      </c>
      <c r="BB27">
        <f>IF(BB$4=1,IF(OR(INDEX('×入力'!$A$1:$L$1300,483+BB$3,2+BB$2)&lt;&gt;"",INDEX('×入力'!$A$1:$L$1300,482,2+BB$2)&lt;&gt;"",INDEX('×入力'!$A$1:$L$1300,483+BB$3,1)&lt;&gt;""),1,0),0)</f>
        <v/>
      </c>
      <c r="BC27">
        <f>IF(BC$4=1,IF(OR(INDEX('×入力'!$A$1:$L$1300,483+BC$3,2+BC$2)&lt;&gt;"",INDEX('×入力'!$A$1:$L$1300,482,2+BC$2)&lt;&gt;"",INDEX('×入力'!$A$1:$L$1300,483+BC$3,1)&lt;&gt;""),1,0),0)</f>
        <v/>
      </c>
      <c r="BD27">
        <f>IF(BD$4=1,IF(OR(INDEX('×入力'!$A$1:$L$1300,483+BD$3,2+BD$2)&lt;&gt;"",INDEX('×入力'!$A$1:$L$1300,482,2+BD$2)&lt;&gt;"",INDEX('×入力'!$A$1:$L$1300,483+BD$3,1)&lt;&gt;""),1,0),0)</f>
        <v/>
      </c>
      <c r="BE27">
        <f>IF(BE$4=1,IF(OR(INDEX('×入力'!$A$1:$L$1300,483+BE$3,2+BE$2)&lt;&gt;"",INDEX('×入力'!$A$1:$L$1300,482,2+BE$2)&lt;&gt;"",INDEX('×入力'!$A$1:$L$1300,483+BE$3,1)&lt;&gt;""),1,0),0)</f>
        <v/>
      </c>
      <c r="BF27">
        <f>IF(BF$4=1,IF(OR(INDEX('×入力'!$A$1:$L$1300,483+BF$3,2+BF$2)&lt;&gt;"",INDEX('×入力'!$A$1:$L$1300,482,2+BF$2)&lt;&gt;"",INDEX('×入力'!$A$1:$L$1300,483+BF$3,1)&lt;&gt;""),1,0),0)</f>
        <v/>
      </c>
      <c r="BG27">
        <f>IF(BG$4=1,IF(OR(INDEX('×入力'!$A$1:$L$1300,483+BG$3,2+BG$2)&lt;&gt;"",INDEX('×入力'!$A$1:$L$1300,482,2+BG$2)&lt;&gt;"",INDEX('×入力'!$A$1:$L$1300,483+BG$3,1)&lt;&gt;""),1,0),0)</f>
        <v/>
      </c>
      <c r="BH27">
        <f>IF(BH$4=1,IF(OR(INDEX('×入力'!$A$1:$L$1300,483+BH$3,2+BH$2)&lt;&gt;"",INDEX('×入力'!$A$1:$L$1300,482,2+BH$2)&lt;&gt;"",INDEX('×入力'!$A$1:$L$1300,483+BH$3,1)&lt;&gt;""),1,0),0)</f>
        <v/>
      </c>
      <c r="BI27">
        <f>IF(BI$4=1,IF(OR(INDEX('×入力'!$A$1:$L$1300,483+BI$3,2+BI$2)&lt;&gt;"",INDEX('×入力'!$A$1:$L$1300,482,2+BI$2)&lt;&gt;"",INDEX('×入力'!$A$1:$L$1300,483+BI$3,1)&lt;&gt;""),1,0),0)</f>
        <v/>
      </c>
      <c r="BJ27">
        <f>IF(BJ$4=1,IF(OR(INDEX('×入力'!$A$1:$L$1300,483+BJ$3,2+BJ$2)&lt;&gt;"",INDEX('×入力'!$A$1:$L$1300,482,2+BJ$2)&lt;&gt;"",INDEX('×入力'!$A$1:$L$1300,483+BJ$3,1)&lt;&gt;""),1,0),0)</f>
        <v/>
      </c>
      <c r="BK27">
        <f>IF(BK$4=1,IF(OR(INDEX('×入力'!$A$1:$L$1300,483+BK$3,2+BK$2)&lt;&gt;"",INDEX('×入力'!$A$1:$L$1300,482,2+BK$2)&lt;&gt;"",INDEX('×入力'!$A$1:$L$1300,483+BK$3,1)&lt;&gt;""),1,0),0)</f>
        <v/>
      </c>
      <c r="BL27">
        <f>IF(BL$4=1,IF(OR(INDEX('×入力'!$A$1:$L$1300,483+BL$3,2+BL$2)&lt;&gt;"",INDEX('×入力'!$A$1:$L$1300,482,2+BL$2)&lt;&gt;"",INDEX('×入力'!$A$1:$L$1300,483+BL$3,1)&lt;&gt;""),1,0),0)</f>
        <v/>
      </c>
      <c r="BM27">
        <f>IF(BM$4=1,IF(OR(INDEX('×入力'!$A$1:$L$1300,483+BM$3,2+BM$2)&lt;&gt;"",INDEX('×入力'!$A$1:$L$1300,482,2+BM$2)&lt;&gt;"",INDEX('×入力'!$A$1:$L$1300,483+BM$3,1)&lt;&gt;""),1,0),0)</f>
        <v/>
      </c>
      <c r="BN27">
        <f>IF(BN$4=1,IF(OR(INDEX('×入力'!$A$1:$L$1300,483+BN$3,2+BN$2)&lt;&gt;"",INDEX('×入力'!$A$1:$L$1300,482,2+BN$2)&lt;&gt;"",INDEX('×入力'!$A$1:$L$1300,483+BN$3,1)&lt;&gt;""),1,0),0)</f>
        <v/>
      </c>
      <c r="BO27">
        <f>IF(BO$4=1,IF(OR(INDEX('×入力'!$A$1:$L$1300,483+BO$3,2+BO$2)&lt;&gt;"",INDEX('×入力'!$A$1:$L$1300,482,2+BO$2)&lt;&gt;"",INDEX('×入力'!$A$1:$L$1300,483+BO$3,1)&lt;&gt;""),1,0),0)</f>
        <v/>
      </c>
      <c r="BP27">
        <f>IF(BP$4=1,IF(OR(INDEX('×入力'!$A$1:$L$1300,483+BP$3,2+BP$2)&lt;&gt;"",INDEX('×入力'!$A$1:$L$1300,482,2+BP$2)&lt;&gt;"",INDEX('×入力'!$A$1:$L$1300,483+BP$3,1)&lt;&gt;""),1,0),0)</f>
        <v/>
      </c>
      <c r="BQ27">
        <f>IF(BQ$4=1,IF(OR(INDEX('×入力'!$A$1:$L$1300,483+BQ$3,2+BQ$2)&lt;&gt;"",INDEX('×入力'!$A$1:$L$1300,482,2+BQ$2)&lt;&gt;"",INDEX('×入力'!$A$1:$L$1300,483+BQ$3,1)&lt;&gt;""),1,0),0)</f>
        <v/>
      </c>
      <c r="BR27">
        <f>IF(BR$4=1,IF(OR(INDEX('×入力'!$A$1:$L$1300,483+BR$3,2+BR$2)&lt;&gt;"",INDEX('×入力'!$A$1:$L$1300,482,2+BR$2)&lt;&gt;"",INDEX('×入力'!$A$1:$L$1300,483+BR$3,1)&lt;&gt;""),1,0),0)</f>
        <v/>
      </c>
      <c r="BS27">
        <f>IF(BS$4=1,IF(OR(INDEX('×入力'!$A$1:$L$1300,483+BS$3,2+BS$2)&lt;&gt;"",INDEX('×入力'!$A$1:$L$1300,482,2+BS$2)&lt;&gt;"",INDEX('×入力'!$A$1:$L$1300,483+BS$3,1)&lt;&gt;""),1,0),0)</f>
        <v/>
      </c>
      <c r="BT27">
        <f>IF(BT$4=1,IF(OR(INDEX('×入力'!$A$1:$L$1300,483+BT$3,2+BT$2)&lt;&gt;"",INDEX('×入力'!$A$1:$L$1300,482,2+BT$2)&lt;&gt;"",INDEX('×入力'!$A$1:$L$1300,483+BT$3,1)&lt;&gt;""),1,0),0)</f>
        <v/>
      </c>
      <c r="BU27">
        <f>IF(BU$4=1,IF(OR(INDEX('×入力'!$A$1:$L$1300,483+BU$3,2+BU$2)&lt;&gt;"",INDEX('×入力'!$A$1:$L$1300,482,2+BU$2)&lt;&gt;"",INDEX('×入力'!$A$1:$L$1300,483+BU$3,1)&lt;&gt;""),1,0),0)</f>
        <v/>
      </c>
      <c r="BV27">
        <f>IF(BV$4=1,IF(OR(INDEX('×入力'!$A$1:$L$1300,483+BV$3,2+BV$2)&lt;&gt;"",INDEX('×入力'!$A$1:$L$1300,482,2+BV$2)&lt;&gt;"",INDEX('×入力'!$A$1:$L$1300,483+BV$3,1)&lt;&gt;""),1,0),0)</f>
        <v/>
      </c>
      <c r="BW27">
        <f>IF(BW$4=1,IF(OR(INDEX('×入力'!$A$1:$L$1300,483+BW$3,2+BW$2)&lt;&gt;"",INDEX('×入力'!$A$1:$L$1300,482,2+BW$2)&lt;&gt;"",INDEX('×入力'!$A$1:$L$1300,483+BW$3,1)&lt;&gt;""),1,0),0)</f>
        <v/>
      </c>
      <c r="BX27">
        <f>IF(BX$4=1,IF(OR(INDEX('×入力'!$A$1:$L$1300,483+BX$3,2+BX$2)&lt;&gt;"",INDEX('×入力'!$A$1:$L$1300,482,2+BX$2)&lt;&gt;"",INDEX('×入力'!$A$1:$L$1300,483+BX$3,1)&lt;&gt;""),1,0),0)</f>
        <v/>
      </c>
      <c r="BY27">
        <f>IF(BY$4=1,IF(OR(INDEX('×入力'!$A$1:$L$1300,483+BY$3,2+BY$2)&lt;&gt;"",INDEX('×入力'!$A$1:$L$1300,482,2+BY$2)&lt;&gt;"",INDEX('×入力'!$A$1:$L$1300,483+BY$3,1)&lt;&gt;""),1,0),0)</f>
        <v/>
      </c>
      <c r="BZ27">
        <f>IF(BZ$4=1,IF(OR(INDEX('×入力'!$A$1:$L$1300,483+BZ$3,2+BZ$2)&lt;&gt;"",INDEX('×入力'!$A$1:$L$1300,482,2+BZ$2)&lt;&gt;"",INDEX('×入力'!$A$1:$L$1300,483+BZ$3,1)&lt;&gt;""),1,0),0)</f>
        <v/>
      </c>
      <c r="CA27">
        <f>IF(CA$4=1,IF(OR(INDEX('×入力'!$A$1:$L$1300,483+CA$3,2+CA$2)&lt;&gt;"",INDEX('×入力'!$A$1:$L$1300,482,2+CA$2)&lt;&gt;"",INDEX('×入力'!$A$1:$L$1300,483+CA$3,1)&lt;&gt;""),1,0),0)</f>
        <v/>
      </c>
      <c r="CB27">
        <f>IF(CB$4=1,IF(OR(INDEX('×入力'!$A$1:$L$1300,483+CB$3,2+CB$2)&lt;&gt;"",INDEX('×入力'!$A$1:$L$1300,482,2+CB$2)&lt;&gt;"",INDEX('×入力'!$A$1:$L$1300,483+CB$3,1)&lt;&gt;""),1,0),0)</f>
        <v/>
      </c>
      <c r="CC27">
        <f>IF(CC$4=1,IF(OR(INDEX('×入力'!$A$1:$L$1300,483+CC$3,2+CC$2)&lt;&gt;"",INDEX('×入力'!$A$1:$L$1300,482,2+CC$2)&lt;&gt;"",INDEX('×入力'!$A$1:$L$1300,483+CC$3,1)&lt;&gt;""),1,0),0)</f>
        <v/>
      </c>
      <c r="CD27">
        <f>IF(CD$4=1,IF(OR(INDEX('×入力'!$A$1:$L$1300,483+CD$3,2+CD$2)&lt;&gt;"",INDEX('×入力'!$A$1:$L$1300,482,2+CD$2)&lt;&gt;"",INDEX('×入力'!$A$1:$L$1300,483+CD$3,1)&lt;&gt;""),1,0),0)</f>
        <v/>
      </c>
      <c r="CE27">
        <f>IF(CE$4=1,IF(OR(INDEX('×入力'!$A$1:$L$1300,483+CE$3,2+CE$2)&lt;&gt;"",INDEX('×入力'!$A$1:$L$1300,482,2+CE$2)&lt;&gt;"",INDEX('×入力'!$A$1:$L$1300,483+CE$3,1)&lt;&gt;""),1,0),0)</f>
        <v/>
      </c>
      <c r="CF27">
        <f>IF(CF$4=1,IF(OR(INDEX('×入力'!$A$1:$L$1300,483+CF$3,2+CF$2)&lt;&gt;"",INDEX('×入力'!$A$1:$L$1300,482,2+CF$2)&lt;&gt;"",INDEX('×入力'!$A$1:$L$1300,483+CF$3,1)&lt;&gt;""),1,0),0)</f>
        <v/>
      </c>
      <c r="CG27">
        <f>IF(CG$4=1,IF(OR(INDEX('×入力'!$A$1:$L$1300,483+CG$3,2+CG$2)&lt;&gt;"",INDEX('×入力'!$A$1:$L$1300,482,2+CG$2)&lt;&gt;"",INDEX('×入力'!$A$1:$L$1300,483+CG$3,1)&lt;&gt;""),1,0),0)</f>
        <v/>
      </c>
      <c r="CH27">
        <f>IF(CH$4=1,IF(OR(INDEX('×入力'!$A$1:$L$1300,483+CH$3,2+CH$2)&lt;&gt;"",INDEX('×入力'!$A$1:$L$1300,482,2+CH$2)&lt;&gt;"",INDEX('×入力'!$A$1:$L$1300,483+CH$3,1)&lt;&gt;""),1,0),0)</f>
        <v/>
      </c>
      <c r="CI27">
        <f>IF(CI$4=1,IF(OR(INDEX('×入力'!$A$1:$L$1300,483+CI$3,2+CI$2)&lt;&gt;"",INDEX('×入力'!$A$1:$L$1300,482,2+CI$2)&lt;&gt;"",INDEX('×入力'!$A$1:$L$1300,483+CI$3,1)&lt;&gt;""),1,0),0)</f>
        <v/>
      </c>
      <c r="CJ27">
        <f>IF(CJ$4=1,IF(OR(INDEX('×入力'!$A$1:$L$1300,483+CJ$3,2+CJ$2)&lt;&gt;"",INDEX('×入力'!$A$1:$L$1300,482,2+CJ$2)&lt;&gt;"",INDEX('×入力'!$A$1:$L$1300,483+CJ$3,1)&lt;&gt;""),1,0),0)</f>
        <v/>
      </c>
      <c r="CK27">
        <f>IF(CK$4=1,IF(OR(INDEX('×入力'!$A$1:$L$1300,483+CK$3,2+CK$2)&lt;&gt;"",INDEX('×入力'!$A$1:$L$1300,482,2+CK$2)&lt;&gt;"",INDEX('×入力'!$A$1:$L$1300,483+CK$3,1)&lt;&gt;""),1,0),0)</f>
        <v/>
      </c>
      <c r="CL27">
        <f>IF(CL$4=1,IF(OR(INDEX('×入力'!$A$1:$L$1300,483+CL$3,2+CL$2)&lt;&gt;"",INDEX('×入力'!$A$1:$L$1300,482,2+CL$2)&lt;&gt;"",INDEX('×入力'!$A$1:$L$1300,483+CL$3,1)&lt;&gt;""),1,0),0)</f>
        <v/>
      </c>
      <c r="CM27">
        <f>IF(CM$4=1,IF(OR(INDEX('×入力'!$A$1:$L$1300,483+CM$3,2+CM$2)&lt;&gt;"",INDEX('×入力'!$A$1:$L$1300,482,2+CM$2)&lt;&gt;"",INDEX('×入力'!$A$1:$L$1300,483+CM$3,1)&lt;&gt;""),1,0),0)</f>
        <v/>
      </c>
      <c r="CN27">
        <f>IF(CN$4=1,IF(OR(INDEX('×入力'!$A$1:$L$1300,483+CN$3,2+CN$2)&lt;&gt;"",INDEX('×入力'!$A$1:$L$1300,482,2+CN$2)&lt;&gt;"",INDEX('×入力'!$A$1:$L$1300,483+CN$3,1)&lt;&gt;""),1,0),0)</f>
        <v/>
      </c>
      <c r="CO27">
        <f>IF(CO$4=1,IF(OR(INDEX('×入力'!$A$1:$L$1300,483+CO$3,2+CO$2)&lt;&gt;"",INDEX('×入力'!$A$1:$L$1300,482,2+CO$2)&lt;&gt;"",INDEX('×入力'!$A$1:$L$1300,483+CO$3,1)&lt;&gt;""),1,0),0)</f>
        <v/>
      </c>
      <c r="CP27">
        <f>IF(CP$4=1,IF(OR(INDEX('×入力'!$A$1:$L$1300,483+CP$3,2+CP$2)&lt;&gt;"",INDEX('×入力'!$A$1:$L$1300,482,2+CP$2)&lt;&gt;"",INDEX('×入力'!$A$1:$L$1300,483+CP$3,1)&lt;&gt;""),1,0),0)</f>
        <v/>
      </c>
      <c r="CQ27">
        <f>IF(CQ$4=1,IF(OR(INDEX('×入力'!$A$1:$L$1300,483+CQ$3,2+CQ$2)&lt;&gt;"",INDEX('×入力'!$A$1:$L$1300,482,2+CQ$2)&lt;&gt;"",INDEX('×入力'!$A$1:$L$1300,483+CQ$3,1)&lt;&gt;""),1,0),0)</f>
        <v/>
      </c>
      <c r="CR27">
        <f>IF(CR$4=1,IF(OR(INDEX('×入力'!$A$1:$L$1300,483+CR$3,2+CR$2)&lt;&gt;"",INDEX('×入力'!$A$1:$L$1300,482,2+CR$2)&lt;&gt;"",INDEX('×入力'!$A$1:$L$1300,483+CR$3,1)&lt;&gt;""),1,0),0)</f>
        <v/>
      </c>
      <c r="CS27">
        <f>IF(CS$4=1,IF(OR(INDEX('×入力'!$A$1:$L$1300,483+CS$3,2+CS$2)&lt;&gt;"",INDEX('×入力'!$A$1:$L$1300,482,2+CS$2)&lt;&gt;"",INDEX('×入力'!$A$1:$L$1300,483+CS$3,1)&lt;&gt;""),1,0),0)</f>
        <v/>
      </c>
      <c r="CT27">
        <f>IF(CT$4=1,IF(OR(INDEX('×入力'!$A$1:$L$1300,483+CT$3,2+CT$2)&lt;&gt;"",INDEX('×入力'!$A$1:$L$1300,482,2+CT$2)&lt;&gt;"",INDEX('×入力'!$A$1:$L$1300,483+CT$3,1)&lt;&gt;""),1,0),0)</f>
        <v/>
      </c>
      <c r="CU27">
        <f>IF(CU$4=1,IF(OR(INDEX('×入力'!$A$1:$L$1300,483+CU$3,2+CU$2)&lt;&gt;"",INDEX('×入力'!$A$1:$L$1300,482,2+CU$2)&lt;&gt;"",INDEX('×入力'!$A$1:$L$1300,483+CU$3,1)&lt;&gt;""),1,0),0)</f>
        <v/>
      </c>
      <c r="CV27">
        <f>IF(CV$4=1,IF(OR(INDEX('×入力'!$A$1:$L$1300,483+CV$3,2+CV$2)&lt;&gt;"",INDEX('×入力'!$A$1:$L$1300,482,2+CV$2)&lt;&gt;"",INDEX('×入力'!$A$1:$L$1300,483+CV$3,1)&lt;&gt;""),1,0),0)</f>
        <v/>
      </c>
      <c r="CW27">
        <f>IF(CW$4=1,IF(OR(INDEX('×入力'!$A$1:$L$1300,483+CW$3,2+CW$2)&lt;&gt;"",INDEX('×入力'!$A$1:$L$1300,482,2+CW$2)&lt;&gt;"",INDEX('×入力'!$A$1:$L$1300,483+CW$3,1)&lt;&gt;""),1,0),0)</f>
        <v/>
      </c>
      <c r="CX27">
        <f>IF(CX$4=1,IF(OR(INDEX('×入力'!$A$1:$L$1300,483+CX$3,2+CX$2)&lt;&gt;"",INDEX('×入力'!$A$1:$L$1300,482,2+CX$2)&lt;&gt;"",INDEX('×入力'!$A$1:$L$1300,483+CX$3,1)&lt;&gt;""),1,0),0)</f>
        <v/>
      </c>
      <c r="CY27">
        <f>IF(CY$4=1,IF(OR(INDEX('×入力'!$A$1:$L$1300,483+CY$3,2+CY$2)&lt;&gt;"",INDEX('×入力'!$A$1:$L$1300,482,2+CY$2)&lt;&gt;"",INDEX('×入力'!$A$1:$L$1300,483+CY$3,1)&lt;&gt;""),1,0),0)</f>
        <v/>
      </c>
      <c r="CZ27">
        <f>IF(CZ$4=1,IF(OR(INDEX('×入力'!$A$1:$L$1300,483+CZ$3,2+CZ$2)&lt;&gt;"",INDEX('×入力'!$A$1:$L$1300,482,2+CZ$2)&lt;&gt;"",INDEX('×入力'!$A$1:$L$1300,483+CZ$3,1)&lt;&gt;""),1,0),0)</f>
        <v/>
      </c>
      <c r="DA27">
        <f>IF(DA$4=1,IF(OR(INDEX('×入力'!$A$1:$L$1300,483+DA$3,2+DA$2)&lt;&gt;"",INDEX('×入力'!$A$1:$L$1300,482,2+DA$2)&lt;&gt;"",INDEX('×入力'!$A$1:$L$1300,483+DA$3,1)&lt;&gt;""),1,0),0)</f>
        <v/>
      </c>
      <c r="DB27">
        <f>IF(DB$4=1,IF(OR(INDEX('×入力'!$A$1:$L$1300,483+DB$3,2+DB$2)&lt;&gt;"",INDEX('×入力'!$A$1:$L$1300,482,2+DB$2)&lt;&gt;"",INDEX('×入力'!$A$1:$L$1300,483+DB$3,1)&lt;&gt;""),1,0),0)</f>
        <v/>
      </c>
      <c r="DC27">
        <f>IF(DC$4=1,IF(OR(INDEX('×入力'!$A$1:$L$1300,483+DC$3,2+DC$2)&lt;&gt;"",INDEX('×入力'!$A$1:$L$1300,482,2+DC$2)&lt;&gt;"",INDEX('×入力'!$A$1:$L$1300,483+DC$3,1)&lt;&gt;""),1,0),0)</f>
        <v/>
      </c>
      <c r="DD27">
        <f>IF(DD$4=1,IF(OR(INDEX('×入力'!$A$1:$L$1300,483+DD$3,2+DD$2)&lt;&gt;"",INDEX('×入力'!$A$1:$L$1300,482,2+DD$2)&lt;&gt;"",INDEX('×入力'!$A$1:$L$1300,483+DD$3,1)&lt;&gt;""),1,0),0)</f>
        <v/>
      </c>
      <c r="DE27">
        <f>IF(DE$4=1,IF(OR(INDEX('×入力'!$A$1:$L$1300,483+DE$3,2+DE$2)&lt;&gt;"",INDEX('×入力'!$A$1:$L$1300,482,2+DE$2)&lt;&gt;"",INDEX('×入力'!$A$1:$L$1300,483+DE$3,1)&lt;&gt;""),1,0),0)</f>
        <v/>
      </c>
      <c r="DF27">
        <f>IF(DF$4=1,IF(OR(INDEX('×入力'!$A$1:$L$1300,483+DF$3,2+DF$2)&lt;&gt;"",INDEX('×入力'!$A$1:$L$1300,482,2+DF$2)&lt;&gt;"",INDEX('×入力'!$A$1:$L$1300,483+DF$3,1)&lt;&gt;""),1,0),0)</f>
        <v/>
      </c>
      <c r="DG27">
        <f>IF(DG$4=1,IF(OR(INDEX('×入力'!$A$1:$L$1300,483+DG$3,2+DG$2)&lt;&gt;"",INDEX('×入力'!$A$1:$L$1300,482,2+DG$2)&lt;&gt;"",INDEX('×入力'!$A$1:$L$1300,483+DG$3,1)&lt;&gt;""),1,0),0)</f>
        <v/>
      </c>
      <c r="DH27">
        <f>IF(DH$4=1,IF(OR(INDEX('×入力'!$A$1:$L$1300,483+DH$3,2+DH$2)&lt;&gt;"",INDEX('×入力'!$A$1:$L$1300,482,2+DH$2)&lt;&gt;"",INDEX('×入力'!$A$1:$L$1300,483+DH$3,1)&lt;&gt;""),1,0),0)</f>
        <v/>
      </c>
      <c r="DI27">
        <f>IF(DI$4=1,IF(OR(INDEX('×入力'!$A$1:$L$1300,483+DI$3,2+DI$2)&lt;&gt;"",INDEX('×入力'!$A$1:$L$1300,482,2+DI$2)&lt;&gt;"",INDEX('×入力'!$A$1:$L$1300,483+DI$3,1)&lt;&gt;""),1,0),0)</f>
        <v/>
      </c>
      <c r="DJ27">
        <f>IF(DJ$4=1,IF(OR(INDEX('×入力'!$A$1:$L$1300,483+DJ$3,2+DJ$2)&lt;&gt;"",INDEX('×入力'!$A$1:$L$1300,482,2+DJ$2)&lt;&gt;"",INDEX('×入力'!$A$1:$L$1300,483+DJ$3,1)&lt;&gt;""),1,0),0)</f>
        <v/>
      </c>
      <c r="DK27">
        <f>IF(DK$4=1,IF(OR(INDEX('×入力'!$A$1:$L$1300,483+DK$3,2+DK$2)&lt;&gt;"",INDEX('×入力'!$A$1:$L$1300,482,2+DK$2)&lt;&gt;"",INDEX('×入力'!$A$1:$L$1300,483+DK$3,1)&lt;&gt;""),1,0),0)</f>
        <v/>
      </c>
      <c r="DL27">
        <f>IF(DL$4=1,IF(OR(INDEX('×入力'!$A$1:$L$1300,483+DL$3,2+DL$2)&lt;&gt;"",INDEX('×入力'!$A$1:$L$1300,482,2+DL$2)&lt;&gt;"",INDEX('×入力'!$A$1:$L$1300,483+DL$3,1)&lt;&gt;""),1,0),0)</f>
        <v/>
      </c>
      <c r="DM27">
        <f>IF(DM$4=1,IF(OR(INDEX('×入力'!$A$1:$L$1300,483+DM$3,2+DM$2)&lt;&gt;"",INDEX('×入力'!$A$1:$L$1300,482,2+DM$2)&lt;&gt;"",INDEX('×入力'!$A$1:$L$1300,483+DM$3,1)&lt;&gt;""),1,0),0)</f>
        <v/>
      </c>
      <c r="DN27">
        <f>IF(DN$4=1,IF(OR(INDEX('×入力'!$A$1:$L$1300,483+DN$3,2+DN$2)&lt;&gt;"",INDEX('×入力'!$A$1:$L$1300,482,2+DN$2)&lt;&gt;"",INDEX('×入力'!$A$1:$L$1300,483+DN$3,1)&lt;&gt;""),1,0),0)</f>
        <v/>
      </c>
      <c r="DO27">
        <f>IF(DO$4=1,IF(OR(INDEX('×入力'!$A$1:$L$1300,483+DO$3,2+DO$2)&lt;&gt;"",INDEX('×入力'!$A$1:$L$1300,482,2+DO$2)&lt;&gt;"",INDEX('×入力'!$A$1:$L$1300,483+DO$3,1)&lt;&gt;""),1,0),0)</f>
        <v/>
      </c>
      <c r="DP27">
        <f>IF(DP$4=1,IF(OR(INDEX('×入力'!$A$1:$L$1300,483+DP$3,2+DP$2)&lt;&gt;"",INDEX('×入力'!$A$1:$L$1300,482,2+DP$2)&lt;&gt;"",INDEX('×入力'!$A$1:$L$1300,483+DP$3,1)&lt;&gt;""),1,0),0)</f>
        <v/>
      </c>
      <c r="DQ27">
        <f>IF(DQ$4=1,IF(OR(INDEX('×入力'!$A$1:$L$1300,483+DQ$3,2+DQ$2)&lt;&gt;"",INDEX('×入力'!$A$1:$L$1300,482,2+DQ$2)&lt;&gt;"",INDEX('×入力'!$A$1:$L$1300,483+DQ$3,1)&lt;&gt;""),1,0),0)</f>
        <v/>
      </c>
      <c r="DR27">
        <f>IF(DR$4=1,IF(OR(INDEX('×入力'!$A$1:$L$1300,483+DR$3,2+DR$2)&lt;&gt;"",INDEX('×入力'!$A$1:$L$1300,482,2+DR$2)&lt;&gt;"",INDEX('×入力'!$A$1:$L$1300,483+DR$3,1)&lt;&gt;""),1,0),0)</f>
        <v/>
      </c>
      <c r="DS27">
        <f>IF(DS$4=1,IF(OR(INDEX('×入力'!$A$1:$L$1300,483+DS$3,2+DS$2)&lt;&gt;"",INDEX('×入力'!$A$1:$L$1300,482,2+DS$2)&lt;&gt;"",INDEX('×入力'!$A$1:$L$1300,483+DS$3,1)&lt;&gt;""),1,0),0)</f>
        <v/>
      </c>
      <c r="DT27">
        <f>IF(DT$4=1,IF(OR(INDEX('×入力'!$A$1:$L$1300,483+DT$3,2+DT$2)&lt;&gt;"",INDEX('×入力'!$A$1:$L$1300,482,2+DT$2)&lt;&gt;"",INDEX('×入力'!$A$1:$L$1300,483+DT$3,1)&lt;&gt;""),1,0),0)</f>
        <v/>
      </c>
      <c r="DU27">
        <f>IF(DU$4=1,IF(OR(INDEX('×入力'!$A$1:$L$1300,483+DU$3,2+DU$2)&lt;&gt;"",INDEX('×入力'!$A$1:$L$1300,482,2+DU$2)&lt;&gt;"",INDEX('×入力'!$A$1:$L$1300,483+DU$3,1)&lt;&gt;""),1,0),0)</f>
        <v/>
      </c>
      <c r="DV27">
        <f>IF(DV$4=1,IF(OR(INDEX('×入力'!$A$1:$L$1300,483+DV$3,2+DV$2)&lt;&gt;"",INDEX('×入力'!$A$1:$L$1300,482,2+DV$2)&lt;&gt;"",INDEX('×入力'!$A$1:$L$1300,483+DV$3,1)&lt;&gt;""),1,0),0)</f>
        <v/>
      </c>
      <c r="DW27">
        <f>IF(DW$4=1,IF(OR(INDEX('×入力'!$A$1:$L$1300,483+DW$3,2+DW$2)&lt;&gt;"",INDEX('×入力'!$A$1:$L$1300,482,2+DW$2)&lt;&gt;"",INDEX('×入力'!$A$1:$L$1300,483+DW$3,1)&lt;&gt;""),1,0),0)</f>
        <v/>
      </c>
      <c r="DX27">
        <f>IF(DX$4=1,IF(OR(INDEX('×入力'!$A$1:$L$1300,483+DX$3,2+DX$2)&lt;&gt;"",INDEX('×入力'!$A$1:$L$1300,482,2+DX$2)&lt;&gt;"",INDEX('×入力'!$A$1:$L$1300,483+DX$3,1)&lt;&gt;""),1,0),0)</f>
        <v/>
      </c>
      <c r="DY27">
        <f>IF(DY$4=1,IF(OR(INDEX('×入力'!$A$1:$L$1300,483+DY$3,2+DY$2)&lt;&gt;"",INDEX('×入力'!$A$1:$L$1300,482,2+DY$2)&lt;&gt;"",INDEX('×入力'!$A$1:$L$1300,483+DY$3,1)&lt;&gt;""),1,0),0)</f>
        <v/>
      </c>
      <c r="DZ27">
        <f>IF(DZ$4=1,IF(OR(INDEX('×入力'!$A$1:$L$1300,483+DZ$3,2+DZ$2)&lt;&gt;"",INDEX('×入力'!$A$1:$L$1300,482,2+DZ$2)&lt;&gt;"",INDEX('×入力'!$A$1:$L$1300,483+DZ$3,1)&lt;&gt;""),1,0),0)</f>
        <v/>
      </c>
      <c r="EA27">
        <f>IF(EA$4=1,IF(OR(INDEX('×入力'!$A$1:$L$1300,483+EA$3,2+EA$2)&lt;&gt;"",INDEX('×入力'!$A$1:$L$1300,482,2+EA$2)&lt;&gt;"",INDEX('×入力'!$A$1:$L$1300,483+EA$3,1)&lt;&gt;""),1,0),0)</f>
        <v/>
      </c>
      <c r="EB27">
        <f>IF(EB$4=1,IF(OR(INDEX('×入力'!$A$1:$L$1300,483+EB$3,2+EB$2)&lt;&gt;"",INDEX('×入力'!$A$1:$L$1300,482,2+EB$2)&lt;&gt;"",INDEX('×入力'!$A$1:$L$1300,483+EB$3,1)&lt;&gt;""),1,0),0)</f>
        <v/>
      </c>
      <c r="EC27">
        <f>IF(EC$4=1,IF(OR(INDEX('×入力'!$A$1:$L$1300,483+EC$3,2+EC$2)&lt;&gt;"",INDEX('×入力'!$A$1:$L$1300,482,2+EC$2)&lt;&gt;"",INDEX('×入力'!$A$1:$L$1300,483+EC$3,1)&lt;&gt;""),1,0),0)</f>
        <v/>
      </c>
      <c r="ED27">
        <f>IF(ED$4=1,IF(OR(INDEX('×入力'!$A$1:$L$1300,483+ED$3,2+ED$2)&lt;&gt;"",INDEX('×入力'!$A$1:$L$1300,482,2+ED$2)&lt;&gt;"",INDEX('×入力'!$A$1:$L$1300,483+ED$3,1)&lt;&gt;""),1,0),0)</f>
        <v/>
      </c>
      <c r="EE27">
        <f>IF(EE$4=1,IF(OR(INDEX('×入力'!$A$1:$L$1300,483+EE$3,2+EE$2)&lt;&gt;"",INDEX('×入力'!$A$1:$L$1300,482,2+EE$2)&lt;&gt;"",INDEX('×入力'!$A$1:$L$1300,483+EE$3,1)&lt;&gt;""),1,0),0)</f>
        <v/>
      </c>
      <c r="EF27">
        <f>IF(EF$4=1,IF(OR(INDEX('×入力'!$A$1:$L$1300,483+EF$3,2+EF$2)&lt;&gt;"",INDEX('×入力'!$A$1:$L$1300,482,2+EF$2)&lt;&gt;"",INDEX('×入力'!$A$1:$L$1300,483+EF$3,1)&lt;&gt;""),1,0),0)</f>
        <v/>
      </c>
      <c r="EG27">
        <f>IF(EG$4=1,IF(OR(INDEX('×入力'!$A$1:$L$1300,483+EG$3,2+EG$2)&lt;&gt;"",INDEX('×入力'!$A$1:$L$1300,482,2+EG$2)&lt;&gt;"",INDEX('×入力'!$A$1:$L$1300,483+EG$3,1)&lt;&gt;""),1,0),0)</f>
        <v/>
      </c>
      <c r="EH27">
        <f>IF(EH$4=1,IF(OR(INDEX('×入力'!$A$1:$L$1300,483+EH$3,2+EH$2)&lt;&gt;"",INDEX('×入力'!$A$1:$L$1300,482,2+EH$2)&lt;&gt;"",INDEX('×入力'!$A$1:$L$1300,483+EH$3,1)&lt;&gt;""),1,0),0)</f>
        <v/>
      </c>
      <c r="EI27">
        <f>IF(EI$4=1,IF(OR(INDEX('×入力'!$A$1:$L$1300,483+EI$3,2+EI$2)&lt;&gt;"",INDEX('×入力'!$A$1:$L$1300,482,2+EI$2)&lt;&gt;"",INDEX('×入力'!$A$1:$L$1300,483+EI$3,1)&lt;&gt;""),1,0),0)</f>
        <v/>
      </c>
      <c r="EJ27">
        <f>IF(EJ$4=1,IF(OR(INDEX('×入力'!$A$1:$L$1300,483+EJ$3,2+EJ$2)&lt;&gt;"",INDEX('×入力'!$A$1:$L$1300,482,2+EJ$2)&lt;&gt;"",INDEX('×入力'!$A$1:$L$1300,483+EJ$3,1)&lt;&gt;""),1,0),0)</f>
        <v/>
      </c>
      <c r="EK27">
        <f>IF(EK$4=1,IF(OR(INDEX('×入力'!$A$1:$L$1300,483+EK$3,2+EK$2)&lt;&gt;"",INDEX('×入力'!$A$1:$L$1300,482,2+EK$2)&lt;&gt;"",INDEX('×入力'!$A$1:$L$1300,483+EK$3,1)&lt;&gt;""),1,0),0)</f>
        <v/>
      </c>
      <c r="EL27">
        <f>IF(EL$4=1,IF(OR(INDEX('×入力'!$A$1:$L$1300,483+EL$3,2+EL$2)&lt;&gt;"",INDEX('×入力'!$A$1:$L$1300,482,2+EL$2)&lt;&gt;"",INDEX('×入力'!$A$1:$L$1300,483+EL$3,1)&lt;&gt;""),1,0),0)</f>
        <v/>
      </c>
      <c r="EM27">
        <f>IF(EM$4=1,IF(OR(INDEX('×入力'!$A$1:$L$1300,483+EM$3,2+EM$2)&lt;&gt;"",INDEX('×入力'!$A$1:$L$1300,482,2+EM$2)&lt;&gt;"",INDEX('×入力'!$A$1:$L$1300,483+EM$3,1)&lt;&gt;""),1,0),0)</f>
        <v/>
      </c>
      <c r="EN27">
        <f>IF(EN$4=1,IF(OR(INDEX('×入力'!$A$1:$L$1300,483+EN$3,2+EN$2)&lt;&gt;"",INDEX('×入力'!$A$1:$L$1300,482,2+EN$2)&lt;&gt;"",INDEX('×入力'!$A$1:$L$1300,483+EN$3,1)&lt;&gt;""),1,0),0)</f>
        <v/>
      </c>
      <c r="EO27">
        <f>IF(EO$4=1,IF(OR(INDEX('×入力'!$A$1:$L$1300,483+EO$3,2+EO$2)&lt;&gt;"",INDEX('×入力'!$A$1:$L$1300,482,2+EO$2)&lt;&gt;"",INDEX('×入力'!$A$1:$L$1300,483+EO$3,1)&lt;&gt;""),1,0),0)</f>
        <v/>
      </c>
      <c r="EP27">
        <f>IF(EP$4=1,IF(OR(INDEX('×入力'!$A$1:$L$1300,483+EP$3,2+EP$2)&lt;&gt;"",INDEX('×入力'!$A$1:$L$1300,482,2+EP$2)&lt;&gt;"",INDEX('×入力'!$A$1:$L$1300,483+EP$3,1)&lt;&gt;""),1,0),0)</f>
        <v/>
      </c>
      <c r="EQ27">
        <f>IF(EQ$4=1,IF(OR(INDEX('×入力'!$A$1:$L$1300,483+EQ$3,2+EQ$2)&lt;&gt;"",INDEX('×入力'!$A$1:$L$1300,482,2+EQ$2)&lt;&gt;"",INDEX('×入力'!$A$1:$L$1300,483+EQ$3,1)&lt;&gt;""),1,0),0)</f>
        <v/>
      </c>
      <c r="HA27">
        <f>MAX(0,IT27)</f>
        <v/>
      </c>
      <c r="HB27">
        <f>IF(HA27=0,0,INDEX($D$2:$EQ$2,HA27))</f>
        <v/>
      </c>
      <c r="HC27">
        <f>IF(HA27=0,0,INDEX($D$3:$EQ$3,HA27))</f>
        <v/>
      </c>
      <c r="HD27">
        <f>MAX(0,IY27)</f>
        <v/>
      </c>
      <c r="HE27">
        <f>IF(HD27=0,0,INDEX($D$2:$EQ$2,HD27))</f>
        <v/>
      </c>
      <c r="HF27">
        <f>IF(HD27=0,0,INDEX($D$3:$EQ$3,HD27))</f>
        <v/>
      </c>
      <c r="HG27">
        <f>MAX(0,IZ27)</f>
        <v/>
      </c>
      <c r="HH27">
        <f>IF(HG27=0,0,INDEX($D$2:$EQ$2,HG27))</f>
        <v/>
      </c>
      <c r="HI27">
        <f>IF(HG27=0,0,INDEX($D$3:$EQ$3,HG27))</f>
        <v/>
      </c>
      <c r="HJ27">
        <f>IF(AND(HA27&gt;0,HC27&gt;1,OR(HC27-1&lt;&gt;$A$3,$A$4=0)),HA27-1,-1)</f>
        <v/>
      </c>
      <c r="HK27">
        <f>IF(AND(HA27&gt;0,HC27&lt;24,OR(HC27&lt;&gt;$A$3,$A$4=0)),HA27+1,-1)</f>
        <v/>
      </c>
      <c r="HL27">
        <f>IF(AND(HD27&gt;0,HF27&gt;1,OR(HF27-1&lt;&gt;$A$3,$A$4=0)),HD27-1,-1)</f>
        <v/>
      </c>
      <c r="HM27">
        <f>IF(AND(HD27&gt;0,HF27&lt;24,OR(HF27&lt;&gt;$A$3,$A$4=0)),HD27+1,-1)</f>
        <v/>
      </c>
      <c r="HN27">
        <f>IF(AND(HG27&gt;0,HI27&gt;1,OR(HI27-1&lt;&gt;$A$3,$A$4=0)),HG27-1,-1)</f>
        <v/>
      </c>
      <c r="HO27">
        <f>IF(AND(HG27&gt;0,HI27&lt;24,OR(HI27&lt;&gt;$A$3,$A$4=0)),HG27+1,-1)</f>
        <v/>
      </c>
      <c r="IK27">
        <f>IFERROR(INDEX('calcB'!$C$3:$C$47,MATCH(A27,'calcB'!$B$3:$B$47,0)),0)</f>
        <v/>
      </c>
      <c r="IL27">
        <f>IF(AND(C27=1,IK27=0,calcA!$A$6&gt;0),1,0)</f>
        <v/>
      </c>
      <c r="IM27">
        <f>SUMPRODUCT(D77:EQ77*(1-$D$7:$EQ$7))</f>
        <v/>
      </c>
      <c r="IN27">
        <f>SUM(D27:EQ27)</f>
        <v/>
      </c>
      <c r="IO27">
        <f>IF(B27="",0,IF(COUNTIF('調整・決定'!$C$6:$H$29,B27)=1,SUMPRODUCT(('調整・決定'!$C$6:$H$29=B27)*((COLUMN('調整・決定'!$C$6:$H$29)-3)*24+ROW('調整・決定'!$C$6:$H$29)-5)),0))</f>
        <v/>
      </c>
      <c r="IP27">
        <f>IFERROR(MATCH('名簿'!C22,{"早い時刻","遅い時刻","早い日","遅い日"},0),0)</f>
        <v/>
      </c>
      <c r="IQ27">
        <f>IF('名簿'!D22="必ず空けたい",2,IF('名簿'!D22="出来れば空けたい",1,0))</f>
        <v/>
      </c>
      <c r="IR27">
        <f>IFERROR(INDEX('calcC'!$C$3:$C$47,MATCH(A27,'calcC'!$B$3:$B$47,0)),0)</f>
        <v/>
      </c>
      <c r="IS27">
        <f>IF(AND(C27=1,IR27=0,calcA!$A$6&gt;0),1,0)</f>
        <v/>
      </c>
      <c r="IT27">
        <f>IF(OR('名簿'!G22="",'名簿'!H22=""),0,IFERROR((MATCH('名簿'!G22,'設定'!$E$11:$E$16,0)-1)*24+MATCH('名簿'!H22,'設定'!$I$11:$I$34,0),-1))</f>
        <v/>
      </c>
      <c r="IV27">
        <f>IF(OR(JF27=0,IO27=0),1,IF(OR(IF(IT27&gt;0,AND(INDEX($D$2:$EQ$2,IO27)=INDEX($D$2:$EQ$2,IT27),OR(AND(IO27=IT27+1,OR(INDEX($D$3:$EQ$3,IT27)&lt;&gt;$A$3,$A$4=0)),AND(IO27=IT27-1,OR(INDEX($D$3:$EQ$3,IO27)&lt;&gt;$A$3,$A$4=0)))),FALSE),IF(IY27&gt;0,AND(INDEX($D$2:$EQ$2,IO27)=INDEX($D$2:$EQ$2,IY27),OR(AND(IO27=IY27+1,OR(INDEX($D$3:$EQ$3,IY27)&lt;&gt;$A$3,$A$4=0)),AND(IO27=IY27-1,OR(INDEX($D$3:$EQ$3,IO27)&lt;&gt;$A$3,$A$4=0)))),FALSE),IF(IZ27&gt;0,AND(INDEX($D$2:$EQ$2,IO27)=INDEX($D$2:$EQ$2,IZ27),OR(AND(IO27=IZ27+1,OR(INDEX($D$3:$EQ$3,IZ27)&lt;&gt;$A$3,$A$4=0)),AND(IO27=IZ27-1,OR(INDEX($D$3:$EQ$3,IO27)&lt;&gt;$A$3,$A$4=0)))),FALSE)),1,0))</f>
        <v/>
      </c>
      <c r="IW27">
        <f>IF(AND('名簿'!E22&lt;&gt;"",JF27=0),1,0)</f>
        <v/>
      </c>
      <c r="IX27">
        <f>IF('名簿'!D22="空けない",1,0)</f>
        <v/>
      </c>
      <c r="IY27">
        <f>IF(OR('名簿'!J22="",'名簿'!K22=""),0,IFERROR((MATCH('名簿'!J22,'設定'!$E$11:$E$16,0)-1)*24+MATCH('名簿'!K22,'設定'!$I$11:$I$34,0),-1))</f>
        <v/>
      </c>
      <c r="IZ27">
        <f>IF(OR('名簿'!M22="",'名簿'!N22=""),0,IFERROR((MATCH('名簿'!M22,'設定'!$E$11:$E$16,0)-1)*24+MATCH('名簿'!N22,'設定'!$I$11:$I$34,0),-1))</f>
        <v/>
      </c>
      <c r="JC27">
        <f>IF(RIGHT('名簿'!I22,2)="の前",1,IF(RIGHT('名簿'!I22,2)="の後",2,0))</f>
        <v/>
      </c>
      <c r="JD27">
        <f>IF(RIGHT('名簿'!L22,2)="の前",1,IF(RIGHT('名簿'!L22,2)="の後",2,0))</f>
        <v/>
      </c>
      <c r="JE27">
        <f>IF(RIGHT('名簿'!O22,2)="の前",1,IF(RIGHT('名簿'!O22,2)="の後",2,0))</f>
        <v/>
      </c>
      <c r="JF27">
        <f>IF(OR(IT27&gt;0,IY27&gt;0,IZ27&gt;0),1,0)</f>
        <v/>
      </c>
      <c r="JG27">
        <f>IF(OR(IT27&lt;0,IY27&lt;0,IZ27&lt;0),1,0)</f>
        <v/>
      </c>
    </row>
    <row r="28">
      <c r="A28" t="n">
        <v>19</v>
      </c>
      <c r="B28">
        <f>'名簿'!P23</f>
        <v/>
      </c>
      <c r="C28">
        <f>IF(AND(B28&lt;&gt;"",OR('名簿'!Q23="入力済み",'名簿'!Q23="×なし"),IO28=0,COUNTIF('調整・決定'!$C$6:$H$29,B28)=0),1,0)</f>
        <v/>
      </c>
      <c r="D28">
        <f>IF(D$4=1,IF(OR(INDEX('×入力'!$A$1:$L$1300,511+D$3,2+D$2)&lt;&gt;"",INDEX('×入力'!$A$1:$L$1300,510,2+D$2)&lt;&gt;"",INDEX('×入力'!$A$1:$L$1300,511+D$3,1)&lt;&gt;""),1,0),0)</f>
        <v/>
      </c>
      <c r="E28">
        <f>IF(E$4=1,IF(OR(INDEX('×入力'!$A$1:$L$1300,511+E$3,2+E$2)&lt;&gt;"",INDEX('×入力'!$A$1:$L$1300,510,2+E$2)&lt;&gt;"",INDEX('×入力'!$A$1:$L$1300,511+E$3,1)&lt;&gt;""),1,0),0)</f>
        <v/>
      </c>
      <c r="F28">
        <f>IF(F$4=1,IF(OR(INDEX('×入力'!$A$1:$L$1300,511+F$3,2+F$2)&lt;&gt;"",INDEX('×入力'!$A$1:$L$1300,510,2+F$2)&lt;&gt;"",INDEX('×入力'!$A$1:$L$1300,511+F$3,1)&lt;&gt;""),1,0),0)</f>
        <v/>
      </c>
      <c r="G28">
        <f>IF(G$4=1,IF(OR(INDEX('×入力'!$A$1:$L$1300,511+G$3,2+G$2)&lt;&gt;"",INDEX('×入力'!$A$1:$L$1300,510,2+G$2)&lt;&gt;"",INDEX('×入力'!$A$1:$L$1300,511+G$3,1)&lt;&gt;""),1,0),0)</f>
        <v/>
      </c>
      <c r="H28">
        <f>IF(H$4=1,IF(OR(INDEX('×入力'!$A$1:$L$1300,511+H$3,2+H$2)&lt;&gt;"",INDEX('×入力'!$A$1:$L$1300,510,2+H$2)&lt;&gt;"",INDEX('×入力'!$A$1:$L$1300,511+H$3,1)&lt;&gt;""),1,0),0)</f>
        <v/>
      </c>
      <c r="I28">
        <f>IF(I$4=1,IF(OR(INDEX('×入力'!$A$1:$L$1300,511+I$3,2+I$2)&lt;&gt;"",INDEX('×入力'!$A$1:$L$1300,510,2+I$2)&lt;&gt;"",INDEX('×入力'!$A$1:$L$1300,511+I$3,1)&lt;&gt;""),1,0),0)</f>
        <v/>
      </c>
      <c r="J28">
        <f>IF(J$4=1,IF(OR(INDEX('×入力'!$A$1:$L$1300,511+J$3,2+J$2)&lt;&gt;"",INDEX('×入力'!$A$1:$L$1300,510,2+J$2)&lt;&gt;"",INDEX('×入力'!$A$1:$L$1300,511+J$3,1)&lt;&gt;""),1,0),0)</f>
        <v/>
      </c>
      <c r="K28">
        <f>IF(K$4=1,IF(OR(INDEX('×入力'!$A$1:$L$1300,511+K$3,2+K$2)&lt;&gt;"",INDEX('×入力'!$A$1:$L$1300,510,2+K$2)&lt;&gt;"",INDEX('×入力'!$A$1:$L$1300,511+K$3,1)&lt;&gt;""),1,0),0)</f>
        <v/>
      </c>
      <c r="L28">
        <f>IF(L$4=1,IF(OR(INDEX('×入力'!$A$1:$L$1300,511+L$3,2+L$2)&lt;&gt;"",INDEX('×入力'!$A$1:$L$1300,510,2+L$2)&lt;&gt;"",INDEX('×入力'!$A$1:$L$1300,511+L$3,1)&lt;&gt;""),1,0),0)</f>
        <v/>
      </c>
      <c r="M28">
        <f>IF(M$4=1,IF(OR(INDEX('×入力'!$A$1:$L$1300,511+M$3,2+M$2)&lt;&gt;"",INDEX('×入力'!$A$1:$L$1300,510,2+M$2)&lt;&gt;"",INDEX('×入力'!$A$1:$L$1300,511+M$3,1)&lt;&gt;""),1,0),0)</f>
        <v/>
      </c>
      <c r="N28">
        <f>IF(N$4=1,IF(OR(INDEX('×入力'!$A$1:$L$1300,511+N$3,2+N$2)&lt;&gt;"",INDEX('×入力'!$A$1:$L$1300,510,2+N$2)&lt;&gt;"",INDEX('×入力'!$A$1:$L$1300,511+N$3,1)&lt;&gt;""),1,0),0)</f>
        <v/>
      </c>
      <c r="O28">
        <f>IF(O$4=1,IF(OR(INDEX('×入力'!$A$1:$L$1300,511+O$3,2+O$2)&lt;&gt;"",INDEX('×入力'!$A$1:$L$1300,510,2+O$2)&lt;&gt;"",INDEX('×入力'!$A$1:$L$1300,511+O$3,1)&lt;&gt;""),1,0),0)</f>
        <v/>
      </c>
      <c r="P28">
        <f>IF(P$4=1,IF(OR(INDEX('×入力'!$A$1:$L$1300,511+P$3,2+P$2)&lt;&gt;"",INDEX('×入力'!$A$1:$L$1300,510,2+P$2)&lt;&gt;"",INDEX('×入力'!$A$1:$L$1300,511+P$3,1)&lt;&gt;""),1,0),0)</f>
        <v/>
      </c>
      <c r="Q28">
        <f>IF(Q$4=1,IF(OR(INDEX('×入力'!$A$1:$L$1300,511+Q$3,2+Q$2)&lt;&gt;"",INDEX('×入力'!$A$1:$L$1300,510,2+Q$2)&lt;&gt;"",INDEX('×入力'!$A$1:$L$1300,511+Q$3,1)&lt;&gt;""),1,0),0)</f>
        <v/>
      </c>
      <c r="R28">
        <f>IF(R$4=1,IF(OR(INDEX('×入力'!$A$1:$L$1300,511+R$3,2+R$2)&lt;&gt;"",INDEX('×入力'!$A$1:$L$1300,510,2+R$2)&lt;&gt;"",INDEX('×入力'!$A$1:$L$1300,511+R$3,1)&lt;&gt;""),1,0),0)</f>
        <v/>
      </c>
      <c r="S28">
        <f>IF(S$4=1,IF(OR(INDEX('×入力'!$A$1:$L$1300,511+S$3,2+S$2)&lt;&gt;"",INDEX('×入力'!$A$1:$L$1300,510,2+S$2)&lt;&gt;"",INDEX('×入力'!$A$1:$L$1300,511+S$3,1)&lt;&gt;""),1,0),0)</f>
        <v/>
      </c>
      <c r="T28">
        <f>IF(T$4=1,IF(OR(INDEX('×入力'!$A$1:$L$1300,511+T$3,2+T$2)&lt;&gt;"",INDEX('×入力'!$A$1:$L$1300,510,2+T$2)&lt;&gt;"",INDEX('×入力'!$A$1:$L$1300,511+T$3,1)&lt;&gt;""),1,0),0)</f>
        <v/>
      </c>
      <c r="U28">
        <f>IF(U$4=1,IF(OR(INDEX('×入力'!$A$1:$L$1300,511+U$3,2+U$2)&lt;&gt;"",INDEX('×入力'!$A$1:$L$1300,510,2+U$2)&lt;&gt;"",INDEX('×入力'!$A$1:$L$1300,511+U$3,1)&lt;&gt;""),1,0),0)</f>
        <v/>
      </c>
      <c r="V28">
        <f>IF(V$4=1,IF(OR(INDEX('×入力'!$A$1:$L$1300,511+V$3,2+V$2)&lt;&gt;"",INDEX('×入力'!$A$1:$L$1300,510,2+V$2)&lt;&gt;"",INDEX('×入力'!$A$1:$L$1300,511+V$3,1)&lt;&gt;""),1,0),0)</f>
        <v/>
      </c>
      <c r="W28">
        <f>IF(W$4=1,IF(OR(INDEX('×入力'!$A$1:$L$1300,511+W$3,2+W$2)&lt;&gt;"",INDEX('×入力'!$A$1:$L$1300,510,2+W$2)&lt;&gt;"",INDEX('×入力'!$A$1:$L$1300,511+W$3,1)&lt;&gt;""),1,0),0)</f>
        <v/>
      </c>
      <c r="X28">
        <f>IF(X$4=1,IF(OR(INDEX('×入力'!$A$1:$L$1300,511+X$3,2+X$2)&lt;&gt;"",INDEX('×入力'!$A$1:$L$1300,510,2+X$2)&lt;&gt;"",INDEX('×入力'!$A$1:$L$1300,511+X$3,1)&lt;&gt;""),1,0),0)</f>
        <v/>
      </c>
      <c r="Y28">
        <f>IF(Y$4=1,IF(OR(INDEX('×入力'!$A$1:$L$1300,511+Y$3,2+Y$2)&lt;&gt;"",INDEX('×入力'!$A$1:$L$1300,510,2+Y$2)&lt;&gt;"",INDEX('×入力'!$A$1:$L$1300,511+Y$3,1)&lt;&gt;""),1,0),0)</f>
        <v/>
      </c>
      <c r="Z28">
        <f>IF(Z$4=1,IF(OR(INDEX('×入力'!$A$1:$L$1300,511+Z$3,2+Z$2)&lt;&gt;"",INDEX('×入力'!$A$1:$L$1300,510,2+Z$2)&lt;&gt;"",INDEX('×入力'!$A$1:$L$1300,511+Z$3,1)&lt;&gt;""),1,0),0)</f>
        <v/>
      </c>
      <c r="AA28">
        <f>IF(AA$4=1,IF(OR(INDEX('×入力'!$A$1:$L$1300,511+AA$3,2+AA$2)&lt;&gt;"",INDEX('×入力'!$A$1:$L$1300,510,2+AA$2)&lt;&gt;"",INDEX('×入力'!$A$1:$L$1300,511+AA$3,1)&lt;&gt;""),1,0),0)</f>
        <v/>
      </c>
      <c r="AB28">
        <f>IF(AB$4=1,IF(OR(INDEX('×入力'!$A$1:$L$1300,511+AB$3,2+AB$2)&lt;&gt;"",INDEX('×入力'!$A$1:$L$1300,510,2+AB$2)&lt;&gt;"",INDEX('×入力'!$A$1:$L$1300,511+AB$3,1)&lt;&gt;""),1,0),0)</f>
        <v/>
      </c>
      <c r="AC28">
        <f>IF(AC$4=1,IF(OR(INDEX('×入力'!$A$1:$L$1300,511+AC$3,2+AC$2)&lt;&gt;"",INDEX('×入力'!$A$1:$L$1300,510,2+AC$2)&lt;&gt;"",INDEX('×入力'!$A$1:$L$1300,511+AC$3,1)&lt;&gt;""),1,0),0)</f>
        <v/>
      </c>
      <c r="AD28">
        <f>IF(AD$4=1,IF(OR(INDEX('×入力'!$A$1:$L$1300,511+AD$3,2+AD$2)&lt;&gt;"",INDEX('×入力'!$A$1:$L$1300,510,2+AD$2)&lt;&gt;"",INDEX('×入力'!$A$1:$L$1300,511+AD$3,1)&lt;&gt;""),1,0),0)</f>
        <v/>
      </c>
      <c r="AE28">
        <f>IF(AE$4=1,IF(OR(INDEX('×入力'!$A$1:$L$1300,511+AE$3,2+AE$2)&lt;&gt;"",INDEX('×入力'!$A$1:$L$1300,510,2+AE$2)&lt;&gt;"",INDEX('×入力'!$A$1:$L$1300,511+AE$3,1)&lt;&gt;""),1,0),0)</f>
        <v/>
      </c>
      <c r="AF28">
        <f>IF(AF$4=1,IF(OR(INDEX('×入力'!$A$1:$L$1300,511+AF$3,2+AF$2)&lt;&gt;"",INDEX('×入力'!$A$1:$L$1300,510,2+AF$2)&lt;&gt;"",INDEX('×入力'!$A$1:$L$1300,511+AF$3,1)&lt;&gt;""),1,0),0)</f>
        <v/>
      </c>
      <c r="AG28">
        <f>IF(AG$4=1,IF(OR(INDEX('×入力'!$A$1:$L$1300,511+AG$3,2+AG$2)&lt;&gt;"",INDEX('×入力'!$A$1:$L$1300,510,2+AG$2)&lt;&gt;"",INDEX('×入力'!$A$1:$L$1300,511+AG$3,1)&lt;&gt;""),1,0),0)</f>
        <v/>
      </c>
      <c r="AH28">
        <f>IF(AH$4=1,IF(OR(INDEX('×入力'!$A$1:$L$1300,511+AH$3,2+AH$2)&lt;&gt;"",INDEX('×入力'!$A$1:$L$1300,510,2+AH$2)&lt;&gt;"",INDEX('×入力'!$A$1:$L$1300,511+AH$3,1)&lt;&gt;""),1,0),0)</f>
        <v/>
      </c>
      <c r="AI28">
        <f>IF(AI$4=1,IF(OR(INDEX('×入力'!$A$1:$L$1300,511+AI$3,2+AI$2)&lt;&gt;"",INDEX('×入力'!$A$1:$L$1300,510,2+AI$2)&lt;&gt;"",INDEX('×入力'!$A$1:$L$1300,511+AI$3,1)&lt;&gt;""),1,0),0)</f>
        <v/>
      </c>
      <c r="AJ28">
        <f>IF(AJ$4=1,IF(OR(INDEX('×入力'!$A$1:$L$1300,511+AJ$3,2+AJ$2)&lt;&gt;"",INDEX('×入力'!$A$1:$L$1300,510,2+AJ$2)&lt;&gt;"",INDEX('×入力'!$A$1:$L$1300,511+AJ$3,1)&lt;&gt;""),1,0),0)</f>
        <v/>
      </c>
      <c r="AK28">
        <f>IF(AK$4=1,IF(OR(INDEX('×入力'!$A$1:$L$1300,511+AK$3,2+AK$2)&lt;&gt;"",INDEX('×入力'!$A$1:$L$1300,510,2+AK$2)&lt;&gt;"",INDEX('×入力'!$A$1:$L$1300,511+AK$3,1)&lt;&gt;""),1,0),0)</f>
        <v/>
      </c>
      <c r="AL28">
        <f>IF(AL$4=1,IF(OR(INDEX('×入力'!$A$1:$L$1300,511+AL$3,2+AL$2)&lt;&gt;"",INDEX('×入力'!$A$1:$L$1300,510,2+AL$2)&lt;&gt;"",INDEX('×入力'!$A$1:$L$1300,511+AL$3,1)&lt;&gt;""),1,0),0)</f>
        <v/>
      </c>
      <c r="AM28">
        <f>IF(AM$4=1,IF(OR(INDEX('×入力'!$A$1:$L$1300,511+AM$3,2+AM$2)&lt;&gt;"",INDEX('×入力'!$A$1:$L$1300,510,2+AM$2)&lt;&gt;"",INDEX('×入力'!$A$1:$L$1300,511+AM$3,1)&lt;&gt;""),1,0),0)</f>
        <v/>
      </c>
      <c r="AN28">
        <f>IF(AN$4=1,IF(OR(INDEX('×入力'!$A$1:$L$1300,511+AN$3,2+AN$2)&lt;&gt;"",INDEX('×入力'!$A$1:$L$1300,510,2+AN$2)&lt;&gt;"",INDEX('×入力'!$A$1:$L$1300,511+AN$3,1)&lt;&gt;""),1,0),0)</f>
        <v/>
      </c>
      <c r="AO28">
        <f>IF(AO$4=1,IF(OR(INDEX('×入力'!$A$1:$L$1300,511+AO$3,2+AO$2)&lt;&gt;"",INDEX('×入力'!$A$1:$L$1300,510,2+AO$2)&lt;&gt;"",INDEX('×入力'!$A$1:$L$1300,511+AO$3,1)&lt;&gt;""),1,0),0)</f>
        <v/>
      </c>
      <c r="AP28">
        <f>IF(AP$4=1,IF(OR(INDEX('×入力'!$A$1:$L$1300,511+AP$3,2+AP$2)&lt;&gt;"",INDEX('×入力'!$A$1:$L$1300,510,2+AP$2)&lt;&gt;"",INDEX('×入力'!$A$1:$L$1300,511+AP$3,1)&lt;&gt;""),1,0),0)</f>
        <v/>
      </c>
      <c r="AQ28">
        <f>IF(AQ$4=1,IF(OR(INDEX('×入力'!$A$1:$L$1300,511+AQ$3,2+AQ$2)&lt;&gt;"",INDEX('×入力'!$A$1:$L$1300,510,2+AQ$2)&lt;&gt;"",INDEX('×入力'!$A$1:$L$1300,511+AQ$3,1)&lt;&gt;""),1,0),0)</f>
        <v/>
      </c>
      <c r="AR28">
        <f>IF(AR$4=1,IF(OR(INDEX('×入力'!$A$1:$L$1300,511+AR$3,2+AR$2)&lt;&gt;"",INDEX('×入力'!$A$1:$L$1300,510,2+AR$2)&lt;&gt;"",INDEX('×入力'!$A$1:$L$1300,511+AR$3,1)&lt;&gt;""),1,0),0)</f>
        <v/>
      </c>
      <c r="AS28">
        <f>IF(AS$4=1,IF(OR(INDEX('×入力'!$A$1:$L$1300,511+AS$3,2+AS$2)&lt;&gt;"",INDEX('×入力'!$A$1:$L$1300,510,2+AS$2)&lt;&gt;"",INDEX('×入力'!$A$1:$L$1300,511+AS$3,1)&lt;&gt;""),1,0),0)</f>
        <v/>
      </c>
      <c r="AT28">
        <f>IF(AT$4=1,IF(OR(INDEX('×入力'!$A$1:$L$1300,511+AT$3,2+AT$2)&lt;&gt;"",INDEX('×入力'!$A$1:$L$1300,510,2+AT$2)&lt;&gt;"",INDEX('×入力'!$A$1:$L$1300,511+AT$3,1)&lt;&gt;""),1,0),0)</f>
        <v/>
      </c>
      <c r="AU28">
        <f>IF(AU$4=1,IF(OR(INDEX('×入力'!$A$1:$L$1300,511+AU$3,2+AU$2)&lt;&gt;"",INDEX('×入力'!$A$1:$L$1300,510,2+AU$2)&lt;&gt;"",INDEX('×入力'!$A$1:$L$1300,511+AU$3,1)&lt;&gt;""),1,0),0)</f>
        <v/>
      </c>
      <c r="AV28">
        <f>IF(AV$4=1,IF(OR(INDEX('×入力'!$A$1:$L$1300,511+AV$3,2+AV$2)&lt;&gt;"",INDEX('×入力'!$A$1:$L$1300,510,2+AV$2)&lt;&gt;"",INDEX('×入力'!$A$1:$L$1300,511+AV$3,1)&lt;&gt;""),1,0),0)</f>
        <v/>
      </c>
      <c r="AW28">
        <f>IF(AW$4=1,IF(OR(INDEX('×入力'!$A$1:$L$1300,511+AW$3,2+AW$2)&lt;&gt;"",INDEX('×入力'!$A$1:$L$1300,510,2+AW$2)&lt;&gt;"",INDEX('×入力'!$A$1:$L$1300,511+AW$3,1)&lt;&gt;""),1,0),0)</f>
        <v/>
      </c>
      <c r="AX28">
        <f>IF(AX$4=1,IF(OR(INDEX('×入力'!$A$1:$L$1300,511+AX$3,2+AX$2)&lt;&gt;"",INDEX('×入力'!$A$1:$L$1300,510,2+AX$2)&lt;&gt;"",INDEX('×入力'!$A$1:$L$1300,511+AX$3,1)&lt;&gt;""),1,0),0)</f>
        <v/>
      </c>
      <c r="AY28">
        <f>IF(AY$4=1,IF(OR(INDEX('×入力'!$A$1:$L$1300,511+AY$3,2+AY$2)&lt;&gt;"",INDEX('×入力'!$A$1:$L$1300,510,2+AY$2)&lt;&gt;"",INDEX('×入力'!$A$1:$L$1300,511+AY$3,1)&lt;&gt;""),1,0),0)</f>
        <v/>
      </c>
      <c r="AZ28">
        <f>IF(AZ$4=1,IF(OR(INDEX('×入力'!$A$1:$L$1300,511+AZ$3,2+AZ$2)&lt;&gt;"",INDEX('×入力'!$A$1:$L$1300,510,2+AZ$2)&lt;&gt;"",INDEX('×入力'!$A$1:$L$1300,511+AZ$3,1)&lt;&gt;""),1,0),0)</f>
        <v/>
      </c>
      <c r="BA28">
        <f>IF(BA$4=1,IF(OR(INDEX('×入力'!$A$1:$L$1300,511+BA$3,2+BA$2)&lt;&gt;"",INDEX('×入力'!$A$1:$L$1300,510,2+BA$2)&lt;&gt;"",INDEX('×入力'!$A$1:$L$1300,511+BA$3,1)&lt;&gt;""),1,0),0)</f>
        <v/>
      </c>
      <c r="BB28">
        <f>IF(BB$4=1,IF(OR(INDEX('×入力'!$A$1:$L$1300,511+BB$3,2+BB$2)&lt;&gt;"",INDEX('×入力'!$A$1:$L$1300,510,2+BB$2)&lt;&gt;"",INDEX('×入力'!$A$1:$L$1300,511+BB$3,1)&lt;&gt;""),1,0),0)</f>
        <v/>
      </c>
      <c r="BC28">
        <f>IF(BC$4=1,IF(OR(INDEX('×入力'!$A$1:$L$1300,511+BC$3,2+BC$2)&lt;&gt;"",INDEX('×入力'!$A$1:$L$1300,510,2+BC$2)&lt;&gt;"",INDEX('×入力'!$A$1:$L$1300,511+BC$3,1)&lt;&gt;""),1,0),0)</f>
        <v/>
      </c>
      <c r="BD28">
        <f>IF(BD$4=1,IF(OR(INDEX('×入力'!$A$1:$L$1300,511+BD$3,2+BD$2)&lt;&gt;"",INDEX('×入力'!$A$1:$L$1300,510,2+BD$2)&lt;&gt;"",INDEX('×入力'!$A$1:$L$1300,511+BD$3,1)&lt;&gt;""),1,0),0)</f>
        <v/>
      </c>
      <c r="BE28">
        <f>IF(BE$4=1,IF(OR(INDEX('×入力'!$A$1:$L$1300,511+BE$3,2+BE$2)&lt;&gt;"",INDEX('×入力'!$A$1:$L$1300,510,2+BE$2)&lt;&gt;"",INDEX('×入力'!$A$1:$L$1300,511+BE$3,1)&lt;&gt;""),1,0),0)</f>
        <v/>
      </c>
      <c r="BF28">
        <f>IF(BF$4=1,IF(OR(INDEX('×入力'!$A$1:$L$1300,511+BF$3,2+BF$2)&lt;&gt;"",INDEX('×入力'!$A$1:$L$1300,510,2+BF$2)&lt;&gt;"",INDEX('×入力'!$A$1:$L$1300,511+BF$3,1)&lt;&gt;""),1,0),0)</f>
        <v/>
      </c>
      <c r="BG28">
        <f>IF(BG$4=1,IF(OR(INDEX('×入力'!$A$1:$L$1300,511+BG$3,2+BG$2)&lt;&gt;"",INDEX('×入力'!$A$1:$L$1300,510,2+BG$2)&lt;&gt;"",INDEX('×入力'!$A$1:$L$1300,511+BG$3,1)&lt;&gt;""),1,0),0)</f>
        <v/>
      </c>
      <c r="BH28">
        <f>IF(BH$4=1,IF(OR(INDEX('×入力'!$A$1:$L$1300,511+BH$3,2+BH$2)&lt;&gt;"",INDEX('×入力'!$A$1:$L$1300,510,2+BH$2)&lt;&gt;"",INDEX('×入力'!$A$1:$L$1300,511+BH$3,1)&lt;&gt;""),1,0),0)</f>
        <v/>
      </c>
      <c r="BI28">
        <f>IF(BI$4=1,IF(OR(INDEX('×入力'!$A$1:$L$1300,511+BI$3,2+BI$2)&lt;&gt;"",INDEX('×入力'!$A$1:$L$1300,510,2+BI$2)&lt;&gt;"",INDEX('×入力'!$A$1:$L$1300,511+BI$3,1)&lt;&gt;""),1,0),0)</f>
        <v/>
      </c>
      <c r="BJ28">
        <f>IF(BJ$4=1,IF(OR(INDEX('×入力'!$A$1:$L$1300,511+BJ$3,2+BJ$2)&lt;&gt;"",INDEX('×入力'!$A$1:$L$1300,510,2+BJ$2)&lt;&gt;"",INDEX('×入力'!$A$1:$L$1300,511+BJ$3,1)&lt;&gt;""),1,0),0)</f>
        <v/>
      </c>
      <c r="BK28">
        <f>IF(BK$4=1,IF(OR(INDEX('×入力'!$A$1:$L$1300,511+BK$3,2+BK$2)&lt;&gt;"",INDEX('×入力'!$A$1:$L$1300,510,2+BK$2)&lt;&gt;"",INDEX('×入力'!$A$1:$L$1300,511+BK$3,1)&lt;&gt;""),1,0),0)</f>
        <v/>
      </c>
      <c r="BL28">
        <f>IF(BL$4=1,IF(OR(INDEX('×入力'!$A$1:$L$1300,511+BL$3,2+BL$2)&lt;&gt;"",INDEX('×入力'!$A$1:$L$1300,510,2+BL$2)&lt;&gt;"",INDEX('×入力'!$A$1:$L$1300,511+BL$3,1)&lt;&gt;""),1,0),0)</f>
        <v/>
      </c>
      <c r="BM28">
        <f>IF(BM$4=1,IF(OR(INDEX('×入力'!$A$1:$L$1300,511+BM$3,2+BM$2)&lt;&gt;"",INDEX('×入力'!$A$1:$L$1300,510,2+BM$2)&lt;&gt;"",INDEX('×入力'!$A$1:$L$1300,511+BM$3,1)&lt;&gt;""),1,0),0)</f>
        <v/>
      </c>
      <c r="BN28">
        <f>IF(BN$4=1,IF(OR(INDEX('×入力'!$A$1:$L$1300,511+BN$3,2+BN$2)&lt;&gt;"",INDEX('×入力'!$A$1:$L$1300,510,2+BN$2)&lt;&gt;"",INDEX('×入力'!$A$1:$L$1300,511+BN$3,1)&lt;&gt;""),1,0),0)</f>
        <v/>
      </c>
      <c r="BO28">
        <f>IF(BO$4=1,IF(OR(INDEX('×入力'!$A$1:$L$1300,511+BO$3,2+BO$2)&lt;&gt;"",INDEX('×入力'!$A$1:$L$1300,510,2+BO$2)&lt;&gt;"",INDEX('×入力'!$A$1:$L$1300,511+BO$3,1)&lt;&gt;""),1,0),0)</f>
        <v/>
      </c>
      <c r="BP28">
        <f>IF(BP$4=1,IF(OR(INDEX('×入力'!$A$1:$L$1300,511+BP$3,2+BP$2)&lt;&gt;"",INDEX('×入力'!$A$1:$L$1300,510,2+BP$2)&lt;&gt;"",INDEX('×入力'!$A$1:$L$1300,511+BP$3,1)&lt;&gt;""),1,0),0)</f>
        <v/>
      </c>
      <c r="BQ28">
        <f>IF(BQ$4=1,IF(OR(INDEX('×入力'!$A$1:$L$1300,511+BQ$3,2+BQ$2)&lt;&gt;"",INDEX('×入力'!$A$1:$L$1300,510,2+BQ$2)&lt;&gt;"",INDEX('×入力'!$A$1:$L$1300,511+BQ$3,1)&lt;&gt;""),1,0),0)</f>
        <v/>
      </c>
      <c r="BR28">
        <f>IF(BR$4=1,IF(OR(INDEX('×入力'!$A$1:$L$1300,511+BR$3,2+BR$2)&lt;&gt;"",INDEX('×入力'!$A$1:$L$1300,510,2+BR$2)&lt;&gt;"",INDEX('×入力'!$A$1:$L$1300,511+BR$3,1)&lt;&gt;""),1,0),0)</f>
        <v/>
      </c>
      <c r="BS28">
        <f>IF(BS$4=1,IF(OR(INDEX('×入力'!$A$1:$L$1300,511+BS$3,2+BS$2)&lt;&gt;"",INDEX('×入力'!$A$1:$L$1300,510,2+BS$2)&lt;&gt;"",INDEX('×入力'!$A$1:$L$1300,511+BS$3,1)&lt;&gt;""),1,0),0)</f>
        <v/>
      </c>
      <c r="BT28">
        <f>IF(BT$4=1,IF(OR(INDEX('×入力'!$A$1:$L$1300,511+BT$3,2+BT$2)&lt;&gt;"",INDEX('×入力'!$A$1:$L$1300,510,2+BT$2)&lt;&gt;"",INDEX('×入力'!$A$1:$L$1300,511+BT$3,1)&lt;&gt;""),1,0),0)</f>
        <v/>
      </c>
      <c r="BU28">
        <f>IF(BU$4=1,IF(OR(INDEX('×入力'!$A$1:$L$1300,511+BU$3,2+BU$2)&lt;&gt;"",INDEX('×入力'!$A$1:$L$1300,510,2+BU$2)&lt;&gt;"",INDEX('×入力'!$A$1:$L$1300,511+BU$3,1)&lt;&gt;""),1,0),0)</f>
        <v/>
      </c>
      <c r="BV28">
        <f>IF(BV$4=1,IF(OR(INDEX('×入力'!$A$1:$L$1300,511+BV$3,2+BV$2)&lt;&gt;"",INDEX('×入力'!$A$1:$L$1300,510,2+BV$2)&lt;&gt;"",INDEX('×入力'!$A$1:$L$1300,511+BV$3,1)&lt;&gt;""),1,0),0)</f>
        <v/>
      </c>
      <c r="BW28">
        <f>IF(BW$4=1,IF(OR(INDEX('×入力'!$A$1:$L$1300,511+BW$3,2+BW$2)&lt;&gt;"",INDEX('×入力'!$A$1:$L$1300,510,2+BW$2)&lt;&gt;"",INDEX('×入力'!$A$1:$L$1300,511+BW$3,1)&lt;&gt;""),1,0),0)</f>
        <v/>
      </c>
      <c r="BX28">
        <f>IF(BX$4=1,IF(OR(INDEX('×入力'!$A$1:$L$1300,511+BX$3,2+BX$2)&lt;&gt;"",INDEX('×入力'!$A$1:$L$1300,510,2+BX$2)&lt;&gt;"",INDEX('×入力'!$A$1:$L$1300,511+BX$3,1)&lt;&gt;""),1,0),0)</f>
        <v/>
      </c>
      <c r="BY28">
        <f>IF(BY$4=1,IF(OR(INDEX('×入力'!$A$1:$L$1300,511+BY$3,2+BY$2)&lt;&gt;"",INDEX('×入力'!$A$1:$L$1300,510,2+BY$2)&lt;&gt;"",INDEX('×入力'!$A$1:$L$1300,511+BY$3,1)&lt;&gt;""),1,0),0)</f>
        <v/>
      </c>
      <c r="BZ28">
        <f>IF(BZ$4=1,IF(OR(INDEX('×入力'!$A$1:$L$1300,511+BZ$3,2+BZ$2)&lt;&gt;"",INDEX('×入力'!$A$1:$L$1300,510,2+BZ$2)&lt;&gt;"",INDEX('×入力'!$A$1:$L$1300,511+BZ$3,1)&lt;&gt;""),1,0),0)</f>
        <v/>
      </c>
      <c r="CA28">
        <f>IF(CA$4=1,IF(OR(INDEX('×入力'!$A$1:$L$1300,511+CA$3,2+CA$2)&lt;&gt;"",INDEX('×入力'!$A$1:$L$1300,510,2+CA$2)&lt;&gt;"",INDEX('×入力'!$A$1:$L$1300,511+CA$3,1)&lt;&gt;""),1,0),0)</f>
        <v/>
      </c>
      <c r="CB28">
        <f>IF(CB$4=1,IF(OR(INDEX('×入力'!$A$1:$L$1300,511+CB$3,2+CB$2)&lt;&gt;"",INDEX('×入力'!$A$1:$L$1300,510,2+CB$2)&lt;&gt;"",INDEX('×入力'!$A$1:$L$1300,511+CB$3,1)&lt;&gt;""),1,0),0)</f>
        <v/>
      </c>
      <c r="CC28">
        <f>IF(CC$4=1,IF(OR(INDEX('×入力'!$A$1:$L$1300,511+CC$3,2+CC$2)&lt;&gt;"",INDEX('×入力'!$A$1:$L$1300,510,2+CC$2)&lt;&gt;"",INDEX('×入力'!$A$1:$L$1300,511+CC$3,1)&lt;&gt;""),1,0),0)</f>
        <v/>
      </c>
      <c r="CD28">
        <f>IF(CD$4=1,IF(OR(INDEX('×入力'!$A$1:$L$1300,511+CD$3,2+CD$2)&lt;&gt;"",INDEX('×入力'!$A$1:$L$1300,510,2+CD$2)&lt;&gt;"",INDEX('×入力'!$A$1:$L$1300,511+CD$3,1)&lt;&gt;""),1,0),0)</f>
        <v/>
      </c>
      <c r="CE28">
        <f>IF(CE$4=1,IF(OR(INDEX('×入力'!$A$1:$L$1300,511+CE$3,2+CE$2)&lt;&gt;"",INDEX('×入力'!$A$1:$L$1300,510,2+CE$2)&lt;&gt;"",INDEX('×入力'!$A$1:$L$1300,511+CE$3,1)&lt;&gt;""),1,0),0)</f>
        <v/>
      </c>
      <c r="CF28">
        <f>IF(CF$4=1,IF(OR(INDEX('×入力'!$A$1:$L$1300,511+CF$3,2+CF$2)&lt;&gt;"",INDEX('×入力'!$A$1:$L$1300,510,2+CF$2)&lt;&gt;"",INDEX('×入力'!$A$1:$L$1300,511+CF$3,1)&lt;&gt;""),1,0),0)</f>
        <v/>
      </c>
      <c r="CG28">
        <f>IF(CG$4=1,IF(OR(INDEX('×入力'!$A$1:$L$1300,511+CG$3,2+CG$2)&lt;&gt;"",INDEX('×入力'!$A$1:$L$1300,510,2+CG$2)&lt;&gt;"",INDEX('×入力'!$A$1:$L$1300,511+CG$3,1)&lt;&gt;""),1,0),0)</f>
        <v/>
      </c>
      <c r="CH28">
        <f>IF(CH$4=1,IF(OR(INDEX('×入力'!$A$1:$L$1300,511+CH$3,2+CH$2)&lt;&gt;"",INDEX('×入力'!$A$1:$L$1300,510,2+CH$2)&lt;&gt;"",INDEX('×入力'!$A$1:$L$1300,511+CH$3,1)&lt;&gt;""),1,0),0)</f>
        <v/>
      </c>
      <c r="CI28">
        <f>IF(CI$4=1,IF(OR(INDEX('×入力'!$A$1:$L$1300,511+CI$3,2+CI$2)&lt;&gt;"",INDEX('×入力'!$A$1:$L$1300,510,2+CI$2)&lt;&gt;"",INDEX('×入力'!$A$1:$L$1300,511+CI$3,1)&lt;&gt;""),1,0),0)</f>
        <v/>
      </c>
      <c r="CJ28">
        <f>IF(CJ$4=1,IF(OR(INDEX('×入力'!$A$1:$L$1300,511+CJ$3,2+CJ$2)&lt;&gt;"",INDEX('×入力'!$A$1:$L$1300,510,2+CJ$2)&lt;&gt;"",INDEX('×入力'!$A$1:$L$1300,511+CJ$3,1)&lt;&gt;""),1,0),0)</f>
        <v/>
      </c>
      <c r="CK28">
        <f>IF(CK$4=1,IF(OR(INDEX('×入力'!$A$1:$L$1300,511+CK$3,2+CK$2)&lt;&gt;"",INDEX('×入力'!$A$1:$L$1300,510,2+CK$2)&lt;&gt;"",INDEX('×入力'!$A$1:$L$1300,511+CK$3,1)&lt;&gt;""),1,0),0)</f>
        <v/>
      </c>
      <c r="CL28">
        <f>IF(CL$4=1,IF(OR(INDEX('×入力'!$A$1:$L$1300,511+CL$3,2+CL$2)&lt;&gt;"",INDEX('×入力'!$A$1:$L$1300,510,2+CL$2)&lt;&gt;"",INDEX('×入力'!$A$1:$L$1300,511+CL$3,1)&lt;&gt;""),1,0),0)</f>
        <v/>
      </c>
      <c r="CM28">
        <f>IF(CM$4=1,IF(OR(INDEX('×入力'!$A$1:$L$1300,511+CM$3,2+CM$2)&lt;&gt;"",INDEX('×入力'!$A$1:$L$1300,510,2+CM$2)&lt;&gt;"",INDEX('×入力'!$A$1:$L$1300,511+CM$3,1)&lt;&gt;""),1,0),0)</f>
        <v/>
      </c>
      <c r="CN28">
        <f>IF(CN$4=1,IF(OR(INDEX('×入力'!$A$1:$L$1300,511+CN$3,2+CN$2)&lt;&gt;"",INDEX('×入力'!$A$1:$L$1300,510,2+CN$2)&lt;&gt;"",INDEX('×入力'!$A$1:$L$1300,511+CN$3,1)&lt;&gt;""),1,0),0)</f>
        <v/>
      </c>
      <c r="CO28">
        <f>IF(CO$4=1,IF(OR(INDEX('×入力'!$A$1:$L$1300,511+CO$3,2+CO$2)&lt;&gt;"",INDEX('×入力'!$A$1:$L$1300,510,2+CO$2)&lt;&gt;"",INDEX('×入力'!$A$1:$L$1300,511+CO$3,1)&lt;&gt;""),1,0),0)</f>
        <v/>
      </c>
      <c r="CP28">
        <f>IF(CP$4=1,IF(OR(INDEX('×入力'!$A$1:$L$1300,511+CP$3,2+CP$2)&lt;&gt;"",INDEX('×入力'!$A$1:$L$1300,510,2+CP$2)&lt;&gt;"",INDEX('×入力'!$A$1:$L$1300,511+CP$3,1)&lt;&gt;""),1,0),0)</f>
        <v/>
      </c>
      <c r="CQ28">
        <f>IF(CQ$4=1,IF(OR(INDEX('×入力'!$A$1:$L$1300,511+CQ$3,2+CQ$2)&lt;&gt;"",INDEX('×入力'!$A$1:$L$1300,510,2+CQ$2)&lt;&gt;"",INDEX('×入力'!$A$1:$L$1300,511+CQ$3,1)&lt;&gt;""),1,0),0)</f>
        <v/>
      </c>
      <c r="CR28">
        <f>IF(CR$4=1,IF(OR(INDEX('×入力'!$A$1:$L$1300,511+CR$3,2+CR$2)&lt;&gt;"",INDEX('×入力'!$A$1:$L$1300,510,2+CR$2)&lt;&gt;"",INDEX('×入力'!$A$1:$L$1300,511+CR$3,1)&lt;&gt;""),1,0),0)</f>
        <v/>
      </c>
      <c r="CS28">
        <f>IF(CS$4=1,IF(OR(INDEX('×入力'!$A$1:$L$1300,511+CS$3,2+CS$2)&lt;&gt;"",INDEX('×入力'!$A$1:$L$1300,510,2+CS$2)&lt;&gt;"",INDEX('×入力'!$A$1:$L$1300,511+CS$3,1)&lt;&gt;""),1,0),0)</f>
        <v/>
      </c>
      <c r="CT28">
        <f>IF(CT$4=1,IF(OR(INDEX('×入力'!$A$1:$L$1300,511+CT$3,2+CT$2)&lt;&gt;"",INDEX('×入力'!$A$1:$L$1300,510,2+CT$2)&lt;&gt;"",INDEX('×入力'!$A$1:$L$1300,511+CT$3,1)&lt;&gt;""),1,0),0)</f>
        <v/>
      </c>
      <c r="CU28">
        <f>IF(CU$4=1,IF(OR(INDEX('×入力'!$A$1:$L$1300,511+CU$3,2+CU$2)&lt;&gt;"",INDEX('×入力'!$A$1:$L$1300,510,2+CU$2)&lt;&gt;"",INDEX('×入力'!$A$1:$L$1300,511+CU$3,1)&lt;&gt;""),1,0),0)</f>
        <v/>
      </c>
      <c r="CV28">
        <f>IF(CV$4=1,IF(OR(INDEX('×入力'!$A$1:$L$1300,511+CV$3,2+CV$2)&lt;&gt;"",INDEX('×入力'!$A$1:$L$1300,510,2+CV$2)&lt;&gt;"",INDEX('×入力'!$A$1:$L$1300,511+CV$3,1)&lt;&gt;""),1,0),0)</f>
        <v/>
      </c>
      <c r="CW28">
        <f>IF(CW$4=1,IF(OR(INDEX('×入力'!$A$1:$L$1300,511+CW$3,2+CW$2)&lt;&gt;"",INDEX('×入力'!$A$1:$L$1300,510,2+CW$2)&lt;&gt;"",INDEX('×入力'!$A$1:$L$1300,511+CW$3,1)&lt;&gt;""),1,0),0)</f>
        <v/>
      </c>
      <c r="CX28">
        <f>IF(CX$4=1,IF(OR(INDEX('×入力'!$A$1:$L$1300,511+CX$3,2+CX$2)&lt;&gt;"",INDEX('×入力'!$A$1:$L$1300,510,2+CX$2)&lt;&gt;"",INDEX('×入力'!$A$1:$L$1300,511+CX$3,1)&lt;&gt;""),1,0),0)</f>
        <v/>
      </c>
      <c r="CY28">
        <f>IF(CY$4=1,IF(OR(INDEX('×入力'!$A$1:$L$1300,511+CY$3,2+CY$2)&lt;&gt;"",INDEX('×入力'!$A$1:$L$1300,510,2+CY$2)&lt;&gt;"",INDEX('×入力'!$A$1:$L$1300,511+CY$3,1)&lt;&gt;""),1,0),0)</f>
        <v/>
      </c>
      <c r="CZ28">
        <f>IF(CZ$4=1,IF(OR(INDEX('×入力'!$A$1:$L$1300,511+CZ$3,2+CZ$2)&lt;&gt;"",INDEX('×入力'!$A$1:$L$1300,510,2+CZ$2)&lt;&gt;"",INDEX('×入力'!$A$1:$L$1300,511+CZ$3,1)&lt;&gt;""),1,0),0)</f>
        <v/>
      </c>
      <c r="DA28">
        <f>IF(DA$4=1,IF(OR(INDEX('×入力'!$A$1:$L$1300,511+DA$3,2+DA$2)&lt;&gt;"",INDEX('×入力'!$A$1:$L$1300,510,2+DA$2)&lt;&gt;"",INDEX('×入力'!$A$1:$L$1300,511+DA$3,1)&lt;&gt;""),1,0),0)</f>
        <v/>
      </c>
      <c r="DB28">
        <f>IF(DB$4=1,IF(OR(INDEX('×入力'!$A$1:$L$1300,511+DB$3,2+DB$2)&lt;&gt;"",INDEX('×入力'!$A$1:$L$1300,510,2+DB$2)&lt;&gt;"",INDEX('×入力'!$A$1:$L$1300,511+DB$3,1)&lt;&gt;""),1,0),0)</f>
        <v/>
      </c>
      <c r="DC28">
        <f>IF(DC$4=1,IF(OR(INDEX('×入力'!$A$1:$L$1300,511+DC$3,2+DC$2)&lt;&gt;"",INDEX('×入力'!$A$1:$L$1300,510,2+DC$2)&lt;&gt;"",INDEX('×入力'!$A$1:$L$1300,511+DC$3,1)&lt;&gt;""),1,0),0)</f>
        <v/>
      </c>
      <c r="DD28">
        <f>IF(DD$4=1,IF(OR(INDEX('×入力'!$A$1:$L$1300,511+DD$3,2+DD$2)&lt;&gt;"",INDEX('×入力'!$A$1:$L$1300,510,2+DD$2)&lt;&gt;"",INDEX('×入力'!$A$1:$L$1300,511+DD$3,1)&lt;&gt;""),1,0),0)</f>
        <v/>
      </c>
      <c r="DE28">
        <f>IF(DE$4=1,IF(OR(INDEX('×入力'!$A$1:$L$1300,511+DE$3,2+DE$2)&lt;&gt;"",INDEX('×入力'!$A$1:$L$1300,510,2+DE$2)&lt;&gt;"",INDEX('×入力'!$A$1:$L$1300,511+DE$3,1)&lt;&gt;""),1,0),0)</f>
        <v/>
      </c>
      <c r="DF28">
        <f>IF(DF$4=1,IF(OR(INDEX('×入力'!$A$1:$L$1300,511+DF$3,2+DF$2)&lt;&gt;"",INDEX('×入力'!$A$1:$L$1300,510,2+DF$2)&lt;&gt;"",INDEX('×入力'!$A$1:$L$1300,511+DF$3,1)&lt;&gt;""),1,0),0)</f>
        <v/>
      </c>
      <c r="DG28">
        <f>IF(DG$4=1,IF(OR(INDEX('×入力'!$A$1:$L$1300,511+DG$3,2+DG$2)&lt;&gt;"",INDEX('×入力'!$A$1:$L$1300,510,2+DG$2)&lt;&gt;"",INDEX('×入力'!$A$1:$L$1300,511+DG$3,1)&lt;&gt;""),1,0),0)</f>
        <v/>
      </c>
      <c r="DH28">
        <f>IF(DH$4=1,IF(OR(INDEX('×入力'!$A$1:$L$1300,511+DH$3,2+DH$2)&lt;&gt;"",INDEX('×入力'!$A$1:$L$1300,510,2+DH$2)&lt;&gt;"",INDEX('×入力'!$A$1:$L$1300,511+DH$3,1)&lt;&gt;""),1,0),0)</f>
        <v/>
      </c>
      <c r="DI28">
        <f>IF(DI$4=1,IF(OR(INDEX('×入力'!$A$1:$L$1300,511+DI$3,2+DI$2)&lt;&gt;"",INDEX('×入力'!$A$1:$L$1300,510,2+DI$2)&lt;&gt;"",INDEX('×入力'!$A$1:$L$1300,511+DI$3,1)&lt;&gt;""),1,0),0)</f>
        <v/>
      </c>
      <c r="DJ28">
        <f>IF(DJ$4=1,IF(OR(INDEX('×入力'!$A$1:$L$1300,511+DJ$3,2+DJ$2)&lt;&gt;"",INDEX('×入力'!$A$1:$L$1300,510,2+DJ$2)&lt;&gt;"",INDEX('×入力'!$A$1:$L$1300,511+DJ$3,1)&lt;&gt;""),1,0),0)</f>
        <v/>
      </c>
      <c r="DK28">
        <f>IF(DK$4=1,IF(OR(INDEX('×入力'!$A$1:$L$1300,511+DK$3,2+DK$2)&lt;&gt;"",INDEX('×入力'!$A$1:$L$1300,510,2+DK$2)&lt;&gt;"",INDEX('×入力'!$A$1:$L$1300,511+DK$3,1)&lt;&gt;""),1,0),0)</f>
        <v/>
      </c>
      <c r="DL28">
        <f>IF(DL$4=1,IF(OR(INDEX('×入力'!$A$1:$L$1300,511+DL$3,2+DL$2)&lt;&gt;"",INDEX('×入力'!$A$1:$L$1300,510,2+DL$2)&lt;&gt;"",INDEX('×入力'!$A$1:$L$1300,511+DL$3,1)&lt;&gt;""),1,0),0)</f>
        <v/>
      </c>
      <c r="DM28">
        <f>IF(DM$4=1,IF(OR(INDEX('×入力'!$A$1:$L$1300,511+DM$3,2+DM$2)&lt;&gt;"",INDEX('×入力'!$A$1:$L$1300,510,2+DM$2)&lt;&gt;"",INDEX('×入力'!$A$1:$L$1300,511+DM$3,1)&lt;&gt;""),1,0),0)</f>
        <v/>
      </c>
      <c r="DN28">
        <f>IF(DN$4=1,IF(OR(INDEX('×入力'!$A$1:$L$1300,511+DN$3,2+DN$2)&lt;&gt;"",INDEX('×入力'!$A$1:$L$1300,510,2+DN$2)&lt;&gt;"",INDEX('×入力'!$A$1:$L$1300,511+DN$3,1)&lt;&gt;""),1,0),0)</f>
        <v/>
      </c>
      <c r="DO28">
        <f>IF(DO$4=1,IF(OR(INDEX('×入力'!$A$1:$L$1300,511+DO$3,2+DO$2)&lt;&gt;"",INDEX('×入力'!$A$1:$L$1300,510,2+DO$2)&lt;&gt;"",INDEX('×入力'!$A$1:$L$1300,511+DO$3,1)&lt;&gt;""),1,0),0)</f>
        <v/>
      </c>
      <c r="DP28">
        <f>IF(DP$4=1,IF(OR(INDEX('×入力'!$A$1:$L$1300,511+DP$3,2+DP$2)&lt;&gt;"",INDEX('×入力'!$A$1:$L$1300,510,2+DP$2)&lt;&gt;"",INDEX('×入力'!$A$1:$L$1300,511+DP$3,1)&lt;&gt;""),1,0),0)</f>
        <v/>
      </c>
      <c r="DQ28">
        <f>IF(DQ$4=1,IF(OR(INDEX('×入力'!$A$1:$L$1300,511+DQ$3,2+DQ$2)&lt;&gt;"",INDEX('×入力'!$A$1:$L$1300,510,2+DQ$2)&lt;&gt;"",INDEX('×入力'!$A$1:$L$1300,511+DQ$3,1)&lt;&gt;""),1,0),0)</f>
        <v/>
      </c>
      <c r="DR28">
        <f>IF(DR$4=1,IF(OR(INDEX('×入力'!$A$1:$L$1300,511+DR$3,2+DR$2)&lt;&gt;"",INDEX('×入力'!$A$1:$L$1300,510,2+DR$2)&lt;&gt;"",INDEX('×入力'!$A$1:$L$1300,511+DR$3,1)&lt;&gt;""),1,0),0)</f>
        <v/>
      </c>
      <c r="DS28">
        <f>IF(DS$4=1,IF(OR(INDEX('×入力'!$A$1:$L$1300,511+DS$3,2+DS$2)&lt;&gt;"",INDEX('×入力'!$A$1:$L$1300,510,2+DS$2)&lt;&gt;"",INDEX('×入力'!$A$1:$L$1300,511+DS$3,1)&lt;&gt;""),1,0),0)</f>
        <v/>
      </c>
      <c r="DT28">
        <f>IF(DT$4=1,IF(OR(INDEX('×入力'!$A$1:$L$1300,511+DT$3,2+DT$2)&lt;&gt;"",INDEX('×入力'!$A$1:$L$1300,510,2+DT$2)&lt;&gt;"",INDEX('×入力'!$A$1:$L$1300,511+DT$3,1)&lt;&gt;""),1,0),0)</f>
        <v/>
      </c>
      <c r="DU28">
        <f>IF(DU$4=1,IF(OR(INDEX('×入力'!$A$1:$L$1300,511+DU$3,2+DU$2)&lt;&gt;"",INDEX('×入力'!$A$1:$L$1300,510,2+DU$2)&lt;&gt;"",INDEX('×入力'!$A$1:$L$1300,511+DU$3,1)&lt;&gt;""),1,0),0)</f>
        <v/>
      </c>
      <c r="DV28">
        <f>IF(DV$4=1,IF(OR(INDEX('×入力'!$A$1:$L$1300,511+DV$3,2+DV$2)&lt;&gt;"",INDEX('×入力'!$A$1:$L$1300,510,2+DV$2)&lt;&gt;"",INDEX('×入力'!$A$1:$L$1300,511+DV$3,1)&lt;&gt;""),1,0),0)</f>
        <v/>
      </c>
      <c r="DW28">
        <f>IF(DW$4=1,IF(OR(INDEX('×入力'!$A$1:$L$1300,511+DW$3,2+DW$2)&lt;&gt;"",INDEX('×入力'!$A$1:$L$1300,510,2+DW$2)&lt;&gt;"",INDEX('×入力'!$A$1:$L$1300,511+DW$3,1)&lt;&gt;""),1,0),0)</f>
        <v/>
      </c>
      <c r="DX28">
        <f>IF(DX$4=1,IF(OR(INDEX('×入力'!$A$1:$L$1300,511+DX$3,2+DX$2)&lt;&gt;"",INDEX('×入力'!$A$1:$L$1300,510,2+DX$2)&lt;&gt;"",INDEX('×入力'!$A$1:$L$1300,511+DX$3,1)&lt;&gt;""),1,0),0)</f>
        <v/>
      </c>
      <c r="DY28">
        <f>IF(DY$4=1,IF(OR(INDEX('×入力'!$A$1:$L$1300,511+DY$3,2+DY$2)&lt;&gt;"",INDEX('×入力'!$A$1:$L$1300,510,2+DY$2)&lt;&gt;"",INDEX('×入力'!$A$1:$L$1300,511+DY$3,1)&lt;&gt;""),1,0),0)</f>
        <v/>
      </c>
      <c r="DZ28">
        <f>IF(DZ$4=1,IF(OR(INDEX('×入力'!$A$1:$L$1300,511+DZ$3,2+DZ$2)&lt;&gt;"",INDEX('×入力'!$A$1:$L$1300,510,2+DZ$2)&lt;&gt;"",INDEX('×入力'!$A$1:$L$1300,511+DZ$3,1)&lt;&gt;""),1,0),0)</f>
        <v/>
      </c>
      <c r="EA28">
        <f>IF(EA$4=1,IF(OR(INDEX('×入力'!$A$1:$L$1300,511+EA$3,2+EA$2)&lt;&gt;"",INDEX('×入力'!$A$1:$L$1300,510,2+EA$2)&lt;&gt;"",INDEX('×入力'!$A$1:$L$1300,511+EA$3,1)&lt;&gt;""),1,0),0)</f>
        <v/>
      </c>
      <c r="EB28">
        <f>IF(EB$4=1,IF(OR(INDEX('×入力'!$A$1:$L$1300,511+EB$3,2+EB$2)&lt;&gt;"",INDEX('×入力'!$A$1:$L$1300,510,2+EB$2)&lt;&gt;"",INDEX('×入力'!$A$1:$L$1300,511+EB$3,1)&lt;&gt;""),1,0),0)</f>
        <v/>
      </c>
      <c r="EC28">
        <f>IF(EC$4=1,IF(OR(INDEX('×入力'!$A$1:$L$1300,511+EC$3,2+EC$2)&lt;&gt;"",INDEX('×入力'!$A$1:$L$1300,510,2+EC$2)&lt;&gt;"",INDEX('×入力'!$A$1:$L$1300,511+EC$3,1)&lt;&gt;""),1,0),0)</f>
        <v/>
      </c>
      <c r="ED28">
        <f>IF(ED$4=1,IF(OR(INDEX('×入力'!$A$1:$L$1300,511+ED$3,2+ED$2)&lt;&gt;"",INDEX('×入力'!$A$1:$L$1300,510,2+ED$2)&lt;&gt;"",INDEX('×入力'!$A$1:$L$1300,511+ED$3,1)&lt;&gt;""),1,0),0)</f>
        <v/>
      </c>
      <c r="EE28">
        <f>IF(EE$4=1,IF(OR(INDEX('×入力'!$A$1:$L$1300,511+EE$3,2+EE$2)&lt;&gt;"",INDEX('×入力'!$A$1:$L$1300,510,2+EE$2)&lt;&gt;"",INDEX('×入力'!$A$1:$L$1300,511+EE$3,1)&lt;&gt;""),1,0),0)</f>
        <v/>
      </c>
      <c r="EF28">
        <f>IF(EF$4=1,IF(OR(INDEX('×入力'!$A$1:$L$1300,511+EF$3,2+EF$2)&lt;&gt;"",INDEX('×入力'!$A$1:$L$1300,510,2+EF$2)&lt;&gt;"",INDEX('×入力'!$A$1:$L$1300,511+EF$3,1)&lt;&gt;""),1,0),0)</f>
        <v/>
      </c>
      <c r="EG28">
        <f>IF(EG$4=1,IF(OR(INDEX('×入力'!$A$1:$L$1300,511+EG$3,2+EG$2)&lt;&gt;"",INDEX('×入力'!$A$1:$L$1300,510,2+EG$2)&lt;&gt;"",INDEX('×入力'!$A$1:$L$1300,511+EG$3,1)&lt;&gt;""),1,0),0)</f>
        <v/>
      </c>
      <c r="EH28">
        <f>IF(EH$4=1,IF(OR(INDEX('×入力'!$A$1:$L$1300,511+EH$3,2+EH$2)&lt;&gt;"",INDEX('×入力'!$A$1:$L$1300,510,2+EH$2)&lt;&gt;"",INDEX('×入力'!$A$1:$L$1300,511+EH$3,1)&lt;&gt;""),1,0),0)</f>
        <v/>
      </c>
      <c r="EI28">
        <f>IF(EI$4=1,IF(OR(INDEX('×入力'!$A$1:$L$1300,511+EI$3,2+EI$2)&lt;&gt;"",INDEX('×入力'!$A$1:$L$1300,510,2+EI$2)&lt;&gt;"",INDEX('×入力'!$A$1:$L$1300,511+EI$3,1)&lt;&gt;""),1,0),0)</f>
        <v/>
      </c>
      <c r="EJ28">
        <f>IF(EJ$4=1,IF(OR(INDEX('×入力'!$A$1:$L$1300,511+EJ$3,2+EJ$2)&lt;&gt;"",INDEX('×入力'!$A$1:$L$1300,510,2+EJ$2)&lt;&gt;"",INDEX('×入力'!$A$1:$L$1300,511+EJ$3,1)&lt;&gt;""),1,0),0)</f>
        <v/>
      </c>
      <c r="EK28">
        <f>IF(EK$4=1,IF(OR(INDEX('×入力'!$A$1:$L$1300,511+EK$3,2+EK$2)&lt;&gt;"",INDEX('×入力'!$A$1:$L$1300,510,2+EK$2)&lt;&gt;"",INDEX('×入力'!$A$1:$L$1300,511+EK$3,1)&lt;&gt;""),1,0),0)</f>
        <v/>
      </c>
      <c r="EL28">
        <f>IF(EL$4=1,IF(OR(INDEX('×入力'!$A$1:$L$1300,511+EL$3,2+EL$2)&lt;&gt;"",INDEX('×入力'!$A$1:$L$1300,510,2+EL$2)&lt;&gt;"",INDEX('×入力'!$A$1:$L$1300,511+EL$3,1)&lt;&gt;""),1,0),0)</f>
        <v/>
      </c>
      <c r="EM28">
        <f>IF(EM$4=1,IF(OR(INDEX('×入力'!$A$1:$L$1300,511+EM$3,2+EM$2)&lt;&gt;"",INDEX('×入力'!$A$1:$L$1300,510,2+EM$2)&lt;&gt;"",INDEX('×入力'!$A$1:$L$1300,511+EM$3,1)&lt;&gt;""),1,0),0)</f>
        <v/>
      </c>
      <c r="EN28">
        <f>IF(EN$4=1,IF(OR(INDEX('×入力'!$A$1:$L$1300,511+EN$3,2+EN$2)&lt;&gt;"",INDEX('×入力'!$A$1:$L$1300,510,2+EN$2)&lt;&gt;"",INDEX('×入力'!$A$1:$L$1300,511+EN$3,1)&lt;&gt;""),1,0),0)</f>
        <v/>
      </c>
      <c r="EO28">
        <f>IF(EO$4=1,IF(OR(INDEX('×入力'!$A$1:$L$1300,511+EO$3,2+EO$2)&lt;&gt;"",INDEX('×入力'!$A$1:$L$1300,510,2+EO$2)&lt;&gt;"",INDEX('×入力'!$A$1:$L$1300,511+EO$3,1)&lt;&gt;""),1,0),0)</f>
        <v/>
      </c>
      <c r="EP28">
        <f>IF(EP$4=1,IF(OR(INDEX('×入力'!$A$1:$L$1300,511+EP$3,2+EP$2)&lt;&gt;"",INDEX('×入力'!$A$1:$L$1300,510,2+EP$2)&lt;&gt;"",INDEX('×入力'!$A$1:$L$1300,511+EP$3,1)&lt;&gt;""),1,0),0)</f>
        <v/>
      </c>
      <c r="EQ28">
        <f>IF(EQ$4=1,IF(OR(INDEX('×入力'!$A$1:$L$1300,511+EQ$3,2+EQ$2)&lt;&gt;"",INDEX('×入力'!$A$1:$L$1300,510,2+EQ$2)&lt;&gt;"",INDEX('×入力'!$A$1:$L$1300,511+EQ$3,1)&lt;&gt;""),1,0),0)</f>
        <v/>
      </c>
      <c r="HA28">
        <f>MAX(0,IT28)</f>
        <v/>
      </c>
      <c r="HB28">
        <f>IF(HA28=0,0,INDEX($D$2:$EQ$2,HA28))</f>
        <v/>
      </c>
      <c r="HC28">
        <f>IF(HA28=0,0,INDEX($D$3:$EQ$3,HA28))</f>
        <v/>
      </c>
      <c r="HD28">
        <f>MAX(0,IY28)</f>
        <v/>
      </c>
      <c r="HE28">
        <f>IF(HD28=0,0,INDEX($D$2:$EQ$2,HD28))</f>
        <v/>
      </c>
      <c r="HF28">
        <f>IF(HD28=0,0,INDEX($D$3:$EQ$3,HD28))</f>
        <v/>
      </c>
      <c r="HG28">
        <f>MAX(0,IZ28)</f>
        <v/>
      </c>
      <c r="HH28">
        <f>IF(HG28=0,0,INDEX($D$2:$EQ$2,HG28))</f>
        <v/>
      </c>
      <c r="HI28">
        <f>IF(HG28=0,0,INDEX($D$3:$EQ$3,HG28))</f>
        <v/>
      </c>
      <c r="HJ28">
        <f>IF(AND(HA28&gt;0,HC28&gt;1,OR(HC28-1&lt;&gt;$A$3,$A$4=0)),HA28-1,-1)</f>
        <v/>
      </c>
      <c r="HK28">
        <f>IF(AND(HA28&gt;0,HC28&lt;24,OR(HC28&lt;&gt;$A$3,$A$4=0)),HA28+1,-1)</f>
        <v/>
      </c>
      <c r="HL28">
        <f>IF(AND(HD28&gt;0,HF28&gt;1,OR(HF28-1&lt;&gt;$A$3,$A$4=0)),HD28-1,-1)</f>
        <v/>
      </c>
      <c r="HM28">
        <f>IF(AND(HD28&gt;0,HF28&lt;24,OR(HF28&lt;&gt;$A$3,$A$4=0)),HD28+1,-1)</f>
        <v/>
      </c>
      <c r="HN28">
        <f>IF(AND(HG28&gt;0,HI28&gt;1,OR(HI28-1&lt;&gt;$A$3,$A$4=0)),HG28-1,-1)</f>
        <v/>
      </c>
      <c r="HO28">
        <f>IF(AND(HG28&gt;0,HI28&lt;24,OR(HI28&lt;&gt;$A$3,$A$4=0)),HG28+1,-1)</f>
        <v/>
      </c>
      <c r="IK28">
        <f>IFERROR(INDEX('calcB'!$C$3:$C$47,MATCH(A28,'calcB'!$B$3:$B$47,0)),0)</f>
        <v/>
      </c>
      <c r="IL28">
        <f>IF(AND(C28=1,IK28=0,calcA!$A$6&gt;0),1,0)</f>
        <v/>
      </c>
      <c r="IM28">
        <f>SUMPRODUCT(D78:EQ78*(1-$D$7:$EQ$7))</f>
        <v/>
      </c>
      <c r="IN28">
        <f>SUM(D28:EQ28)</f>
        <v/>
      </c>
      <c r="IO28">
        <f>IF(B28="",0,IF(COUNTIF('調整・決定'!$C$6:$H$29,B28)=1,SUMPRODUCT(('調整・決定'!$C$6:$H$29=B28)*((COLUMN('調整・決定'!$C$6:$H$29)-3)*24+ROW('調整・決定'!$C$6:$H$29)-5)),0))</f>
        <v/>
      </c>
      <c r="IP28">
        <f>IFERROR(MATCH('名簿'!C23,{"早い時刻","遅い時刻","早い日","遅い日"},0),0)</f>
        <v/>
      </c>
      <c r="IQ28">
        <f>IF('名簿'!D23="必ず空けたい",2,IF('名簿'!D23="出来れば空けたい",1,0))</f>
        <v/>
      </c>
      <c r="IR28">
        <f>IFERROR(INDEX('calcC'!$C$3:$C$47,MATCH(A28,'calcC'!$B$3:$B$47,0)),0)</f>
        <v/>
      </c>
      <c r="IS28">
        <f>IF(AND(C28=1,IR28=0,calcA!$A$6&gt;0),1,0)</f>
        <v/>
      </c>
      <c r="IT28">
        <f>IF(OR('名簿'!G23="",'名簿'!H23=""),0,IFERROR((MATCH('名簿'!G23,'設定'!$E$11:$E$16,0)-1)*24+MATCH('名簿'!H23,'設定'!$I$11:$I$34,0),-1))</f>
        <v/>
      </c>
      <c r="IV28">
        <f>IF(OR(JF28=0,IO28=0),1,IF(OR(IF(IT28&gt;0,AND(INDEX($D$2:$EQ$2,IO28)=INDEX($D$2:$EQ$2,IT28),OR(AND(IO28=IT28+1,OR(INDEX($D$3:$EQ$3,IT28)&lt;&gt;$A$3,$A$4=0)),AND(IO28=IT28-1,OR(INDEX($D$3:$EQ$3,IO28)&lt;&gt;$A$3,$A$4=0)))),FALSE),IF(IY28&gt;0,AND(INDEX($D$2:$EQ$2,IO28)=INDEX($D$2:$EQ$2,IY28),OR(AND(IO28=IY28+1,OR(INDEX($D$3:$EQ$3,IY28)&lt;&gt;$A$3,$A$4=0)),AND(IO28=IY28-1,OR(INDEX($D$3:$EQ$3,IO28)&lt;&gt;$A$3,$A$4=0)))),FALSE),IF(IZ28&gt;0,AND(INDEX($D$2:$EQ$2,IO28)=INDEX($D$2:$EQ$2,IZ28),OR(AND(IO28=IZ28+1,OR(INDEX($D$3:$EQ$3,IZ28)&lt;&gt;$A$3,$A$4=0)),AND(IO28=IZ28-1,OR(INDEX($D$3:$EQ$3,IO28)&lt;&gt;$A$3,$A$4=0)))),FALSE)),1,0))</f>
        <v/>
      </c>
      <c r="IW28">
        <f>IF(AND('名簿'!E23&lt;&gt;"",JF28=0),1,0)</f>
        <v/>
      </c>
      <c r="IX28">
        <f>IF('名簿'!D23="空けない",1,0)</f>
        <v/>
      </c>
      <c r="IY28">
        <f>IF(OR('名簿'!J23="",'名簿'!K23=""),0,IFERROR((MATCH('名簿'!J23,'設定'!$E$11:$E$16,0)-1)*24+MATCH('名簿'!K23,'設定'!$I$11:$I$34,0),-1))</f>
        <v/>
      </c>
      <c r="IZ28">
        <f>IF(OR('名簿'!M23="",'名簿'!N23=""),0,IFERROR((MATCH('名簿'!M23,'設定'!$E$11:$E$16,0)-1)*24+MATCH('名簿'!N23,'設定'!$I$11:$I$34,0),-1))</f>
        <v/>
      </c>
      <c r="JC28">
        <f>IF(RIGHT('名簿'!I23,2)="の前",1,IF(RIGHT('名簿'!I23,2)="の後",2,0))</f>
        <v/>
      </c>
      <c r="JD28">
        <f>IF(RIGHT('名簿'!L23,2)="の前",1,IF(RIGHT('名簿'!L23,2)="の後",2,0))</f>
        <v/>
      </c>
      <c r="JE28">
        <f>IF(RIGHT('名簿'!O23,2)="の前",1,IF(RIGHT('名簿'!O23,2)="の後",2,0))</f>
        <v/>
      </c>
      <c r="JF28">
        <f>IF(OR(IT28&gt;0,IY28&gt;0,IZ28&gt;0),1,0)</f>
        <v/>
      </c>
      <c r="JG28">
        <f>IF(OR(IT28&lt;0,IY28&lt;0,IZ28&lt;0),1,0)</f>
        <v/>
      </c>
    </row>
    <row r="29">
      <c r="A29" t="n">
        <v>20</v>
      </c>
      <c r="B29">
        <f>'名簿'!P24</f>
        <v/>
      </c>
      <c r="C29">
        <f>IF(AND(B29&lt;&gt;"",OR('名簿'!Q24="入力済み",'名簿'!Q24="×なし"),IO29=0,COUNTIF('調整・決定'!$C$6:$H$29,B29)=0),1,0)</f>
        <v/>
      </c>
      <c r="D29">
        <f>IF(D$4=1,IF(OR(INDEX('×入力'!$A$1:$L$1300,539+D$3,2+D$2)&lt;&gt;"",INDEX('×入力'!$A$1:$L$1300,538,2+D$2)&lt;&gt;"",INDEX('×入力'!$A$1:$L$1300,539+D$3,1)&lt;&gt;""),1,0),0)</f>
        <v/>
      </c>
      <c r="E29">
        <f>IF(E$4=1,IF(OR(INDEX('×入力'!$A$1:$L$1300,539+E$3,2+E$2)&lt;&gt;"",INDEX('×入力'!$A$1:$L$1300,538,2+E$2)&lt;&gt;"",INDEX('×入力'!$A$1:$L$1300,539+E$3,1)&lt;&gt;""),1,0),0)</f>
        <v/>
      </c>
      <c r="F29">
        <f>IF(F$4=1,IF(OR(INDEX('×入力'!$A$1:$L$1300,539+F$3,2+F$2)&lt;&gt;"",INDEX('×入力'!$A$1:$L$1300,538,2+F$2)&lt;&gt;"",INDEX('×入力'!$A$1:$L$1300,539+F$3,1)&lt;&gt;""),1,0),0)</f>
        <v/>
      </c>
      <c r="G29">
        <f>IF(G$4=1,IF(OR(INDEX('×入力'!$A$1:$L$1300,539+G$3,2+G$2)&lt;&gt;"",INDEX('×入力'!$A$1:$L$1300,538,2+G$2)&lt;&gt;"",INDEX('×入力'!$A$1:$L$1300,539+G$3,1)&lt;&gt;""),1,0),0)</f>
        <v/>
      </c>
      <c r="H29">
        <f>IF(H$4=1,IF(OR(INDEX('×入力'!$A$1:$L$1300,539+H$3,2+H$2)&lt;&gt;"",INDEX('×入力'!$A$1:$L$1300,538,2+H$2)&lt;&gt;"",INDEX('×入力'!$A$1:$L$1300,539+H$3,1)&lt;&gt;""),1,0),0)</f>
        <v/>
      </c>
      <c r="I29">
        <f>IF(I$4=1,IF(OR(INDEX('×入力'!$A$1:$L$1300,539+I$3,2+I$2)&lt;&gt;"",INDEX('×入力'!$A$1:$L$1300,538,2+I$2)&lt;&gt;"",INDEX('×入力'!$A$1:$L$1300,539+I$3,1)&lt;&gt;""),1,0),0)</f>
        <v/>
      </c>
      <c r="J29">
        <f>IF(J$4=1,IF(OR(INDEX('×入力'!$A$1:$L$1300,539+J$3,2+J$2)&lt;&gt;"",INDEX('×入力'!$A$1:$L$1300,538,2+J$2)&lt;&gt;"",INDEX('×入力'!$A$1:$L$1300,539+J$3,1)&lt;&gt;""),1,0),0)</f>
        <v/>
      </c>
      <c r="K29">
        <f>IF(K$4=1,IF(OR(INDEX('×入力'!$A$1:$L$1300,539+K$3,2+K$2)&lt;&gt;"",INDEX('×入力'!$A$1:$L$1300,538,2+K$2)&lt;&gt;"",INDEX('×入力'!$A$1:$L$1300,539+K$3,1)&lt;&gt;""),1,0),0)</f>
        <v/>
      </c>
      <c r="L29">
        <f>IF(L$4=1,IF(OR(INDEX('×入力'!$A$1:$L$1300,539+L$3,2+L$2)&lt;&gt;"",INDEX('×入力'!$A$1:$L$1300,538,2+L$2)&lt;&gt;"",INDEX('×入力'!$A$1:$L$1300,539+L$3,1)&lt;&gt;""),1,0),0)</f>
        <v/>
      </c>
      <c r="M29">
        <f>IF(M$4=1,IF(OR(INDEX('×入力'!$A$1:$L$1300,539+M$3,2+M$2)&lt;&gt;"",INDEX('×入力'!$A$1:$L$1300,538,2+M$2)&lt;&gt;"",INDEX('×入力'!$A$1:$L$1300,539+M$3,1)&lt;&gt;""),1,0),0)</f>
        <v/>
      </c>
      <c r="N29">
        <f>IF(N$4=1,IF(OR(INDEX('×入力'!$A$1:$L$1300,539+N$3,2+N$2)&lt;&gt;"",INDEX('×入力'!$A$1:$L$1300,538,2+N$2)&lt;&gt;"",INDEX('×入力'!$A$1:$L$1300,539+N$3,1)&lt;&gt;""),1,0),0)</f>
        <v/>
      </c>
      <c r="O29">
        <f>IF(O$4=1,IF(OR(INDEX('×入力'!$A$1:$L$1300,539+O$3,2+O$2)&lt;&gt;"",INDEX('×入力'!$A$1:$L$1300,538,2+O$2)&lt;&gt;"",INDEX('×入力'!$A$1:$L$1300,539+O$3,1)&lt;&gt;""),1,0),0)</f>
        <v/>
      </c>
      <c r="P29">
        <f>IF(P$4=1,IF(OR(INDEX('×入力'!$A$1:$L$1300,539+P$3,2+P$2)&lt;&gt;"",INDEX('×入力'!$A$1:$L$1300,538,2+P$2)&lt;&gt;"",INDEX('×入力'!$A$1:$L$1300,539+P$3,1)&lt;&gt;""),1,0),0)</f>
        <v/>
      </c>
      <c r="Q29">
        <f>IF(Q$4=1,IF(OR(INDEX('×入力'!$A$1:$L$1300,539+Q$3,2+Q$2)&lt;&gt;"",INDEX('×入力'!$A$1:$L$1300,538,2+Q$2)&lt;&gt;"",INDEX('×入力'!$A$1:$L$1300,539+Q$3,1)&lt;&gt;""),1,0),0)</f>
        <v/>
      </c>
      <c r="R29">
        <f>IF(R$4=1,IF(OR(INDEX('×入力'!$A$1:$L$1300,539+R$3,2+R$2)&lt;&gt;"",INDEX('×入力'!$A$1:$L$1300,538,2+R$2)&lt;&gt;"",INDEX('×入力'!$A$1:$L$1300,539+R$3,1)&lt;&gt;""),1,0),0)</f>
        <v/>
      </c>
      <c r="S29">
        <f>IF(S$4=1,IF(OR(INDEX('×入力'!$A$1:$L$1300,539+S$3,2+S$2)&lt;&gt;"",INDEX('×入力'!$A$1:$L$1300,538,2+S$2)&lt;&gt;"",INDEX('×入力'!$A$1:$L$1300,539+S$3,1)&lt;&gt;""),1,0),0)</f>
        <v/>
      </c>
      <c r="T29">
        <f>IF(T$4=1,IF(OR(INDEX('×入力'!$A$1:$L$1300,539+T$3,2+T$2)&lt;&gt;"",INDEX('×入力'!$A$1:$L$1300,538,2+T$2)&lt;&gt;"",INDEX('×入力'!$A$1:$L$1300,539+T$3,1)&lt;&gt;""),1,0),0)</f>
        <v/>
      </c>
      <c r="U29">
        <f>IF(U$4=1,IF(OR(INDEX('×入力'!$A$1:$L$1300,539+U$3,2+U$2)&lt;&gt;"",INDEX('×入力'!$A$1:$L$1300,538,2+U$2)&lt;&gt;"",INDEX('×入力'!$A$1:$L$1300,539+U$3,1)&lt;&gt;""),1,0),0)</f>
        <v/>
      </c>
      <c r="V29">
        <f>IF(V$4=1,IF(OR(INDEX('×入力'!$A$1:$L$1300,539+V$3,2+V$2)&lt;&gt;"",INDEX('×入力'!$A$1:$L$1300,538,2+V$2)&lt;&gt;"",INDEX('×入力'!$A$1:$L$1300,539+V$3,1)&lt;&gt;""),1,0),0)</f>
        <v/>
      </c>
      <c r="W29">
        <f>IF(W$4=1,IF(OR(INDEX('×入力'!$A$1:$L$1300,539+W$3,2+W$2)&lt;&gt;"",INDEX('×入力'!$A$1:$L$1300,538,2+W$2)&lt;&gt;"",INDEX('×入力'!$A$1:$L$1300,539+W$3,1)&lt;&gt;""),1,0),0)</f>
        <v/>
      </c>
      <c r="X29">
        <f>IF(X$4=1,IF(OR(INDEX('×入力'!$A$1:$L$1300,539+X$3,2+X$2)&lt;&gt;"",INDEX('×入力'!$A$1:$L$1300,538,2+X$2)&lt;&gt;"",INDEX('×入力'!$A$1:$L$1300,539+X$3,1)&lt;&gt;""),1,0),0)</f>
        <v/>
      </c>
      <c r="Y29">
        <f>IF(Y$4=1,IF(OR(INDEX('×入力'!$A$1:$L$1300,539+Y$3,2+Y$2)&lt;&gt;"",INDEX('×入力'!$A$1:$L$1300,538,2+Y$2)&lt;&gt;"",INDEX('×入力'!$A$1:$L$1300,539+Y$3,1)&lt;&gt;""),1,0),0)</f>
        <v/>
      </c>
      <c r="Z29">
        <f>IF(Z$4=1,IF(OR(INDEX('×入力'!$A$1:$L$1300,539+Z$3,2+Z$2)&lt;&gt;"",INDEX('×入力'!$A$1:$L$1300,538,2+Z$2)&lt;&gt;"",INDEX('×入力'!$A$1:$L$1300,539+Z$3,1)&lt;&gt;""),1,0),0)</f>
        <v/>
      </c>
      <c r="AA29">
        <f>IF(AA$4=1,IF(OR(INDEX('×入力'!$A$1:$L$1300,539+AA$3,2+AA$2)&lt;&gt;"",INDEX('×入力'!$A$1:$L$1300,538,2+AA$2)&lt;&gt;"",INDEX('×入力'!$A$1:$L$1300,539+AA$3,1)&lt;&gt;""),1,0),0)</f>
        <v/>
      </c>
      <c r="AB29">
        <f>IF(AB$4=1,IF(OR(INDEX('×入力'!$A$1:$L$1300,539+AB$3,2+AB$2)&lt;&gt;"",INDEX('×入力'!$A$1:$L$1300,538,2+AB$2)&lt;&gt;"",INDEX('×入力'!$A$1:$L$1300,539+AB$3,1)&lt;&gt;""),1,0),0)</f>
        <v/>
      </c>
      <c r="AC29">
        <f>IF(AC$4=1,IF(OR(INDEX('×入力'!$A$1:$L$1300,539+AC$3,2+AC$2)&lt;&gt;"",INDEX('×入力'!$A$1:$L$1300,538,2+AC$2)&lt;&gt;"",INDEX('×入力'!$A$1:$L$1300,539+AC$3,1)&lt;&gt;""),1,0),0)</f>
        <v/>
      </c>
      <c r="AD29">
        <f>IF(AD$4=1,IF(OR(INDEX('×入力'!$A$1:$L$1300,539+AD$3,2+AD$2)&lt;&gt;"",INDEX('×入力'!$A$1:$L$1300,538,2+AD$2)&lt;&gt;"",INDEX('×入力'!$A$1:$L$1300,539+AD$3,1)&lt;&gt;""),1,0),0)</f>
        <v/>
      </c>
      <c r="AE29">
        <f>IF(AE$4=1,IF(OR(INDEX('×入力'!$A$1:$L$1300,539+AE$3,2+AE$2)&lt;&gt;"",INDEX('×入力'!$A$1:$L$1300,538,2+AE$2)&lt;&gt;"",INDEX('×入力'!$A$1:$L$1300,539+AE$3,1)&lt;&gt;""),1,0),0)</f>
        <v/>
      </c>
      <c r="AF29">
        <f>IF(AF$4=1,IF(OR(INDEX('×入力'!$A$1:$L$1300,539+AF$3,2+AF$2)&lt;&gt;"",INDEX('×入力'!$A$1:$L$1300,538,2+AF$2)&lt;&gt;"",INDEX('×入力'!$A$1:$L$1300,539+AF$3,1)&lt;&gt;""),1,0),0)</f>
        <v/>
      </c>
      <c r="AG29">
        <f>IF(AG$4=1,IF(OR(INDEX('×入力'!$A$1:$L$1300,539+AG$3,2+AG$2)&lt;&gt;"",INDEX('×入力'!$A$1:$L$1300,538,2+AG$2)&lt;&gt;"",INDEX('×入力'!$A$1:$L$1300,539+AG$3,1)&lt;&gt;""),1,0),0)</f>
        <v/>
      </c>
      <c r="AH29">
        <f>IF(AH$4=1,IF(OR(INDEX('×入力'!$A$1:$L$1300,539+AH$3,2+AH$2)&lt;&gt;"",INDEX('×入力'!$A$1:$L$1300,538,2+AH$2)&lt;&gt;"",INDEX('×入力'!$A$1:$L$1300,539+AH$3,1)&lt;&gt;""),1,0),0)</f>
        <v/>
      </c>
      <c r="AI29">
        <f>IF(AI$4=1,IF(OR(INDEX('×入力'!$A$1:$L$1300,539+AI$3,2+AI$2)&lt;&gt;"",INDEX('×入力'!$A$1:$L$1300,538,2+AI$2)&lt;&gt;"",INDEX('×入力'!$A$1:$L$1300,539+AI$3,1)&lt;&gt;""),1,0),0)</f>
        <v/>
      </c>
      <c r="AJ29">
        <f>IF(AJ$4=1,IF(OR(INDEX('×入力'!$A$1:$L$1300,539+AJ$3,2+AJ$2)&lt;&gt;"",INDEX('×入力'!$A$1:$L$1300,538,2+AJ$2)&lt;&gt;"",INDEX('×入力'!$A$1:$L$1300,539+AJ$3,1)&lt;&gt;""),1,0),0)</f>
        <v/>
      </c>
      <c r="AK29">
        <f>IF(AK$4=1,IF(OR(INDEX('×入力'!$A$1:$L$1300,539+AK$3,2+AK$2)&lt;&gt;"",INDEX('×入力'!$A$1:$L$1300,538,2+AK$2)&lt;&gt;"",INDEX('×入力'!$A$1:$L$1300,539+AK$3,1)&lt;&gt;""),1,0),0)</f>
        <v/>
      </c>
      <c r="AL29">
        <f>IF(AL$4=1,IF(OR(INDEX('×入力'!$A$1:$L$1300,539+AL$3,2+AL$2)&lt;&gt;"",INDEX('×入力'!$A$1:$L$1300,538,2+AL$2)&lt;&gt;"",INDEX('×入力'!$A$1:$L$1300,539+AL$3,1)&lt;&gt;""),1,0),0)</f>
        <v/>
      </c>
      <c r="AM29">
        <f>IF(AM$4=1,IF(OR(INDEX('×入力'!$A$1:$L$1300,539+AM$3,2+AM$2)&lt;&gt;"",INDEX('×入力'!$A$1:$L$1300,538,2+AM$2)&lt;&gt;"",INDEX('×入力'!$A$1:$L$1300,539+AM$3,1)&lt;&gt;""),1,0),0)</f>
        <v/>
      </c>
      <c r="AN29">
        <f>IF(AN$4=1,IF(OR(INDEX('×入力'!$A$1:$L$1300,539+AN$3,2+AN$2)&lt;&gt;"",INDEX('×入力'!$A$1:$L$1300,538,2+AN$2)&lt;&gt;"",INDEX('×入力'!$A$1:$L$1300,539+AN$3,1)&lt;&gt;""),1,0),0)</f>
        <v/>
      </c>
      <c r="AO29">
        <f>IF(AO$4=1,IF(OR(INDEX('×入力'!$A$1:$L$1300,539+AO$3,2+AO$2)&lt;&gt;"",INDEX('×入力'!$A$1:$L$1300,538,2+AO$2)&lt;&gt;"",INDEX('×入力'!$A$1:$L$1300,539+AO$3,1)&lt;&gt;""),1,0),0)</f>
        <v/>
      </c>
      <c r="AP29">
        <f>IF(AP$4=1,IF(OR(INDEX('×入力'!$A$1:$L$1300,539+AP$3,2+AP$2)&lt;&gt;"",INDEX('×入力'!$A$1:$L$1300,538,2+AP$2)&lt;&gt;"",INDEX('×入力'!$A$1:$L$1300,539+AP$3,1)&lt;&gt;""),1,0),0)</f>
        <v/>
      </c>
      <c r="AQ29">
        <f>IF(AQ$4=1,IF(OR(INDEX('×入力'!$A$1:$L$1300,539+AQ$3,2+AQ$2)&lt;&gt;"",INDEX('×入力'!$A$1:$L$1300,538,2+AQ$2)&lt;&gt;"",INDEX('×入力'!$A$1:$L$1300,539+AQ$3,1)&lt;&gt;""),1,0),0)</f>
        <v/>
      </c>
      <c r="AR29">
        <f>IF(AR$4=1,IF(OR(INDEX('×入力'!$A$1:$L$1300,539+AR$3,2+AR$2)&lt;&gt;"",INDEX('×入力'!$A$1:$L$1300,538,2+AR$2)&lt;&gt;"",INDEX('×入力'!$A$1:$L$1300,539+AR$3,1)&lt;&gt;""),1,0),0)</f>
        <v/>
      </c>
      <c r="AS29">
        <f>IF(AS$4=1,IF(OR(INDEX('×入力'!$A$1:$L$1300,539+AS$3,2+AS$2)&lt;&gt;"",INDEX('×入力'!$A$1:$L$1300,538,2+AS$2)&lt;&gt;"",INDEX('×入力'!$A$1:$L$1300,539+AS$3,1)&lt;&gt;""),1,0),0)</f>
        <v/>
      </c>
      <c r="AT29">
        <f>IF(AT$4=1,IF(OR(INDEX('×入力'!$A$1:$L$1300,539+AT$3,2+AT$2)&lt;&gt;"",INDEX('×入力'!$A$1:$L$1300,538,2+AT$2)&lt;&gt;"",INDEX('×入力'!$A$1:$L$1300,539+AT$3,1)&lt;&gt;""),1,0),0)</f>
        <v/>
      </c>
      <c r="AU29">
        <f>IF(AU$4=1,IF(OR(INDEX('×入力'!$A$1:$L$1300,539+AU$3,2+AU$2)&lt;&gt;"",INDEX('×入力'!$A$1:$L$1300,538,2+AU$2)&lt;&gt;"",INDEX('×入力'!$A$1:$L$1300,539+AU$3,1)&lt;&gt;""),1,0),0)</f>
        <v/>
      </c>
      <c r="AV29">
        <f>IF(AV$4=1,IF(OR(INDEX('×入力'!$A$1:$L$1300,539+AV$3,2+AV$2)&lt;&gt;"",INDEX('×入力'!$A$1:$L$1300,538,2+AV$2)&lt;&gt;"",INDEX('×入力'!$A$1:$L$1300,539+AV$3,1)&lt;&gt;""),1,0),0)</f>
        <v/>
      </c>
      <c r="AW29">
        <f>IF(AW$4=1,IF(OR(INDEX('×入力'!$A$1:$L$1300,539+AW$3,2+AW$2)&lt;&gt;"",INDEX('×入力'!$A$1:$L$1300,538,2+AW$2)&lt;&gt;"",INDEX('×入力'!$A$1:$L$1300,539+AW$3,1)&lt;&gt;""),1,0),0)</f>
        <v/>
      </c>
      <c r="AX29">
        <f>IF(AX$4=1,IF(OR(INDEX('×入力'!$A$1:$L$1300,539+AX$3,2+AX$2)&lt;&gt;"",INDEX('×入力'!$A$1:$L$1300,538,2+AX$2)&lt;&gt;"",INDEX('×入力'!$A$1:$L$1300,539+AX$3,1)&lt;&gt;""),1,0),0)</f>
        <v/>
      </c>
      <c r="AY29">
        <f>IF(AY$4=1,IF(OR(INDEX('×入力'!$A$1:$L$1300,539+AY$3,2+AY$2)&lt;&gt;"",INDEX('×入力'!$A$1:$L$1300,538,2+AY$2)&lt;&gt;"",INDEX('×入力'!$A$1:$L$1300,539+AY$3,1)&lt;&gt;""),1,0),0)</f>
        <v/>
      </c>
      <c r="AZ29">
        <f>IF(AZ$4=1,IF(OR(INDEX('×入力'!$A$1:$L$1300,539+AZ$3,2+AZ$2)&lt;&gt;"",INDEX('×入力'!$A$1:$L$1300,538,2+AZ$2)&lt;&gt;"",INDEX('×入力'!$A$1:$L$1300,539+AZ$3,1)&lt;&gt;""),1,0),0)</f>
        <v/>
      </c>
      <c r="BA29">
        <f>IF(BA$4=1,IF(OR(INDEX('×入力'!$A$1:$L$1300,539+BA$3,2+BA$2)&lt;&gt;"",INDEX('×入力'!$A$1:$L$1300,538,2+BA$2)&lt;&gt;"",INDEX('×入力'!$A$1:$L$1300,539+BA$3,1)&lt;&gt;""),1,0),0)</f>
        <v/>
      </c>
      <c r="BB29">
        <f>IF(BB$4=1,IF(OR(INDEX('×入力'!$A$1:$L$1300,539+BB$3,2+BB$2)&lt;&gt;"",INDEX('×入力'!$A$1:$L$1300,538,2+BB$2)&lt;&gt;"",INDEX('×入力'!$A$1:$L$1300,539+BB$3,1)&lt;&gt;""),1,0),0)</f>
        <v/>
      </c>
      <c r="BC29">
        <f>IF(BC$4=1,IF(OR(INDEX('×入力'!$A$1:$L$1300,539+BC$3,2+BC$2)&lt;&gt;"",INDEX('×入力'!$A$1:$L$1300,538,2+BC$2)&lt;&gt;"",INDEX('×入力'!$A$1:$L$1300,539+BC$3,1)&lt;&gt;""),1,0),0)</f>
        <v/>
      </c>
      <c r="BD29">
        <f>IF(BD$4=1,IF(OR(INDEX('×入力'!$A$1:$L$1300,539+BD$3,2+BD$2)&lt;&gt;"",INDEX('×入力'!$A$1:$L$1300,538,2+BD$2)&lt;&gt;"",INDEX('×入力'!$A$1:$L$1300,539+BD$3,1)&lt;&gt;""),1,0),0)</f>
        <v/>
      </c>
      <c r="BE29">
        <f>IF(BE$4=1,IF(OR(INDEX('×入力'!$A$1:$L$1300,539+BE$3,2+BE$2)&lt;&gt;"",INDEX('×入力'!$A$1:$L$1300,538,2+BE$2)&lt;&gt;"",INDEX('×入力'!$A$1:$L$1300,539+BE$3,1)&lt;&gt;""),1,0),0)</f>
        <v/>
      </c>
      <c r="BF29">
        <f>IF(BF$4=1,IF(OR(INDEX('×入力'!$A$1:$L$1300,539+BF$3,2+BF$2)&lt;&gt;"",INDEX('×入力'!$A$1:$L$1300,538,2+BF$2)&lt;&gt;"",INDEX('×入力'!$A$1:$L$1300,539+BF$3,1)&lt;&gt;""),1,0),0)</f>
        <v/>
      </c>
      <c r="BG29">
        <f>IF(BG$4=1,IF(OR(INDEX('×入力'!$A$1:$L$1300,539+BG$3,2+BG$2)&lt;&gt;"",INDEX('×入力'!$A$1:$L$1300,538,2+BG$2)&lt;&gt;"",INDEX('×入力'!$A$1:$L$1300,539+BG$3,1)&lt;&gt;""),1,0),0)</f>
        <v/>
      </c>
      <c r="BH29">
        <f>IF(BH$4=1,IF(OR(INDEX('×入力'!$A$1:$L$1300,539+BH$3,2+BH$2)&lt;&gt;"",INDEX('×入力'!$A$1:$L$1300,538,2+BH$2)&lt;&gt;"",INDEX('×入力'!$A$1:$L$1300,539+BH$3,1)&lt;&gt;""),1,0),0)</f>
        <v/>
      </c>
      <c r="BI29">
        <f>IF(BI$4=1,IF(OR(INDEX('×入力'!$A$1:$L$1300,539+BI$3,2+BI$2)&lt;&gt;"",INDEX('×入力'!$A$1:$L$1300,538,2+BI$2)&lt;&gt;"",INDEX('×入力'!$A$1:$L$1300,539+BI$3,1)&lt;&gt;""),1,0),0)</f>
        <v/>
      </c>
      <c r="BJ29">
        <f>IF(BJ$4=1,IF(OR(INDEX('×入力'!$A$1:$L$1300,539+BJ$3,2+BJ$2)&lt;&gt;"",INDEX('×入力'!$A$1:$L$1300,538,2+BJ$2)&lt;&gt;"",INDEX('×入力'!$A$1:$L$1300,539+BJ$3,1)&lt;&gt;""),1,0),0)</f>
        <v/>
      </c>
      <c r="BK29">
        <f>IF(BK$4=1,IF(OR(INDEX('×入力'!$A$1:$L$1300,539+BK$3,2+BK$2)&lt;&gt;"",INDEX('×入力'!$A$1:$L$1300,538,2+BK$2)&lt;&gt;"",INDEX('×入力'!$A$1:$L$1300,539+BK$3,1)&lt;&gt;""),1,0),0)</f>
        <v/>
      </c>
      <c r="BL29">
        <f>IF(BL$4=1,IF(OR(INDEX('×入力'!$A$1:$L$1300,539+BL$3,2+BL$2)&lt;&gt;"",INDEX('×入力'!$A$1:$L$1300,538,2+BL$2)&lt;&gt;"",INDEX('×入力'!$A$1:$L$1300,539+BL$3,1)&lt;&gt;""),1,0),0)</f>
        <v/>
      </c>
      <c r="BM29">
        <f>IF(BM$4=1,IF(OR(INDEX('×入力'!$A$1:$L$1300,539+BM$3,2+BM$2)&lt;&gt;"",INDEX('×入力'!$A$1:$L$1300,538,2+BM$2)&lt;&gt;"",INDEX('×入力'!$A$1:$L$1300,539+BM$3,1)&lt;&gt;""),1,0),0)</f>
        <v/>
      </c>
      <c r="BN29">
        <f>IF(BN$4=1,IF(OR(INDEX('×入力'!$A$1:$L$1300,539+BN$3,2+BN$2)&lt;&gt;"",INDEX('×入力'!$A$1:$L$1300,538,2+BN$2)&lt;&gt;"",INDEX('×入力'!$A$1:$L$1300,539+BN$3,1)&lt;&gt;""),1,0),0)</f>
        <v/>
      </c>
      <c r="BO29">
        <f>IF(BO$4=1,IF(OR(INDEX('×入力'!$A$1:$L$1300,539+BO$3,2+BO$2)&lt;&gt;"",INDEX('×入力'!$A$1:$L$1300,538,2+BO$2)&lt;&gt;"",INDEX('×入力'!$A$1:$L$1300,539+BO$3,1)&lt;&gt;""),1,0),0)</f>
        <v/>
      </c>
      <c r="BP29">
        <f>IF(BP$4=1,IF(OR(INDEX('×入力'!$A$1:$L$1300,539+BP$3,2+BP$2)&lt;&gt;"",INDEX('×入力'!$A$1:$L$1300,538,2+BP$2)&lt;&gt;"",INDEX('×入力'!$A$1:$L$1300,539+BP$3,1)&lt;&gt;""),1,0),0)</f>
        <v/>
      </c>
      <c r="BQ29">
        <f>IF(BQ$4=1,IF(OR(INDEX('×入力'!$A$1:$L$1300,539+BQ$3,2+BQ$2)&lt;&gt;"",INDEX('×入力'!$A$1:$L$1300,538,2+BQ$2)&lt;&gt;"",INDEX('×入力'!$A$1:$L$1300,539+BQ$3,1)&lt;&gt;""),1,0),0)</f>
        <v/>
      </c>
      <c r="BR29">
        <f>IF(BR$4=1,IF(OR(INDEX('×入力'!$A$1:$L$1300,539+BR$3,2+BR$2)&lt;&gt;"",INDEX('×入力'!$A$1:$L$1300,538,2+BR$2)&lt;&gt;"",INDEX('×入力'!$A$1:$L$1300,539+BR$3,1)&lt;&gt;""),1,0),0)</f>
        <v/>
      </c>
      <c r="BS29">
        <f>IF(BS$4=1,IF(OR(INDEX('×入力'!$A$1:$L$1300,539+BS$3,2+BS$2)&lt;&gt;"",INDEX('×入力'!$A$1:$L$1300,538,2+BS$2)&lt;&gt;"",INDEX('×入力'!$A$1:$L$1300,539+BS$3,1)&lt;&gt;""),1,0),0)</f>
        <v/>
      </c>
      <c r="BT29">
        <f>IF(BT$4=1,IF(OR(INDEX('×入力'!$A$1:$L$1300,539+BT$3,2+BT$2)&lt;&gt;"",INDEX('×入力'!$A$1:$L$1300,538,2+BT$2)&lt;&gt;"",INDEX('×入力'!$A$1:$L$1300,539+BT$3,1)&lt;&gt;""),1,0),0)</f>
        <v/>
      </c>
      <c r="BU29">
        <f>IF(BU$4=1,IF(OR(INDEX('×入力'!$A$1:$L$1300,539+BU$3,2+BU$2)&lt;&gt;"",INDEX('×入力'!$A$1:$L$1300,538,2+BU$2)&lt;&gt;"",INDEX('×入力'!$A$1:$L$1300,539+BU$3,1)&lt;&gt;""),1,0),0)</f>
        <v/>
      </c>
      <c r="BV29">
        <f>IF(BV$4=1,IF(OR(INDEX('×入力'!$A$1:$L$1300,539+BV$3,2+BV$2)&lt;&gt;"",INDEX('×入力'!$A$1:$L$1300,538,2+BV$2)&lt;&gt;"",INDEX('×入力'!$A$1:$L$1300,539+BV$3,1)&lt;&gt;""),1,0),0)</f>
        <v/>
      </c>
      <c r="BW29">
        <f>IF(BW$4=1,IF(OR(INDEX('×入力'!$A$1:$L$1300,539+BW$3,2+BW$2)&lt;&gt;"",INDEX('×入力'!$A$1:$L$1300,538,2+BW$2)&lt;&gt;"",INDEX('×入力'!$A$1:$L$1300,539+BW$3,1)&lt;&gt;""),1,0),0)</f>
        <v/>
      </c>
      <c r="BX29">
        <f>IF(BX$4=1,IF(OR(INDEX('×入力'!$A$1:$L$1300,539+BX$3,2+BX$2)&lt;&gt;"",INDEX('×入力'!$A$1:$L$1300,538,2+BX$2)&lt;&gt;"",INDEX('×入力'!$A$1:$L$1300,539+BX$3,1)&lt;&gt;""),1,0),0)</f>
        <v/>
      </c>
      <c r="BY29">
        <f>IF(BY$4=1,IF(OR(INDEX('×入力'!$A$1:$L$1300,539+BY$3,2+BY$2)&lt;&gt;"",INDEX('×入力'!$A$1:$L$1300,538,2+BY$2)&lt;&gt;"",INDEX('×入力'!$A$1:$L$1300,539+BY$3,1)&lt;&gt;""),1,0),0)</f>
        <v/>
      </c>
      <c r="BZ29">
        <f>IF(BZ$4=1,IF(OR(INDEX('×入力'!$A$1:$L$1300,539+BZ$3,2+BZ$2)&lt;&gt;"",INDEX('×入力'!$A$1:$L$1300,538,2+BZ$2)&lt;&gt;"",INDEX('×入力'!$A$1:$L$1300,539+BZ$3,1)&lt;&gt;""),1,0),0)</f>
        <v/>
      </c>
      <c r="CA29">
        <f>IF(CA$4=1,IF(OR(INDEX('×入力'!$A$1:$L$1300,539+CA$3,2+CA$2)&lt;&gt;"",INDEX('×入力'!$A$1:$L$1300,538,2+CA$2)&lt;&gt;"",INDEX('×入力'!$A$1:$L$1300,539+CA$3,1)&lt;&gt;""),1,0),0)</f>
        <v/>
      </c>
      <c r="CB29">
        <f>IF(CB$4=1,IF(OR(INDEX('×入力'!$A$1:$L$1300,539+CB$3,2+CB$2)&lt;&gt;"",INDEX('×入力'!$A$1:$L$1300,538,2+CB$2)&lt;&gt;"",INDEX('×入力'!$A$1:$L$1300,539+CB$3,1)&lt;&gt;""),1,0),0)</f>
        <v/>
      </c>
      <c r="CC29">
        <f>IF(CC$4=1,IF(OR(INDEX('×入力'!$A$1:$L$1300,539+CC$3,2+CC$2)&lt;&gt;"",INDEX('×入力'!$A$1:$L$1300,538,2+CC$2)&lt;&gt;"",INDEX('×入力'!$A$1:$L$1300,539+CC$3,1)&lt;&gt;""),1,0),0)</f>
        <v/>
      </c>
      <c r="CD29">
        <f>IF(CD$4=1,IF(OR(INDEX('×入力'!$A$1:$L$1300,539+CD$3,2+CD$2)&lt;&gt;"",INDEX('×入力'!$A$1:$L$1300,538,2+CD$2)&lt;&gt;"",INDEX('×入力'!$A$1:$L$1300,539+CD$3,1)&lt;&gt;""),1,0),0)</f>
        <v/>
      </c>
      <c r="CE29">
        <f>IF(CE$4=1,IF(OR(INDEX('×入力'!$A$1:$L$1300,539+CE$3,2+CE$2)&lt;&gt;"",INDEX('×入力'!$A$1:$L$1300,538,2+CE$2)&lt;&gt;"",INDEX('×入力'!$A$1:$L$1300,539+CE$3,1)&lt;&gt;""),1,0),0)</f>
        <v/>
      </c>
      <c r="CF29">
        <f>IF(CF$4=1,IF(OR(INDEX('×入力'!$A$1:$L$1300,539+CF$3,2+CF$2)&lt;&gt;"",INDEX('×入力'!$A$1:$L$1300,538,2+CF$2)&lt;&gt;"",INDEX('×入力'!$A$1:$L$1300,539+CF$3,1)&lt;&gt;""),1,0),0)</f>
        <v/>
      </c>
      <c r="CG29">
        <f>IF(CG$4=1,IF(OR(INDEX('×入力'!$A$1:$L$1300,539+CG$3,2+CG$2)&lt;&gt;"",INDEX('×入力'!$A$1:$L$1300,538,2+CG$2)&lt;&gt;"",INDEX('×入力'!$A$1:$L$1300,539+CG$3,1)&lt;&gt;""),1,0),0)</f>
        <v/>
      </c>
      <c r="CH29">
        <f>IF(CH$4=1,IF(OR(INDEX('×入力'!$A$1:$L$1300,539+CH$3,2+CH$2)&lt;&gt;"",INDEX('×入力'!$A$1:$L$1300,538,2+CH$2)&lt;&gt;"",INDEX('×入力'!$A$1:$L$1300,539+CH$3,1)&lt;&gt;""),1,0),0)</f>
        <v/>
      </c>
      <c r="CI29">
        <f>IF(CI$4=1,IF(OR(INDEX('×入力'!$A$1:$L$1300,539+CI$3,2+CI$2)&lt;&gt;"",INDEX('×入力'!$A$1:$L$1300,538,2+CI$2)&lt;&gt;"",INDEX('×入力'!$A$1:$L$1300,539+CI$3,1)&lt;&gt;""),1,0),0)</f>
        <v/>
      </c>
      <c r="CJ29">
        <f>IF(CJ$4=1,IF(OR(INDEX('×入力'!$A$1:$L$1300,539+CJ$3,2+CJ$2)&lt;&gt;"",INDEX('×入力'!$A$1:$L$1300,538,2+CJ$2)&lt;&gt;"",INDEX('×入力'!$A$1:$L$1300,539+CJ$3,1)&lt;&gt;""),1,0),0)</f>
        <v/>
      </c>
      <c r="CK29">
        <f>IF(CK$4=1,IF(OR(INDEX('×入力'!$A$1:$L$1300,539+CK$3,2+CK$2)&lt;&gt;"",INDEX('×入力'!$A$1:$L$1300,538,2+CK$2)&lt;&gt;"",INDEX('×入力'!$A$1:$L$1300,539+CK$3,1)&lt;&gt;""),1,0),0)</f>
        <v/>
      </c>
      <c r="CL29">
        <f>IF(CL$4=1,IF(OR(INDEX('×入力'!$A$1:$L$1300,539+CL$3,2+CL$2)&lt;&gt;"",INDEX('×入力'!$A$1:$L$1300,538,2+CL$2)&lt;&gt;"",INDEX('×入力'!$A$1:$L$1300,539+CL$3,1)&lt;&gt;""),1,0),0)</f>
        <v/>
      </c>
      <c r="CM29">
        <f>IF(CM$4=1,IF(OR(INDEX('×入力'!$A$1:$L$1300,539+CM$3,2+CM$2)&lt;&gt;"",INDEX('×入力'!$A$1:$L$1300,538,2+CM$2)&lt;&gt;"",INDEX('×入力'!$A$1:$L$1300,539+CM$3,1)&lt;&gt;""),1,0),0)</f>
        <v/>
      </c>
      <c r="CN29">
        <f>IF(CN$4=1,IF(OR(INDEX('×入力'!$A$1:$L$1300,539+CN$3,2+CN$2)&lt;&gt;"",INDEX('×入力'!$A$1:$L$1300,538,2+CN$2)&lt;&gt;"",INDEX('×入力'!$A$1:$L$1300,539+CN$3,1)&lt;&gt;""),1,0),0)</f>
        <v/>
      </c>
      <c r="CO29">
        <f>IF(CO$4=1,IF(OR(INDEX('×入力'!$A$1:$L$1300,539+CO$3,2+CO$2)&lt;&gt;"",INDEX('×入力'!$A$1:$L$1300,538,2+CO$2)&lt;&gt;"",INDEX('×入力'!$A$1:$L$1300,539+CO$3,1)&lt;&gt;""),1,0),0)</f>
        <v/>
      </c>
      <c r="CP29">
        <f>IF(CP$4=1,IF(OR(INDEX('×入力'!$A$1:$L$1300,539+CP$3,2+CP$2)&lt;&gt;"",INDEX('×入力'!$A$1:$L$1300,538,2+CP$2)&lt;&gt;"",INDEX('×入力'!$A$1:$L$1300,539+CP$3,1)&lt;&gt;""),1,0),0)</f>
        <v/>
      </c>
      <c r="CQ29">
        <f>IF(CQ$4=1,IF(OR(INDEX('×入力'!$A$1:$L$1300,539+CQ$3,2+CQ$2)&lt;&gt;"",INDEX('×入力'!$A$1:$L$1300,538,2+CQ$2)&lt;&gt;"",INDEX('×入力'!$A$1:$L$1300,539+CQ$3,1)&lt;&gt;""),1,0),0)</f>
        <v/>
      </c>
      <c r="CR29">
        <f>IF(CR$4=1,IF(OR(INDEX('×入力'!$A$1:$L$1300,539+CR$3,2+CR$2)&lt;&gt;"",INDEX('×入力'!$A$1:$L$1300,538,2+CR$2)&lt;&gt;"",INDEX('×入力'!$A$1:$L$1300,539+CR$3,1)&lt;&gt;""),1,0),0)</f>
        <v/>
      </c>
      <c r="CS29">
        <f>IF(CS$4=1,IF(OR(INDEX('×入力'!$A$1:$L$1300,539+CS$3,2+CS$2)&lt;&gt;"",INDEX('×入力'!$A$1:$L$1300,538,2+CS$2)&lt;&gt;"",INDEX('×入力'!$A$1:$L$1300,539+CS$3,1)&lt;&gt;""),1,0),0)</f>
        <v/>
      </c>
      <c r="CT29">
        <f>IF(CT$4=1,IF(OR(INDEX('×入力'!$A$1:$L$1300,539+CT$3,2+CT$2)&lt;&gt;"",INDEX('×入力'!$A$1:$L$1300,538,2+CT$2)&lt;&gt;"",INDEX('×入力'!$A$1:$L$1300,539+CT$3,1)&lt;&gt;""),1,0),0)</f>
        <v/>
      </c>
      <c r="CU29">
        <f>IF(CU$4=1,IF(OR(INDEX('×入力'!$A$1:$L$1300,539+CU$3,2+CU$2)&lt;&gt;"",INDEX('×入力'!$A$1:$L$1300,538,2+CU$2)&lt;&gt;"",INDEX('×入力'!$A$1:$L$1300,539+CU$3,1)&lt;&gt;""),1,0),0)</f>
        <v/>
      </c>
      <c r="CV29">
        <f>IF(CV$4=1,IF(OR(INDEX('×入力'!$A$1:$L$1300,539+CV$3,2+CV$2)&lt;&gt;"",INDEX('×入力'!$A$1:$L$1300,538,2+CV$2)&lt;&gt;"",INDEX('×入力'!$A$1:$L$1300,539+CV$3,1)&lt;&gt;""),1,0),0)</f>
        <v/>
      </c>
      <c r="CW29">
        <f>IF(CW$4=1,IF(OR(INDEX('×入力'!$A$1:$L$1300,539+CW$3,2+CW$2)&lt;&gt;"",INDEX('×入力'!$A$1:$L$1300,538,2+CW$2)&lt;&gt;"",INDEX('×入力'!$A$1:$L$1300,539+CW$3,1)&lt;&gt;""),1,0),0)</f>
        <v/>
      </c>
      <c r="CX29">
        <f>IF(CX$4=1,IF(OR(INDEX('×入力'!$A$1:$L$1300,539+CX$3,2+CX$2)&lt;&gt;"",INDEX('×入力'!$A$1:$L$1300,538,2+CX$2)&lt;&gt;"",INDEX('×入力'!$A$1:$L$1300,539+CX$3,1)&lt;&gt;""),1,0),0)</f>
        <v/>
      </c>
      <c r="CY29">
        <f>IF(CY$4=1,IF(OR(INDEX('×入力'!$A$1:$L$1300,539+CY$3,2+CY$2)&lt;&gt;"",INDEX('×入力'!$A$1:$L$1300,538,2+CY$2)&lt;&gt;"",INDEX('×入力'!$A$1:$L$1300,539+CY$3,1)&lt;&gt;""),1,0),0)</f>
        <v/>
      </c>
      <c r="CZ29">
        <f>IF(CZ$4=1,IF(OR(INDEX('×入力'!$A$1:$L$1300,539+CZ$3,2+CZ$2)&lt;&gt;"",INDEX('×入力'!$A$1:$L$1300,538,2+CZ$2)&lt;&gt;"",INDEX('×入力'!$A$1:$L$1300,539+CZ$3,1)&lt;&gt;""),1,0),0)</f>
        <v/>
      </c>
      <c r="DA29">
        <f>IF(DA$4=1,IF(OR(INDEX('×入力'!$A$1:$L$1300,539+DA$3,2+DA$2)&lt;&gt;"",INDEX('×入力'!$A$1:$L$1300,538,2+DA$2)&lt;&gt;"",INDEX('×入力'!$A$1:$L$1300,539+DA$3,1)&lt;&gt;""),1,0),0)</f>
        <v/>
      </c>
      <c r="DB29">
        <f>IF(DB$4=1,IF(OR(INDEX('×入力'!$A$1:$L$1300,539+DB$3,2+DB$2)&lt;&gt;"",INDEX('×入力'!$A$1:$L$1300,538,2+DB$2)&lt;&gt;"",INDEX('×入力'!$A$1:$L$1300,539+DB$3,1)&lt;&gt;""),1,0),0)</f>
        <v/>
      </c>
      <c r="DC29">
        <f>IF(DC$4=1,IF(OR(INDEX('×入力'!$A$1:$L$1300,539+DC$3,2+DC$2)&lt;&gt;"",INDEX('×入力'!$A$1:$L$1300,538,2+DC$2)&lt;&gt;"",INDEX('×入力'!$A$1:$L$1300,539+DC$3,1)&lt;&gt;""),1,0),0)</f>
        <v/>
      </c>
      <c r="DD29">
        <f>IF(DD$4=1,IF(OR(INDEX('×入力'!$A$1:$L$1300,539+DD$3,2+DD$2)&lt;&gt;"",INDEX('×入力'!$A$1:$L$1300,538,2+DD$2)&lt;&gt;"",INDEX('×入力'!$A$1:$L$1300,539+DD$3,1)&lt;&gt;""),1,0),0)</f>
        <v/>
      </c>
      <c r="DE29">
        <f>IF(DE$4=1,IF(OR(INDEX('×入力'!$A$1:$L$1300,539+DE$3,2+DE$2)&lt;&gt;"",INDEX('×入力'!$A$1:$L$1300,538,2+DE$2)&lt;&gt;"",INDEX('×入力'!$A$1:$L$1300,539+DE$3,1)&lt;&gt;""),1,0),0)</f>
        <v/>
      </c>
      <c r="DF29">
        <f>IF(DF$4=1,IF(OR(INDEX('×入力'!$A$1:$L$1300,539+DF$3,2+DF$2)&lt;&gt;"",INDEX('×入力'!$A$1:$L$1300,538,2+DF$2)&lt;&gt;"",INDEX('×入力'!$A$1:$L$1300,539+DF$3,1)&lt;&gt;""),1,0),0)</f>
        <v/>
      </c>
      <c r="DG29">
        <f>IF(DG$4=1,IF(OR(INDEX('×入力'!$A$1:$L$1300,539+DG$3,2+DG$2)&lt;&gt;"",INDEX('×入力'!$A$1:$L$1300,538,2+DG$2)&lt;&gt;"",INDEX('×入力'!$A$1:$L$1300,539+DG$3,1)&lt;&gt;""),1,0),0)</f>
        <v/>
      </c>
      <c r="DH29">
        <f>IF(DH$4=1,IF(OR(INDEX('×入力'!$A$1:$L$1300,539+DH$3,2+DH$2)&lt;&gt;"",INDEX('×入力'!$A$1:$L$1300,538,2+DH$2)&lt;&gt;"",INDEX('×入力'!$A$1:$L$1300,539+DH$3,1)&lt;&gt;""),1,0),0)</f>
        <v/>
      </c>
      <c r="DI29">
        <f>IF(DI$4=1,IF(OR(INDEX('×入力'!$A$1:$L$1300,539+DI$3,2+DI$2)&lt;&gt;"",INDEX('×入力'!$A$1:$L$1300,538,2+DI$2)&lt;&gt;"",INDEX('×入力'!$A$1:$L$1300,539+DI$3,1)&lt;&gt;""),1,0),0)</f>
        <v/>
      </c>
      <c r="DJ29">
        <f>IF(DJ$4=1,IF(OR(INDEX('×入力'!$A$1:$L$1300,539+DJ$3,2+DJ$2)&lt;&gt;"",INDEX('×入力'!$A$1:$L$1300,538,2+DJ$2)&lt;&gt;"",INDEX('×入力'!$A$1:$L$1300,539+DJ$3,1)&lt;&gt;""),1,0),0)</f>
        <v/>
      </c>
      <c r="DK29">
        <f>IF(DK$4=1,IF(OR(INDEX('×入力'!$A$1:$L$1300,539+DK$3,2+DK$2)&lt;&gt;"",INDEX('×入力'!$A$1:$L$1300,538,2+DK$2)&lt;&gt;"",INDEX('×入力'!$A$1:$L$1300,539+DK$3,1)&lt;&gt;""),1,0),0)</f>
        <v/>
      </c>
      <c r="DL29">
        <f>IF(DL$4=1,IF(OR(INDEX('×入力'!$A$1:$L$1300,539+DL$3,2+DL$2)&lt;&gt;"",INDEX('×入力'!$A$1:$L$1300,538,2+DL$2)&lt;&gt;"",INDEX('×入力'!$A$1:$L$1300,539+DL$3,1)&lt;&gt;""),1,0),0)</f>
        <v/>
      </c>
      <c r="DM29">
        <f>IF(DM$4=1,IF(OR(INDEX('×入力'!$A$1:$L$1300,539+DM$3,2+DM$2)&lt;&gt;"",INDEX('×入力'!$A$1:$L$1300,538,2+DM$2)&lt;&gt;"",INDEX('×入力'!$A$1:$L$1300,539+DM$3,1)&lt;&gt;""),1,0),0)</f>
        <v/>
      </c>
      <c r="DN29">
        <f>IF(DN$4=1,IF(OR(INDEX('×入力'!$A$1:$L$1300,539+DN$3,2+DN$2)&lt;&gt;"",INDEX('×入力'!$A$1:$L$1300,538,2+DN$2)&lt;&gt;"",INDEX('×入力'!$A$1:$L$1300,539+DN$3,1)&lt;&gt;""),1,0),0)</f>
        <v/>
      </c>
      <c r="DO29">
        <f>IF(DO$4=1,IF(OR(INDEX('×入力'!$A$1:$L$1300,539+DO$3,2+DO$2)&lt;&gt;"",INDEX('×入力'!$A$1:$L$1300,538,2+DO$2)&lt;&gt;"",INDEX('×入力'!$A$1:$L$1300,539+DO$3,1)&lt;&gt;""),1,0),0)</f>
        <v/>
      </c>
      <c r="DP29">
        <f>IF(DP$4=1,IF(OR(INDEX('×入力'!$A$1:$L$1300,539+DP$3,2+DP$2)&lt;&gt;"",INDEX('×入力'!$A$1:$L$1300,538,2+DP$2)&lt;&gt;"",INDEX('×入力'!$A$1:$L$1300,539+DP$3,1)&lt;&gt;""),1,0),0)</f>
        <v/>
      </c>
      <c r="DQ29">
        <f>IF(DQ$4=1,IF(OR(INDEX('×入力'!$A$1:$L$1300,539+DQ$3,2+DQ$2)&lt;&gt;"",INDEX('×入力'!$A$1:$L$1300,538,2+DQ$2)&lt;&gt;"",INDEX('×入力'!$A$1:$L$1300,539+DQ$3,1)&lt;&gt;""),1,0),0)</f>
        <v/>
      </c>
      <c r="DR29">
        <f>IF(DR$4=1,IF(OR(INDEX('×入力'!$A$1:$L$1300,539+DR$3,2+DR$2)&lt;&gt;"",INDEX('×入力'!$A$1:$L$1300,538,2+DR$2)&lt;&gt;"",INDEX('×入力'!$A$1:$L$1300,539+DR$3,1)&lt;&gt;""),1,0),0)</f>
        <v/>
      </c>
      <c r="DS29">
        <f>IF(DS$4=1,IF(OR(INDEX('×入力'!$A$1:$L$1300,539+DS$3,2+DS$2)&lt;&gt;"",INDEX('×入力'!$A$1:$L$1300,538,2+DS$2)&lt;&gt;"",INDEX('×入力'!$A$1:$L$1300,539+DS$3,1)&lt;&gt;""),1,0),0)</f>
        <v/>
      </c>
      <c r="DT29">
        <f>IF(DT$4=1,IF(OR(INDEX('×入力'!$A$1:$L$1300,539+DT$3,2+DT$2)&lt;&gt;"",INDEX('×入力'!$A$1:$L$1300,538,2+DT$2)&lt;&gt;"",INDEX('×入力'!$A$1:$L$1300,539+DT$3,1)&lt;&gt;""),1,0),0)</f>
        <v/>
      </c>
      <c r="DU29">
        <f>IF(DU$4=1,IF(OR(INDEX('×入力'!$A$1:$L$1300,539+DU$3,2+DU$2)&lt;&gt;"",INDEX('×入力'!$A$1:$L$1300,538,2+DU$2)&lt;&gt;"",INDEX('×入力'!$A$1:$L$1300,539+DU$3,1)&lt;&gt;""),1,0),0)</f>
        <v/>
      </c>
      <c r="DV29">
        <f>IF(DV$4=1,IF(OR(INDEX('×入力'!$A$1:$L$1300,539+DV$3,2+DV$2)&lt;&gt;"",INDEX('×入力'!$A$1:$L$1300,538,2+DV$2)&lt;&gt;"",INDEX('×入力'!$A$1:$L$1300,539+DV$3,1)&lt;&gt;""),1,0),0)</f>
        <v/>
      </c>
      <c r="DW29">
        <f>IF(DW$4=1,IF(OR(INDEX('×入力'!$A$1:$L$1300,539+DW$3,2+DW$2)&lt;&gt;"",INDEX('×入力'!$A$1:$L$1300,538,2+DW$2)&lt;&gt;"",INDEX('×入力'!$A$1:$L$1300,539+DW$3,1)&lt;&gt;""),1,0),0)</f>
        <v/>
      </c>
      <c r="DX29">
        <f>IF(DX$4=1,IF(OR(INDEX('×入力'!$A$1:$L$1300,539+DX$3,2+DX$2)&lt;&gt;"",INDEX('×入力'!$A$1:$L$1300,538,2+DX$2)&lt;&gt;"",INDEX('×入力'!$A$1:$L$1300,539+DX$3,1)&lt;&gt;""),1,0),0)</f>
        <v/>
      </c>
      <c r="DY29">
        <f>IF(DY$4=1,IF(OR(INDEX('×入力'!$A$1:$L$1300,539+DY$3,2+DY$2)&lt;&gt;"",INDEX('×入力'!$A$1:$L$1300,538,2+DY$2)&lt;&gt;"",INDEX('×入力'!$A$1:$L$1300,539+DY$3,1)&lt;&gt;""),1,0),0)</f>
        <v/>
      </c>
      <c r="DZ29">
        <f>IF(DZ$4=1,IF(OR(INDEX('×入力'!$A$1:$L$1300,539+DZ$3,2+DZ$2)&lt;&gt;"",INDEX('×入力'!$A$1:$L$1300,538,2+DZ$2)&lt;&gt;"",INDEX('×入力'!$A$1:$L$1300,539+DZ$3,1)&lt;&gt;""),1,0),0)</f>
        <v/>
      </c>
      <c r="EA29">
        <f>IF(EA$4=1,IF(OR(INDEX('×入力'!$A$1:$L$1300,539+EA$3,2+EA$2)&lt;&gt;"",INDEX('×入力'!$A$1:$L$1300,538,2+EA$2)&lt;&gt;"",INDEX('×入力'!$A$1:$L$1300,539+EA$3,1)&lt;&gt;""),1,0),0)</f>
        <v/>
      </c>
      <c r="EB29">
        <f>IF(EB$4=1,IF(OR(INDEX('×入力'!$A$1:$L$1300,539+EB$3,2+EB$2)&lt;&gt;"",INDEX('×入力'!$A$1:$L$1300,538,2+EB$2)&lt;&gt;"",INDEX('×入力'!$A$1:$L$1300,539+EB$3,1)&lt;&gt;""),1,0),0)</f>
        <v/>
      </c>
      <c r="EC29">
        <f>IF(EC$4=1,IF(OR(INDEX('×入力'!$A$1:$L$1300,539+EC$3,2+EC$2)&lt;&gt;"",INDEX('×入力'!$A$1:$L$1300,538,2+EC$2)&lt;&gt;"",INDEX('×入力'!$A$1:$L$1300,539+EC$3,1)&lt;&gt;""),1,0),0)</f>
        <v/>
      </c>
      <c r="ED29">
        <f>IF(ED$4=1,IF(OR(INDEX('×入力'!$A$1:$L$1300,539+ED$3,2+ED$2)&lt;&gt;"",INDEX('×入力'!$A$1:$L$1300,538,2+ED$2)&lt;&gt;"",INDEX('×入力'!$A$1:$L$1300,539+ED$3,1)&lt;&gt;""),1,0),0)</f>
        <v/>
      </c>
      <c r="EE29">
        <f>IF(EE$4=1,IF(OR(INDEX('×入力'!$A$1:$L$1300,539+EE$3,2+EE$2)&lt;&gt;"",INDEX('×入力'!$A$1:$L$1300,538,2+EE$2)&lt;&gt;"",INDEX('×入力'!$A$1:$L$1300,539+EE$3,1)&lt;&gt;""),1,0),0)</f>
        <v/>
      </c>
      <c r="EF29">
        <f>IF(EF$4=1,IF(OR(INDEX('×入力'!$A$1:$L$1300,539+EF$3,2+EF$2)&lt;&gt;"",INDEX('×入力'!$A$1:$L$1300,538,2+EF$2)&lt;&gt;"",INDEX('×入力'!$A$1:$L$1300,539+EF$3,1)&lt;&gt;""),1,0),0)</f>
        <v/>
      </c>
      <c r="EG29">
        <f>IF(EG$4=1,IF(OR(INDEX('×入力'!$A$1:$L$1300,539+EG$3,2+EG$2)&lt;&gt;"",INDEX('×入力'!$A$1:$L$1300,538,2+EG$2)&lt;&gt;"",INDEX('×入力'!$A$1:$L$1300,539+EG$3,1)&lt;&gt;""),1,0),0)</f>
        <v/>
      </c>
      <c r="EH29">
        <f>IF(EH$4=1,IF(OR(INDEX('×入力'!$A$1:$L$1300,539+EH$3,2+EH$2)&lt;&gt;"",INDEX('×入力'!$A$1:$L$1300,538,2+EH$2)&lt;&gt;"",INDEX('×入力'!$A$1:$L$1300,539+EH$3,1)&lt;&gt;""),1,0),0)</f>
        <v/>
      </c>
      <c r="EI29">
        <f>IF(EI$4=1,IF(OR(INDEX('×入力'!$A$1:$L$1300,539+EI$3,2+EI$2)&lt;&gt;"",INDEX('×入力'!$A$1:$L$1300,538,2+EI$2)&lt;&gt;"",INDEX('×入力'!$A$1:$L$1300,539+EI$3,1)&lt;&gt;""),1,0),0)</f>
        <v/>
      </c>
      <c r="EJ29">
        <f>IF(EJ$4=1,IF(OR(INDEX('×入力'!$A$1:$L$1300,539+EJ$3,2+EJ$2)&lt;&gt;"",INDEX('×入力'!$A$1:$L$1300,538,2+EJ$2)&lt;&gt;"",INDEX('×入力'!$A$1:$L$1300,539+EJ$3,1)&lt;&gt;""),1,0),0)</f>
        <v/>
      </c>
      <c r="EK29">
        <f>IF(EK$4=1,IF(OR(INDEX('×入力'!$A$1:$L$1300,539+EK$3,2+EK$2)&lt;&gt;"",INDEX('×入力'!$A$1:$L$1300,538,2+EK$2)&lt;&gt;"",INDEX('×入力'!$A$1:$L$1300,539+EK$3,1)&lt;&gt;""),1,0),0)</f>
        <v/>
      </c>
      <c r="EL29">
        <f>IF(EL$4=1,IF(OR(INDEX('×入力'!$A$1:$L$1300,539+EL$3,2+EL$2)&lt;&gt;"",INDEX('×入力'!$A$1:$L$1300,538,2+EL$2)&lt;&gt;"",INDEX('×入力'!$A$1:$L$1300,539+EL$3,1)&lt;&gt;""),1,0),0)</f>
        <v/>
      </c>
      <c r="EM29">
        <f>IF(EM$4=1,IF(OR(INDEX('×入力'!$A$1:$L$1300,539+EM$3,2+EM$2)&lt;&gt;"",INDEX('×入力'!$A$1:$L$1300,538,2+EM$2)&lt;&gt;"",INDEX('×入力'!$A$1:$L$1300,539+EM$3,1)&lt;&gt;""),1,0),0)</f>
        <v/>
      </c>
      <c r="EN29">
        <f>IF(EN$4=1,IF(OR(INDEX('×入力'!$A$1:$L$1300,539+EN$3,2+EN$2)&lt;&gt;"",INDEX('×入力'!$A$1:$L$1300,538,2+EN$2)&lt;&gt;"",INDEX('×入力'!$A$1:$L$1300,539+EN$3,1)&lt;&gt;""),1,0),0)</f>
        <v/>
      </c>
      <c r="EO29">
        <f>IF(EO$4=1,IF(OR(INDEX('×入力'!$A$1:$L$1300,539+EO$3,2+EO$2)&lt;&gt;"",INDEX('×入力'!$A$1:$L$1300,538,2+EO$2)&lt;&gt;"",INDEX('×入力'!$A$1:$L$1300,539+EO$3,1)&lt;&gt;""),1,0),0)</f>
        <v/>
      </c>
      <c r="EP29">
        <f>IF(EP$4=1,IF(OR(INDEX('×入力'!$A$1:$L$1300,539+EP$3,2+EP$2)&lt;&gt;"",INDEX('×入力'!$A$1:$L$1300,538,2+EP$2)&lt;&gt;"",INDEX('×入力'!$A$1:$L$1300,539+EP$3,1)&lt;&gt;""),1,0),0)</f>
        <v/>
      </c>
      <c r="EQ29">
        <f>IF(EQ$4=1,IF(OR(INDEX('×入力'!$A$1:$L$1300,539+EQ$3,2+EQ$2)&lt;&gt;"",INDEX('×入力'!$A$1:$L$1300,538,2+EQ$2)&lt;&gt;"",INDEX('×入力'!$A$1:$L$1300,539+EQ$3,1)&lt;&gt;""),1,0),0)</f>
        <v/>
      </c>
      <c r="HA29">
        <f>MAX(0,IT29)</f>
        <v/>
      </c>
      <c r="HB29">
        <f>IF(HA29=0,0,INDEX($D$2:$EQ$2,HA29))</f>
        <v/>
      </c>
      <c r="HC29">
        <f>IF(HA29=0,0,INDEX($D$3:$EQ$3,HA29))</f>
        <v/>
      </c>
      <c r="HD29">
        <f>MAX(0,IY29)</f>
        <v/>
      </c>
      <c r="HE29">
        <f>IF(HD29=0,0,INDEX($D$2:$EQ$2,HD29))</f>
        <v/>
      </c>
      <c r="HF29">
        <f>IF(HD29=0,0,INDEX($D$3:$EQ$3,HD29))</f>
        <v/>
      </c>
      <c r="HG29">
        <f>MAX(0,IZ29)</f>
        <v/>
      </c>
      <c r="HH29">
        <f>IF(HG29=0,0,INDEX($D$2:$EQ$2,HG29))</f>
        <v/>
      </c>
      <c r="HI29">
        <f>IF(HG29=0,0,INDEX($D$3:$EQ$3,HG29))</f>
        <v/>
      </c>
      <c r="HJ29">
        <f>IF(AND(HA29&gt;0,HC29&gt;1,OR(HC29-1&lt;&gt;$A$3,$A$4=0)),HA29-1,-1)</f>
        <v/>
      </c>
      <c r="HK29">
        <f>IF(AND(HA29&gt;0,HC29&lt;24,OR(HC29&lt;&gt;$A$3,$A$4=0)),HA29+1,-1)</f>
        <v/>
      </c>
      <c r="HL29">
        <f>IF(AND(HD29&gt;0,HF29&gt;1,OR(HF29-1&lt;&gt;$A$3,$A$4=0)),HD29-1,-1)</f>
        <v/>
      </c>
      <c r="HM29">
        <f>IF(AND(HD29&gt;0,HF29&lt;24,OR(HF29&lt;&gt;$A$3,$A$4=0)),HD29+1,-1)</f>
        <v/>
      </c>
      <c r="HN29">
        <f>IF(AND(HG29&gt;0,HI29&gt;1,OR(HI29-1&lt;&gt;$A$3,$A$4=0)),HG29-1,-1)</f>
        <v/>
      </c>
      <c r="HO29">
        <f>IF(AND(HG29&gt;0,HI29&lt;24,OR(HI29&lt;&gt;$A$3,$A$4=0)),HG29+1,-1)</f>
        <v/>
      </c>
      <c r="IK29">
        <f>IFERROR(INDEX('calcB'!$C$3:$C$47,MATCH(A29,'calcB'!$B$3:$B$47,0)),0)</f>
        <v/>
      </c>
      <c r="IL29">
        <f>IF(AND(C29=1,IK29=0,calcA!$A$6&gt;0),1,0)</f>
        <v/>
      </c>
      <c r="IM29">
        <f>SUMPRODUCT(D79:EQ79*(1-$D$7:$EQ$7))</f>
        <v/>
      </c>
      <c r="IN29">
        <f>SUM(D29:EQ29)</f>
        <v/>
      </c>
      <c r="IO29">
        <f>IF(B29="",0,IF(COUNTIF('調整・決定'!$C$6:$H$29,B29)=1,SUMPRODUCT(('調整・決定'!$C$6:$H$29=B29)*((COLUMN('調整・決定'!$C$6:$H$29)-3)*24+ROW('調整・決定'!$C$6:$H$29)-5)),0))</f>
        <v/>
      </c>
      <c r="IP29">
        <f>IFERROR(MATCH('名簿'!C24,{"早い時刻","遅い時刻","早い日","遅い日"},0),0)</f>
        <v/>
      </c>
      <c r="IQ29">
        <f>IF('名簿'!D24="必ず空けたい",2,IF('名簿'!D24="出来れば空けたい",1,0))</f>
        <v/>
      </c>
      <c r="IR29">
        <f>IFERROR(INDEX('calcC'!$C$3:$C$47,MATCH(A29,'calcC'!$B$3:$B$47,0)),0)</f>
        <v/>
      </c>
      <c r="IS29">
        <f>IF(AND(C29=1,IR29=0,calcA!$A$6&gt;0),1,0)</f>
        <v/>
      </c>
      <c r="IT29">
        <f>IF(OR('名簿'!G24="",'名簿'!H24=""),0,IFERROR((MATCH('名簿'!G24,'設定'!$E$11:$E$16,0)-1)*24+MATCH('名簿'!H24,'設定'!$I$11:$I$34,0),-1))</f>
        <v/>
      </c>
      <c r="IV29">
        <f>IF(OR(JF29=0,IO29=0),1,IF(OR(IF(IT29&gt;0,AND(INDEX($D$2:$EQ$2,IO29)=INDEX($D$2:$EQ$2,IT29),OR(AND(IO29=IT29+1,OR(INDEX($D$3:$EQ$3,IT29)&lt;&gt;$A$3,$A$4=0)),AND(IO29=IT29-1,OR(INDEX($D$3:$EQ$3,IO29)&lt;&gt;$A$3,$A$4=0)))),FALSE),IF(IY29&gt;0,AND(INDEX($D$2:$EQ$2,IO29)=INDEX($D$2:$EQ$2,IY29),OR(AND(IO29=IY29+1,OR(INDEX($D$3:$EQ$3,IY29)&lt;&gt;$A$3,$A$4=0)),AND(IO29=IY29-1,OR(INDEX($D$3:$EQ$3,IO29)&lt;&gt;$A$3,$A$4=0)))),FALSE),IF(IZ29&gt;0,AND(INDEX($D$2:$EQ$2,IO29)=INDEX($D$2:$EQ$2,IZ29),OR(AND(IO29=IZ29+1,OR(INDEX($D$3:$EQ$3,IZ29)&lt;&gt;$A$3,$A$4=0)),AND(IO29=IZ29-1,OR(INDEX($D$3:$EQ$3,IO29)&lt;&gt;$A$3,$A$4=0)))),FALSE)),1,0))</f>
        <v/>
      </c>
      <c r="IW29">
        <f>IF(AND('名簿'!E24&lt;&gt;"",JF29=0),1,0)</f>
        <v/>
      </c>
      <c r="IX29">
        <f>IF('名簿'!D24="空けない",1,0)</f>
        <v/>
      </c>
      <c r="IY29">
        <f>IF(OR('名簿'!J24="",'名簿'!K24=""),0,IFERROR((MATCH('名簿'!J24,'設定'!$E$11:$E$16,0)-1)*24+MATCH('名簿'!K24,'設定'!$I$11:$I$34,0),-1))</f>
        <v/>
      </c>
      <c r="IZ29">
        <f>IF(OR('名簿'!M24="",'名簿'!N24=""),0,IFERROR((MATCH('名簿'!M24,'設定'!$E$11:$E$16,0)-1)*24+MATCH('名簿'!N24,'設定'!$I$11:$I$34,0),-1))</f>
        <v/>
      </c>
      <c r="JC29">
        <f>IF(RIGHT('名簿'!I24,2)="の前",1,IF(RIGHT('名簿'!I24,2)="の後",2,0))</f>
        <v/>
      </c>
      <c r="JD29">
        <f>IF(RIGHT('名簿'!L24,2)="の前",1,IF(RIGHT('名簿'!L24,2)="の後",2,0))</f>
        <v/>
      </c>
      <c r="JE29">
        <f>IF(RIGHT('名簿'!O24,2)="の前",1,IF(RIGHT('名簿'!O24,2)="の後",2,0))</f>
        <v/>
      </c>
      <c r="JF29">
        <f>IF(OR(IT29&gt;0,IY29&gt;0,IZ29&gt;0),1,0)</f>
        <v/>
      </c>
      <c r="JG29">
        <f>IF(OR(IT29&lt;0,IY29&lt;0,IZ29&lt;0),1,0)</f>
        <v/>
      </c>
    </row>
    <row r="30">
      <c r="A30" t="n">
        <v>21</v>
      </c>
      <c r="B30">
        <f>'名簿'!P25</f>
        <v/>
      </c>
      <c r="C30">
        <f>IF(AND(B30&lt;&gt;"",OR('名簿'!Q25="入力済み",'名簿'!Q25="×なし"),IO30=0,COUNTIF('調整・決定'!$C$6:$H$29,B30)=0),1,0)</f>
        <v/>
      </c>
      <c r="D30">
        <f>IF(D$4=1,IF(OR(INDEX('×入力'!$A$1:$L$1300,567+D$3,2+D$2)&lt;&gt;"",INDEX('×入力'!$A$1:$L$1300,566,2+D$2)&lt;&gt;"",INDEX('×入力'!$A$1:$L$1300,567+D$3,1)&lt;&gt;""),1,0),0)</f>
        <v/>
      </c>
      <c r="E30">
        <f>IF(E$4=1,IF(OR(INDEX('×入力'!$A$1:$L$1300,567+E$3,2+E$2)&lt;&gt;"",INDEX('×入力'!$A$1:$L$1300,566,2+E$2)&lt;&gt;"",INDEX('×入力'!$A$1:$L$1300,567+E$3,1)&lt;&gt;""),1,0),0)</f>
        <v/>
      </c>
      <c r="F30">
        <f>IF(F$4=1,IF(OR(INDEX('×入力'!$A$1:$L$1300,567+F$3,2+F$2)&lt;&gt;"",INDEX('×入力'!$A$1:$L$1300,566,2+F$2)&lt;&gt;"",INDEX('×入力'!$A$1:$L$1300,567+F$3,1)&lt;&gt;""),1,0),0)</f>
        <v/>
      </c>
      <c r="G30">
        <f>IF(G$4=1,IF(OR(INDEX('×入力'!$A$1:$L$1300,567+G$3,2+G$2)&lt;&gt;"",INDEX('×入力'!$A$1:$L$1300,566,2+G$2)&lt;&gt;"",INDEX('×入力'!$A$1:$L$1300,567+G$3,1)&lt;&gt;""),1,0),0)</f>
        <v/>
      </c>
      <c r="H30">
        <f>IF(H$4=1,IF(OR(INDEX('×入力'!$A$1:$L$1300,567+H$3,2+H$2)&lt;&gt;"",INDEX('×入力'!$A$1:$L$1300,566,2+H$2)&lt;&gt;"",INDEX('×入力'!$A$1:$L$1300,567+H$3,1)&lt;&gt;""),1,0),0)</f>
        <v/>
      </c>
      <c r="I30">
        <f>IF(I$4=1,IF(OR(INDEX('×入力'!$A$1:$L$1300,567+I$3,2+I$2)&lt;&gt;"",INDEX('×入力'!$A$1:$L$1300,566,2+I$2)&lt;&gt;"",INDEX('×入力'!$A$1:$L$1300,567+I$3,1)&lt;&gt;""),1,0),0)</f>
        <v/>
      </c>
      <c r="J30">
        <f>IF(J$4=1,IF(OR(INDEX('×入力'!$A$1:$L$1300,567+J$3,2+J$2)&lt;&gt;"",INDEX('×入力'!$A$1:$L$1300,566,2+J$2)&lt;&gt;"",INDEX('×入力'!$A$1:$L$1300,567+J$3,1)&lt;&gt;""),1,0),0)</f>
        <v/>
      </c>
      <c r="K30">
        <f>IF(K$4=1,IF(OR(INDEX('×入力'!$A$1:$L$1300,567+K$3,2+K$2)&lt;&gt;"",INDEX('×入力'!$A$1:$L$1300,566,2+K$2)&lt;&gt;"",INDEX('×入力'!$A$1:$L$1300,567+K$3,1)&lt;&gt;""),1,0),0)</f>
        <v/>
      </c>
      <c r="L30">
        <f>IF(L$4=1,IF(OR(INDEX('×入力'!$A$1:$L$1300,567+L$3,2+L$2)&lt;&gt;"",INDEX('×入力'!$A$1:$L$1300,566,2+L$2)&lt;&gt;"",INDEX('×入力'!$A$1:$L$1300,567+L$3,1)&lt;&gt;""),1,0),0)</f>
        <v/>
      </c>
      <c r="M30">
        <f>IF(M$4=1,IF(OR(INDEX('×入力'!$A$1:$L$1300,567+M$3,2+M$2)&lt;&gt;"",INDEX('×入力'!$A$1:$L$1300,566,2+M$2)&lt;&gt;"",INDEX('×入力'!$A$1:$L$1300,567+M$3,1)&lt;&gt;""),1,0),0)</f>
        <v/>
      </c>
      <c r="N30">
        <f>IF(N$4=1,IF(OR(INDEX('×入力'!$A$1:$L$1300,567+N$3,2+N$2)&lt;&gt;"",INDEX('×入力'!$A$1:$L$1300,566,2+N$2)&lt;&gt;"",INDEX('×入力'!$A$1:$L$1300,567+N$3,1)&lt;&gt;""),1,0),0)</f>
        <v/>
      </c>
      <c r="O30">
        <f>IF(O$4=1,IF(OR(INDEX('×入力'!$A$1:$L$1300,567+O$3,2+O$2)&lt;&gt;"",INDEX('×入力'!$A$1:$L$1300,566,2+O$2)&lt;&gt;"",INDEX('×入力'!$A$1:$L$1300,567+O$3,1)&lt;&gt;""),1,0),0)</f>
        <v/>
      </c>
      <c r="P30">
        <f>IF(P$4=1,IF(OR(INDEX('×入力'!$A$1:$L$1300,567+P$3,2+P$2)&lt;&gt;"",INDEX('×入力'!$A$1:$L$1300,566,2+P$2)&lt;&gt;"",INDEX('×入力'!$A$1:$L$1300,567+P$3,1)&lt;&gt;""),1,0),0)</f>
        <v/>
      </c>
      <c r="Q30">
        <f>IF(Q$4=1,IF(OR(INDEX('×入力'!$A$1:$L$1300,567+Q$3,2+Q$2)&lt;&gt;"",INDEX('×入力'!$A$1:$L$1300,566,2+Q$2)&lt;&gt;"",INDEX('×入力'!$A$1:$L$1300,567+Q$3,1)&lt;&gt;""),1,0),0)</f>
        <v/>
      </c>
      <c r="R30">
        <f>IF(R$4=1,IF(OR(INDEX('×入力'!$A$1:$L$1300,567+R$3,2+R$2)&lt;&gt;"",INDEX('×入力'!$A$1:$L$1300,566,2+R$2)&lt;&gt;"",INDEX('×入力'!$A$1:$L$1300,567+R$3,1)&lt;&gt;""),1,0),0)</f>
        <v/>
      </c>
      <c r="S30">
        <f>IF(S$4=1,IF(OR(INDEX('×入力'!$A$1:$L$1300,567+S$3,2+S$2)&lt;&gt;"",INDEX('×入力'!$A$1:$L$1300,566,2+S$2)&lt;&gt;"",INDEX('×入力'!$A$1:$L$1300,567+S$3,1)&lt;&gt;""),1,0),0)</f>
        <v/>
      </c>
      <c r="T30">
        <f>IF(T$4=1,IF(OR(INDEX('×入力'!$A$1:$L$1300,567+T$3,2+T$2)&lt;&gt;"",INDEX('×入力'!$A$1:$L$1300,566,2+T$2)&lt;&gt;"",INDEX('×入力'!$A$1:$L$1300,567+T$3,1)&lt;&gt;""),1,0),0)</f>
        <v/>
      </c>
      <c r="U30">
        <f>IF(U$4=1,IF(OR(INDEX('×入力'!$A$1:$L$1300,567+U$3,2+U$2)&lt;&gt;"",INDEX('×入力'!$A$1:$L$1300,566,2+U$2)&lt;&gt;"",INDEX('×入力'!$A$1:$L$1300,567+U$3,1)&lt;&gt;""),1,0),0)</f>
        <v/>
      </c>
      <c r="V30">
        <f>IF(V$4=1,IF(OR(INDEX('×入力'!$A$1:$L$1300,567+V$3,2+V$2)&lt;&gt;"",INDEX('×入力'!$A$1:$L$1300,566,2+V$2)&lt;&gt;"",INDEX('×入力'!$A$1:$L$1300,567+V$3,1)&lt;&gt;""),1,0),0)</f>
        <v/>
      </c>
      <c r="W30">
        <f>IF(W$4=1,IF(OR(INDEX('×入力'!$A$1:$L$1300,567+W$3,2+W$2)&lt;&gt;"",INDEX('×入力'!$A$1:$L$1300,566,2+W$2)&lt;&gt;"",INDEX('×入力'!$A$1:$L$1300,567+W$3,1)&lt;&gt;""),1,0),0)</f>
        <v/>
      </c>
      <c r="X30">
        <f>IF(X$4=1,IF(OR(INDEX('×入力'!$A$1:$L$1300,567+X$3,2+X$2)&lt;&gt;"",INDEX('×入力'!$A$1:$L$1300,566,2+X$2)&lt;&gt;"",INDEX('×入力'!$A$1:$L$1300,567+X$3,1)&lt;&gt;""),1,0),0)</f>
        <v/>
      </c>
      <c r="Y30">
        <f>IF(Y$4=1,IF(OR(INDEX('×入力'!$A$1:$L$1300,567+Y$3,2+Y$2)&lt;&gt;"",INDEX('×入力'!$A$1:$L$1300,566,2+Y$2)&lt;&gt;"",INDEX('×入力'!$A$1:$L$1300,567+Y$3,1)&lt;&gt;""),1,0),0)</f>
        <v/>
      </c>
      <c r="Z30">
        <f>IF(Z$4=1,IF(OR(INDEX('×入力'!$A$1:$L$1300,567+Z$3,2+Z$2)&lt;&gt;"",INDEX('×入力'!$A$1:$L$1300,566,2+Z$2)&lt;&gt;"",INDEX('×入力'!$A$1:$L$1300,567+Z$3,1)&lt;&gt;""),1,0),0)</f>
        <v/>
      </c>
      <c r="AA30">
        <f>IF(AA$4=1,IF(OR(INDEX('×入力'!$A$1:$L$1300,567+AA$3,2+AA$2)&lt;&gt;"",INDEX('×入力'!$A$1:$L$1300,566,2+AA$2)&lt;&gt;"",INDEX('×入力'!$A$1:$L$1300,567+AA$3,1)&lt;&gt;""),1,0),0)</f>
        <v/>
      </c>
      <c r="AB30">
        <f>IF(AB$4=1,IF(OR(INDEX('×入力'!$A$1:$L$1300,567+AB$3,2+AB$2)&lt;&gt;"",INDEX('×入力'!$A$1:$L$1300,566,2+AB$2)&lt;&gt;"",INDEX('×入力'!$A$1:$L$1300,567+AB$3,1)&lt;&gt;""),1,0),0)</f>
        <v/>
      </c>
      <c r="AC30">
        <f>IF(AC$4=1,IF(OR(INDEX('×入力'!$A$1:$L$1300,567+AC$3,2+AC$2)&lt;&gt;"",INDEX('×入力'!$A$1:$L$1300,566,2+AC$2)&lt;&gt;"",INDEX('×入力'!$A$1:$L$1300,567+AC$3,1)&lt;&gt;""),1,0),0)</f>
        <v/>
      </c>
      <c r="AD30">
        <f>IF(AD$4=1,IF(OR(INDEX('×入力'!$A$1:$L$1300,567+AD$3,2+AD$2)&lt;&gt;"",INDEX('×入力'!$A$1:$L$1300,566,2+AD$2)&lt;&gt;"",INDEX('×入力'!$A$1:$L$1300,567+AD$3,1)&lt;&gt;""),1,0),0)</f>
        <v/>
      </c>
      <c r="AE30">
        <f>IF(AE$4=1,IF(OR(INDEX('×入力'!$A$1:$L$1300,567+AE$3,2+AE$2)&lt;&gt;"",INDEX('×入力'!$A$1:$L$1300,566,2+AE$2)&lt;&gt;"",INDEX('×入力'!$A$1:$L$1300,567+AE$3,1)&lt;&gt;""),1,0),0)</f>
        <v/>
      </c>
      <c r="AF30">
        <f>IF(AF$4=1,IF(OR(INDEX('×入力'!$A$1:$L$1300,567+AF$3,2+AF$2)&lt;&gt;"",INDEX('×入力'!$A$1:$L$1300,566,2+AF$2)&lt;&gt;"",INDEX('×入力'!$A$1:$L$1300,567+AF$3,1)&lt;&gt;""),1,0),0)</f>
        <v/>
      </c>
      <c r="AG30">
        <f>IF(AG$4=1,IF(OR(INDEX('×入力'!$A$1:$L$1300,567+AG$3,2+AG$2)&lt;&gt;"",INDEX('×入力'!$A$1:$L$1300,566,2+AG$2)&lt;&gt;"",INDEX('×入力'!$A$1:$L$1300,567+AG$3,1)&lt;&gt;""),1,0),0)</f>
        <v/>
      </c>
      <c r="AH30">
        <f>IF(AH$4=1,IF(OR(INDEX('×入力'!$A$1:$L$1300,567+AH$3,2+AH$2)&lt;&gt;"",INDEX('×入力'!$A$1:$L$1300,566,2+AH$2)&lt;&gt;"",INDEX('×入力'!$A$1:$L$1300,567+AH$3,1)&lt;&gt;""),1,0),0)</f>
        <v/>
      </c>
      <c r="AI30">
        <f>IF(AI$4=1,IF(OR(INDEX('×入力'!$A$1:$L$1300,567+AI$3,2+AI$2)&lt;&gt;"",INDEX('×入力'!$A$1:$L$1300,566,2+AI$2)&lt;&gt;"",INDEX('×入力'!$A$1:$L$1300,567+AI$3,1)&lt;&gt;""),1,0),0)</f>
        <v/>
      </c>
      <c r="AJ30">
        <f>IF(AJ$4=1,IF(OR(INDEX('×入力'!$A$1:$L$1300,567+AJ$3,2+AJ$2)&lt;&gt;"",INDEX('×入力'!$A$1:$L$1300,566,2+AJ$2)&lt;&gt;"",INDEX('×入力'!$A$1:$L$1300,567+AJ$3,1)&lt;&gt;""),1,0),0)</f>
        <v/>
      </c>
      <c r="AK30">
        <f>IF(AK$4=1,IF(OR(INDEX('×入力'!$A$1:$L$1300,567+AK$3,2+AK$2)&lt;&gt;"",INDEX('×入力'!$A$1:$L$1300,566,2+AK$2)&lt;&gt;"",INDEX('×入力'!$A$1:$L$1300,567+AK$3,1)&lt;&gt;""),1,0),0)</f>
        <v/>
      </c>
      <c r="AL30">
        <f>IF(AL$4=1,IF(OR(INDEX('×入力'!$A$1:$L$1300,567+AL$3,2+AL$2)&lt;&gt;"",INDEX('×入力'!$A$1:$L$1300,566,2+AL$2)&lt;&gt;"",INDEX('×入力'!$A$1:$L$1300,567+AL$3,1)&lt;&gt;""),1,0),0)</f>
        <v/>
      </c>
      <c r="AM30">
        <f>IF(AM$4=1,IF(OR(INDEX('×入力'!$A$1:$L$1300,567+AM$3,2+AM$2)&lt;&gt;"",INDEX('×入力'!$A$1:$L$1300,566,2+AM$2)&lt;&gt;"",INDEX('×入力'!$A$1:$L$1300,567+AM$3,1)&lt;&gt;""),1,0),0)</f>
        <v/>
      </c>
      <c r="AN30">
        <f>IF(AN$4=1,IF(OR(INDEX('×入力'!$A$1:$L$1300,567+AN$3,2+AN$2)&lt;&gt;"",INDEX('×入力'!$A$1:$L$1300,566,2+AN$2)&lt;&gt;"",INDEX('×入力'!$A$1:$L$1300,567+AN$3,1)&lt;&gt;""),1,0),0)</f>
        <v/>
      </c>
      <c r="AO30">
        <f>IF(AO$4=1,IF(OR(INDEX('×入力'!$A$1:$L$1300,567+AO$3,2+AO$2)&lt;&gt;"",INDEX('×入力'!$A$1:$L$1300,566,2+AO$2)&lt;&gt;"",INDEX('×入力'!$A$1:$L$1300,567+AO$3,1)&lt;&gt;""),1,0),0)</f>
        <v/>
      </c>
      <c r="AP30">
        <f>IF(AP$4=1,IF(OR(INDEX('×入力'!$A$1:$L$1300,567+AP$3,2+AP$2)&lt;&gt;"",INDEX('×入力'!$A$1:$L$1300,566,2+AP$2)&lt;&gt;"",INDEX('×入力'!$A$1:$L$1300,567+AP$3,1)&lt;&gt;""),1,0),0)</f>
        <v/>
      </c>
      <c r="AQ30">
        <f>IF(AQ$4=1,IF(OR(INDEX('×入力'!$A$1:$L$1300,567+AQ$3,2+AQ$2)&lt;&gt;"",INDEX('×入力'!$A$1:$L$1300,566,2+AQ$2)&lt;&gt;"",INDEX('×入力'!$A$1:$L$1300,567+AQ$3,1)&lt;&gt;""),1,0),0)</f>
        <v/>
      </c>
      <c r="AR30">
        <f>IF(AR$4=1,IF(OR(INDEX('×入力'!$A$1:$L$1300,567+AR$3,2+AR$2)&lt;&gt;"",INDEX('×入力'!$A$1:$L$1300,566,2+AR$2)&lt;&gt;"",INDEX('×入力'!$A$1:$L$1300,567+AR$3,1)&lt;&gt;""),1,0),0)</f>
        <v/>
      </c>
      <c r="AS30">
        <f>IF(AS$4=1,IF(OR(INDEX('×入力'!$A$1:$L$1300,567+AS$3,2+AS$2)&lt;&gt;"",INDEX('×入力'!$A$1:$L$1300,566,2+AS$2)&lt;&gt;"",INDEX('×入力'!$A$1:$L$1300,567+AS$3,1)&lt;&gt;""),1,0),0)</f>
        <v/>
      </c>
      <c r="AT30">
        <f>IF(AT$4=1,IF(OR(INDEX('×入力'!$A$1:$L$1300,567+AT$3,2+AT$2)&lt;&gt;"",INDEX('×入力'!$A$1:$L$1300,566,2+AT$2)&lt;&gt;"",INDEX('×入力'!$A$1:$L$1300,567+AT$3,1)&lt;&gt;""),1,0),0)</f>
        <v/>
      </c>
      <c r="AU30">
        <f>IF(AU$4=1,IF(OR(INDEX('×入力'!$A$1:$L$1300,567+AU$3,2+AU$2)&lt;&gt;"",INDEX('×入力'!$A$1:$L$1300,566,2+AU$2)&lt;&gt;"",INDEX('×入力'!$A$1:$L$1300,567+AU$3,1)&lt;&gt;""),1,0),0)</f>
        <v/>
      </c>
      <c r="AV30">
        <f>IF(AV$4=1,IF(OR(INDEX('×入力'!$A$1:$L$1300,567+AV$3,2+AV$2)&lt;&gt;"",INDEX('×入力'!$A$1:$L$1300,566,2+AV$2)&lt;&gt;"",INDEX('×入力'!$A$1:$L$1300,567+AV$3,1)&lt;&gt;""),1,0),0)</f>
        <v/>
      </c>
      <c r="AW30">
        <f>IF(AW$4=1,IF(OR(INDEX('×入力'!$A$1:$L$1300,567+AW$3,2+AW$2)&lt;&gt;"",INDEX('×入力'!$A$1:$L$1300,566,2+AW$2)&lt;&gt;"",INDEX('×入力'!$A$1:$L$1300,567+AW$3,1)&lt;&gt;""),1,0),0)</f>
        <v/>
      </c>
      <c r="AX30">
        <f>IF(AX$4=1,IF(OR(INDEX('×入力'!$A$1:$L$1300,567+AX$3,2+AX$2)&lt;&gt;"",INDEX('×入力'!$A$1:$L$1300,566,2+AX$2)&lt;&gt;"",INDEX('×入力'!$A$1:$L$1300,567+AX$3,1)&lt;&gt;""),1,0),0)</f>
        <v/>
      </c>
      <c r="AY30">
        <f>IF(AY$4=1,IF(OR(INDEX('×入力'!$A$1:$L$1300,567+AY$3,2+AY$2)&lt;&gt;"",INDEX('×入力'!$A$1:$L$1300,566,2+AY$2)&lt;&gt;"",INDEX('×入力'!$A$1:$L$1300,567+AY$3,1)&lt;&gt;""),1,0),0)</f>
        <v/>
      </c>
      <c r="AZ30">
        <f>IF(AZ$4=1,IF(OR(INDEX('×入力'!$A$1:$L$1300,567+AZ$3,2+AZ$2)&lt;&gt;"",INDEX('×入力'!$A$1:$L$1300,566,2+AZ$2)&lt;&gt;"",INDEX('×入力'!$A$1:$L$1300,567+AZ$3,1)&lt;&gt;""),1,0),0)</f>
        <v/>
      </c>
      <c r="BA30">
        <f>IF(BA$4=1,IF(OR(INDEX('×入力'!$A$1:$L$1300,567+BA$3,2+BA$2)&lt;&gt;"",INDEX('×入力'!$A$1:$L$1300,566,2+BA$2)&lt;&gt;"",INDEX('×入力'!$A$1:$L$1300,567+BA$3,1)&lt;&gt;""),1,0),0)</f>
        <v/>
      </c>
      <c r="BB30">
        <f>IF(BB$4=1,IF(OR(INDEX('×入力'!$A$1:$L$1300,567+BB$3,2+BB$2)&lt;&gt;"",INDEX('×入力'!$A$1:$L$1300,566,2+BB$2)&lt;&gt;"",INDEX('×入力'!$A$1:$L$1300,567+BB$3,1)&lt;&gt;""),1,0),0)</f>
        <v/>
      </c>
      <c r="BC30">
        <f>IF(BC$4=1,IF(OR(INDEX('×入力'!$A$1:$L$1300,567+BC$3,2+BC$2)&lt;&gt;"",INDEX('×入力'!$A$1:$L$1300,566,2+BC$2)&lt;&gt;"",INDEX('×入力'!$A$1:$L$1300,567+BC$3,1)&lt;&gt;""),1,0),0)</f>
        <v/>
      </c>
      <c r="BD30">
        <f>IF(BD$4=1,IF(OR(INDEX('×入力'!$A$1:$L$1300,567+BD$3,2+BD$2)&lt;&gt;"",INDEX('×入力'!$A$1:$L$1300,566,2+BD$2)&lt;&gt;"",INDEX('×入力'!$A$1:$L$1300,567+BD$3,1)&lt;&gt;""),1,0),0)</f>
        <v/>
      </c>
      <c r="BE30">
        <f>IF(BE$4=1,IF(OR(INDEX('×入力'!$A$1:$L$1300,567+BE$3,2+BE$2)&lt;&gt;"",INDEX('×入力'!$A$1:$L$1300,566,2+BE$2)&lt;&gt;"",INDEX('×入力'!$A$1:$L$1300,567+BE$3,1)&lt;&gt;""),1,0),0)</f>
        <v/>
      </c>
      <c r="BF30">
        <f>IF(BF$4=1,IF(OR(INDEX('×入力'!$A$1:$L$1300,567+BF$3,2+BF$2)&lt;&gt;"",INDEX('×入力'!$A$1:$L$1300,566,2+BF$2)&lt;&gt;"",INDEX('×入力'!$A$1:$L$1300,567+BF$3,1)&lt;&gt;""),1,0),0)</f>
        <v/>
      </c>
      <c r="BG30">
        <f>IF(BG$4=1,IF(OR(INDEX('×入力'!$A$1:$L$1300,567+BG$3,2+BG$2)&lt;&gt;"",INDEX('×入力'!$A$1:$L$1300,566,2+BG$2)&lt;&gt;"",INDEX('×入力'!$A$1:$L$1300,567+BG$3,1)&lt;&gt;""),1,0),0)</f>
        <v/>
      </c>
      <c r="BH30">
        <f>IF(BH$4=1,IF(OR(INDEX('×入力'!$A$1:$L$1300,567+BH$3,2+BH$2)&lt;&gt;"",INDEX('×入力'!$A$1:$L$1300,566,2+BH$2)&lt;&gt;"",INDEX('×入力'!$A$1:$L$1300,567+BH$3,1)&lt;&gt;""),1,0),0)</f>
        <v/>
      </c>
      <c r="BI30">
        <f>IF(BI$4=1,IF(OR(INDEX('×入力'!$A$1:$L$1300,567+BI$3,2+BI$2)&lt;&gt;"",INDEX('×入力'!$A$1:$L$1300,566,2+BI$2)&lt;&gt;"",INDEX('×入力'!$A$1:$L$1300,567+BI$3,1)&lt;&gt;""),1,0),0)</f>
        <v/>
      </c>
      <c r="BJ30">
        <f>IF(BJ$4=1,IF(OR(INDEX('×入力'!$A$1:$L$1300,567+BJ$3,2+BJ$2)&lt;&gt;"",INDEX('×入力'!$A$1:$L$1300,566,2+BJ$2)&lt;&gt;"",INDEX('×入力'!$A$1:$L$1300,567+BJ$3,1)&lt;&gt;""),1,0),0)</f>
        <v/>
      </c>
      <c r="BK30">
        <f>IF(BK$4=1,IF(OR(INDEX('×入力'!$A$1:$L$1300,567+BK$3,2+BK$2)&lt;&gt;"",INDEX('×入力'!$A$1:$L$1300,566,2+BK$2)&lt;&gt;"",INDEX('×入力'!$A$1:$L$1300,567+BK$3,1)&lt;&gt;""),1,0),0)</f>
        <v/>
      </c>
      <c r="BL30">
        <f>IF(BL$4=1,IF(OR(INDEX('×入力'!$A$1:$L$1300,567+BL$3,2+BL$2)&lt;&gt;"",INDEX('×入力'!$A$1:$L$1300,566,2+BL$2)&lt;&gt;"",INDEX('×入力'!$A$1:$L$1300,567+BL$3,1)&lt;&gt;""),1,0),0)</f>
        <v/>
      </c>
      <c r="BM30">
        <f>IF(BM$4=1,IF(OR(INDEX('×入力'!$A$1:$L$1300,567+BM$3,2+BM$2)&lt;&gt;"",INDEX('×入力'!$A$1:$L$1300,566,2+BM$2)&lt;&gt;"",INDEX('×入力'!$A$1:$L$1300,567+BM$3,1)&lt;&gt;""),1,0),0)</f>
        <v/>
      </c>
      <c r="BN30">
        <f>IF(BN$4=1,IF(OR(INDEX('×入力'!$A$1:$L$1300,567+BN$3,2+BN$2)&lt;&gt;"",INDEX('×入力'!$A$1:$L$1300,566,2+BN$2)&lt;&gt;"",INDEX('×入力'!$A$1:$L$1300,567+BN$3,1)&lt;&gt;""),1,0),0)</f>
        <v/>
      </c>
      <c r="BO30">
        <f>IF(BO$4=1,IF(OR(INDEX('×入力'!$A$1:$L$1300,567+BO$3,2+BO$2)&lt;&gt;"",INDEX('×入力'!$A$1:$L$1300,566,2+BO$2)&lt;&gt;"",INDEX('×入力'!$A$1:$L$1300,567+BO$3,1)&lt;&gt;""),1,0),0)</f>
        <v/>
      </c>
      <c r="BP30">
        <f>IF(BP$4=1,IF(OR(INDEX('×入力'!$A$1:$L$1300,567+BP$3,2+BP$2)&lt;&gt;"",INDEX('×入力'!$A$1:$L$1300,566,2+BP$2)&lt;&gt;"",INDEX('×入力'!$A$1:$L$1300,567+BP$3,1)&lt;&gt;""),1,0),0)</f>
        <v/>
      </c>
      <c r="BQ30">
        <f>IF(BQ$4=1,IF(OR(INDEX('×入力'!$A$1:$L$1300,567+BQ$3,2+BQ$2)&lt;&gt;"",INDEX('×入力'!$A$1:$L$1300,566,2+BQ$2)&lt;&gt;"",INDEX('×入力'!$A$1:$L$1300,567+BQ$3,1)&lt;&gt;""),1,0),0)</f>
        <v/>
      </c>
      <c r="BR30">
        <f>IF(BR$4=1,IF(OR(INDEX('×入力'!$A$1:$L$1300,567+BR$3,2+BR$2)&lt;&gt;"",INDEX('×入力'!$A$1:$L$1300,566,2+BR$2)&lt;&gt;"",INDEX('×入力'!$A$1:$L$1300,567+BR$3,1)&lt;&gt;""),1,0),0)</f>
        <v/>
      </c>
      <c r="BS30">
        <f>IF(BS$4=1,IF(OR(INDEX('×入力'!$A$1:$L$1300,567+BS$3,2+BS$2)&lt;&gt;"",INDEX('×入力'!$A$1:$L$1300,566,2+BS$2)&lt;&gt;"",INDEX('×入力'!$A$1:$L$1300,567+BS$3,1)&lt;&gt;""),1,0),0)</f>
        <v/>
      </c>
      <c r="BT30">
        <f>IF(BT$4=1,IF(OR(INDEX('×入力'!$A$1:$L$1300,567+BT$3,2+BT$2)&lt;&gt;"",INDEX('×入力'!$A$1:$L$1300,566,2+BT$2)&lt;&gt;"",INDEX('×入力'!$A$1:$L$1300,567+BT$3,1)&lt;&gt;""),1,0),0)</f>
        <v/>
      </c>
      <c r="BU30">
        <f>IF(BU$4=1,IF(OR(INDEX('×入力'!$A$1:$L$1300,567+BU$3,2+BU$2)&lt;&gt;"",INDEX('×入力'!$A$1:$L$1300,566,2+BU$2)&lt;&gt;"",INDEX('×入力'!$A$1:$L$1300,567+BU$3,1)&lt;&gt;""),1,0),0)</f>
        <v/>
      </c>
      <c r="BV30">
        <f>IF(BV$4=1,IF(OR(INDEX('×入力'!$A$1:$L$1300,567+BV$3,2+BV$2)&lt;&gt;"",INDEX('×入力'!$A$1:$L$1300,566,2+BV$2)&lt;&gt;"",INDEX('×入力'!$A$1:$L$1300,567+BV$3,1)&lt;&gt;""),1,0),0)</f>
        <v/>
      </c>
      <c r="BW30">
        <f>IF(BW$4=1,IF(OR(INDEX('×入力'!$A$1:$L$1300,567+BW$3,2+BW$2)&lt;&gt;"",INDEX('×入力'!$A$1:$L$1300,566,2+BW$2)&lt;&gt;"",INDEX('×入力'!$A$1:$L$1300,567+BW$3,1)&lt;&gt;""),1,0),0)</f>
        <v/>
      </c>
      <c r="BX30">
        <f>IF(BX$4=1,IF(OR(INDEX('×入力'!$A$1:$L$1300,567+BX$3,2+BX$2)&lt;&gt;"",INDEX('×入力'!$A$1:$L$1300,566,2+BX$2)&lt;&gt;"",INDEX('×入力'!$A$1:$L$1300,567+BX$3,1)&lt;&gt;""),1,0),0)</f>
        <v/>
      </c>
      <c r="BY30">
        <f>IF(BY$4=1,IF(OR(INDEX('×入力'!$A$1:$L$1300,567+BY$3,2+BY$2)&lt;&gt;"",INDEX('×入力'!$A$1:$L$1300,566,2+BY$2)&lt;&gt;"",INDEX('×入力'!$A$1:$L$1300,567+BY$3,1)&lt;&gt;""),1,0),0)</f>
        <v/>
      </c>
      <c r="BZ30">
        <f>IF(BZ$4=1,IF(OR(INDEX('×入力'!$A$1:$L$1300,567+BZ$3,2+BZ$2)&lt;&gt;"",INDEX('×入力'!$A$1:$L$1300,566,2+BZ$2)&lt;&gt;"",INDEX('×入力'!$A$1:$L$1300,567+BZ$3,1)&lt;&gt;""),1,0),0)</f>
        <v/>
      </c>
      <c r="CA30">
        <f>IF(CA$4=1,IF(OR(INDEX('×入力'!$A$1:$L$1300,567+CA$3,2+CA$2)&lt;&gt;"",INDEX('×入力'!$A$1:$L$1300,566,2+CA$2)&lt;&gt;"",INDEX('×入力'!$A$1:$L$1300,567+CA$3,1)&lt;&gt;""),1,0),0)</f>
        <v/>
      </c>
      <c r="CB30">
        <f>IF(CB$4=1,IF(OR(INDEX('×入力'!$A$1:$L$1300,567+CB$3,2+CB$2)&lt;&gt;"",INDEX('×入力'!$A$1:$L$1300,566,2+CB$2)&lt;&gt;"",INDEX('×入力'!$A$1:$L$1300,567+CB$3,1)&lt;&gt;""),1,0),0)</f>
        <v/>
      </c>
      <c r="CC30">
        <f>IF(CC$4=1,IF(OR(INDEX('×入力'!$A$1:$L$1300,567+CC$3,2+CC$2)&lt;&gt;"",INDEX('×入力'!$A$1:$L$1300,566,2+CC$2)&lt;&gt;"",INDEX('×入力'!$A$1:$L$1300,567+CC$3,1)&lt;&gt;""),1,0),0)</f>
        <v/>
      </c>
      <c r="CD30">
        <f>IF(CD$4=1,IF(OR(INDEX('×入力'!$A$1:$L$1300,567+CD$3,2+CD$2)&lt;&gt;"",INDEX('×入力'!$A$1:$L$1300,566,2+CD$2)&lt;&gt;"",INDEX('×入力'!$A$1:$L$1300,567+CD$3,1)&lt;&gt;""),1,0),0)</f>
        <v/>
      </c>
      <c r="CE30">
        <f>IF(CE$4=1,IF(OR(INDEX('×入力'!$A$1:$L$1300,567+CE$3,2+CE$2)&lt;&gt;"",INDEX('×入力'!$A$1:$L$1300,566,2+CE$2)&lt;&gt;"",INDEX('×入力'!$A$1:$L$1300,567+CE$3,1)&lt;&gt;""),1,0),0)</f>
        <v/>
      </c>
      <c r="CF30">
        <f>IF(CF$4=1,IF(OR(INDEX('×入力'!$A$1:$L$1300,567+CF$3,2+CF$2)&lt;&gt;"",INDEX('×入力'!$A$1:$L$1300,566,2+CF$2)&lt;&gt;"",INDEX('×入力'!$A$1:$L$1300,567+CF$3,1)&lt;&gt;""),1,0),0)</f>
        <v/>
      </c>
      <c r="CG30">
        <f>IF(CG$4=1,IF(OR(INDEX('×入力'!$A$1:$L$1300,567+CG$3,2+CG$2)&lt;&gt;"",INDEX('×入力'!$A$1:$L$1300,566,2+CG$2)&lt;&gt;"",INDEX('×入力'!$A$1:$L$1300,567+CG$3,1)&lt;&gt;""),1,0),0)</f>
        <v/>
      </c>
      <c r="CH30">
        <f>IF(CH$4=1,IF(OR(INDEX('×入力'!$A$1:$L$1300,567+CH$3,2+CH$2)&lt;&gt;"",INDEX('×入力'!$A$1:$L$1300,566,2+CH$2)&lt;&gt;"",INDEX('×入力'!$A$1:$L$1300,567+CH$3,1)&lt;&gt;""),1,0),0)</f>
        <v/>
      </c>
      <c r="CI30">
        <f>IF(CI$4=1,IF(OR(INDEX('×入力'!$A$1:$L$1300,567+CI$3,2+CI$2)&lt;&gt;"",INDEX('×入力'!$A$1:$L$1300,566,2+CI$2)&lt;&gt;"",INDEX('×入力'!$A$1:$L$1300,567+CI$3,1)&lt;&gt;""),1,0),0)</f>
        <v/>
      </c>
      <c r="CJ30">
        <f>IF(CJ$4=1,IF(OR(INDEX('×入力'!$A$1:$L$1300,567+CJ$3,2+CJ$2)&lt;&gt;"",INDEX('×入力'!$A$1:$L$1300,566,2+CJ$2)&lt;&gt;"",INDEX('×入力'!$A$1:$L$1300,567+CJ$3,1)&lt;&gt;""),1,0),0)</f>
        <v/>
      </c>
      <c r="CK30">
        <f>IF(CK$4=1,IF(OR(INDEX('×入力'!$A$1:$L$1300,567+CK$3,2+CK$2)&lt;&gt;"",INDEX('×入力'!$A$1:$L$1300,566,2+CK$2)&lt;&gt;"",INDEX('×入力'!$A$1:$L$1300,567+CK$3,1)&lt;&gt;""),1,0),0)</f>
        <v/>
      </c>
      <c r="CL30">
        <f>IF(CL$4=1,IF(OR(INDEX('×入力'!$A$1:$L$1300,567+CL$3,2+CL$2)&lt;&gt;"",INDEX('×入力'!$A$1:$L$1300,566,2+CL$2)&lt;&gt;"",INDEX('×入力'!$A$1:$L$1300,567+CL$3,1)&lt;&gt;""),1,0),0)</f>
        <v/>
      </c>
      <c r="CM30">
        <f>IF(CM$4=1,IF(OR(INDEX('×入力'!$A$1:$L$1300,567+CM$3,2+CM$2)&lt;&gt;"",INDEX('×入力'!$A$1:$L$1300,566,2+CM$2)&lt;&gt;"",INDEX('×入力'!$A$1:$L$1300,567+CM$3,1)&lt;&gt;""),1,0),0)</f>
        <v/>
      </c>
      <c r="CN30">
        <f>IF(CN$4=1,IF(OR(INDEX('×入力'!$A$1:$L$1300,567+CN$3,2+CN$2)&lt;&gt;"",INDEX('×入力'!$A$1:$L$1300,566,2+CN$2)&lt;&gt;"",INDEX('×入力'!$A$1:$L$1300,567+CN$3,1)&lt;&gt;""),1,0),0)</f>
        <v/>
      </c>
      <c r="CO30">
        <f>IF(CO$4=1,IF(OR(INDEX('×入力'!$A$1:$L$1300,567+CO$3,2+CO$2)&lt;&gt;"",INDEX('×入力'!$A$1:$L$1300,566,2+CO$2)&lt;&gt;"",INDEX('×入力'!$A$1:$L$1300,567+CO$3,1)&lt;&gt;""),1,0),0)</f>
        <v/>
      </c>
      <c r="CP30">
        <f>IF(CP$4=1,IF(OR(INDEX('×入力'!$A$1:$L$1300,567+CP$3,2+CP$2)&lt;&gt;"",INDEX('×入力'!$A$1:$L$1300,566,2+CP$2)&lt;&gt;"",INDEX('×入力'!$A$1:$L$1300,567+CP$3,1)&lt;&gt;""),1,0),0)</f>
        <v/>
      </c>
      <c r="CQ30">
        <f>IF(CQ$4=1,IF(OR(INDEX('×入力'!$A$1:$L$1300,567+CQ$3,2+CQ$2)&lt;&gt;"",INDEX('×入力'!$A$1:$L$1300,566,2+CQ$2)&lt;&gt;"",INDEX('×入力'!$A$1:$L$1300,567+CQ$3,1)&lt;&gt;""),1,0),0)</f>
        <v/>
      </c>
      <c r="CR30">
        <f>IF(CR$4=1,IF(OR(INDEX('×入力'!$A$1:$L$1300,567+CR$3,2+CR$2)&lt;&gt;"",INDEX('×入力'!$A$1:$L$1300,566,2+CR$2)&lt;&gt;"",INDEX('×入力'!$A$1:$L$1300,567+CR$3,1)&lt;&gt;""),1,0),0)</f>
        <v/>
      </c>
      <c r="CS30">
        <f>IF(CS$4=1,IF(OR(INDEX('×入力'!$A$1:$L$1300,567+CS$3,2+CS$2)&lt;&gt;"",INDEX('×入力'!$A$1:$L$1300,566,2+CS$2)&lt;&gt;"",INDEX('×入力'!$A$1:$L$1300,567+CS$3,1)&lt;&gt;""),1,0),0)</f>
        <v/>
      </c>
      <c r="CT30">
        <f>IF(CT$4=1,IF(OR(INDEX('×入力'!$A$1:$L$1300,567+CT$3,2+CT$2)&lt;&gt;"",INDEX('×入力'!$A$1:$L$1300,566,2+CT$2)&lt;&gt;"",INDEX('×入力'!$A$1:$L$1300,567+CT$3,1)&lt;&gt;""),1,0),0)</f>
        <v/>
      </c>
      <c r="CU30">
        <f>IF(CU$4=1,IF(OR(INDEX('×入力'!$A$1:$L$1300,567+CU$3,2+CU$2)&lt;&gt;"",INDEX('×入力'!$A$1:$L$1300,566,2+CU$2)&lt;&gt;"",INDEX('×入力'!$A$1:$L$1300,567+CU$3,1)&lt;&gt;""),1,0),0)</f>
        <v/>
      </c>
      <c r="CV30">
        <f>IF(CV$4=1,IF(OR(INDEX('×入力'!$A$1:$L$1300,567+CV$3,2+CV$2)&lt;&gt;"",INDEX('×入力'!$A$1:$L$1300,566,2+CV$2)&lt;&gt;"",INDEX('×入力'!$A$1:$L$1300,567+CV$3,1)&lt;&gt;""),1,0),0)</f>
        <v/>
      </c>
      <c r="CW30">
        <f>IF(CW$4=1,IF(OR(INDEX('×入力'!$A$1:$L$1300,567+CW$3,2+CW$2)&lt;&gt;"",INDEX('×入力'!$A$1:$L$1300,566,2+CW$2)&lt;&gt;"",INDEX('×入力'!$A$1:$L$1300,567+CW$3,1)&lt;&gt;""),1,0),0)</f>
        <v/>
      </c>
      <c r="CX30">
        <f>IF(CX$4=1,IF(OR(INDEX('×入力'!$A$1:$L$1300,567+CX$3,2+CX$2)&lt;&gt;"",INDEX('×入力'!$A$1:$L$1300,566,2+CX$2)&lt;&gt;"",INDEX('×入力'!$A$1:$L$1300,567+CX$3,1)&lt;&gt;""),1,0),0)</f>
        <v/>
      </c>
      <c r="CY30">
        <f>IF(CY$4=1,IF(OR(INDEX('×入力'!$A$1:$L$1300,567+CY$3,2+CY$2)&lt;&gt;"",INDEX('×入力'!$A$1:$L$1300,566,2+CY$2)&lt;&gt;"",INDEX('×入力'!$A$1:$L$1300,567+CY$3,1)&lt;&gt;""),1,0),0)</f>
        <v/>
      </c>
      <c r="CZ30">
        <f>IF(CZ$4=1,IF(OR(INDEX('×入力'!$A$1:$L$1300,567+CZ$3,2+CZ$2)&lt;&gt;"",INDEX('×入力'!$A$1:$L$1300,566,2+CZ$2)&lt;&gt;"",INDEX('×入力'!$A$1:$L$1300,567+CZ$3,1)&lt;&gt;""),1,0),0)</f>
        <v/>
      </c>
      <c r="DA30">
        <f>IF(DA$4=1,IF(OR(INDEX('×入力'!$A$1:$L$1300,567+DA$3,2+DA$2)&lt;&gt;"",INDEX('×入力'!$A$1:$L$1300,566,2+DA$2)&lt;&gt;"",INDEX('×入力'!$A$1:$L$1300,567+DA$3,1)&lt;&gt;""),1,0),0)</f>
        <v/>
      </c>
      <c r="DB30">
        <f>IF(DB$4=1,IF(OR(INDEX('×入力'!$A$1:$L$1300,567+DB$3,2+DB$2)&lt;&gt;"",INDEX('×入力'!$A$1:$L$1300,566,2+DB$2)&lt;&gt;"",INDEX('×入力'!$A$1:$L$1300,567+DB$3,1)&lt;&gt;""),1,0),0)</f>
        <v/>
      </c>
      <c r="DC30">
        <f>IF(DC$4=1,IF(OR(INDEX('×入力'!$A$1:$L$1300,567+DC$3,2+DC$2)&lt;&gt;"",INDEX('×入力'!$A$1:$L$1300,566,2+DC$2)&lt;&gt;"",INDEX('×入力'!$A$1:$L$1300,567+DC$3,1)&lt;&gt;""),1,0),0)</f>
        <v/>
      </c>
      <c r="DD30">
        <f>IF(DD$4=1,IF(OR(INDEX('×入力'!$A$1:$L$1300,567+DD$3,2+DD$2)&lt;&gt;"",INDEX('×入力'!$A$1:$L$1300,566,2+DD$2)&lt;&gt;"",INDEX('×入力'!$A$1:$L$1300,567+DD$3,1)&lt;&gt;""),1,0),0)</f>
        <v/>
      </c>
      <c r="DE30">
        <f>IF(DE$4=1,IF(OR(INDEX('×入力'!$A$1:$L$1300,567+DE$3,2+DE$2)&lt;&gt;"",INDEX('×入力'!$A$1:$L$1300,566,2+DE$2)&lt;&gt;"",INDEX('×入力'!$A$1:$L$1300,567+DE$3,1)&lt;&gt;""),1,0),0)</f>
        <v/>
      </c>
      <c r="DF30">
        <f>IF(DF$4=1,IF(OR(INDEX('×入力'!$A$1:$L$1300,567+DF$3,2+DF$2)&lt;&gt;"",INDEX('×入力'!$A$1:$L$1300,566,2+DF$2)&lt;&gt;"",INDEX('×入力'!$A$1:$L$1300,567+DF$3,1)&lt;&gt;""),1,0),0)</f>
        <v/>
      </c>
      <c r="DG30">
        <f>IF(DG$4=1,IF(OR(INDEX('×入力'!$A$1:$L$1300,567+DG$3,2+DG$2)&lt;&gt;"",INDEX('×入力'!$A$1:$L$1300,566,2+DG$2)&lt;&gt;"",INDEX('×入力'!$A$1:$L$1300,567+DG$3,1)&lt;&gt;""),1,0),0)</f>
        <v/>
      </c>
      <c r="DH30">
        <f>IF(DH$4=1,IF(OR(INDEX('×入力'!$A$1:$L$1300,567+DH$3,2+DH$2)&lt;&gt;"",INDEX('×入力'!$A$1:$L$1300,566,2+DH$2)&lt;&gt;"",INDEX('×入力'!$A$1:$L$1300,567+DH$3,1)&lt;&gt;""),1,0),0)</f>
        <v/>
      </c>
      <c r="DI30">
        <f>IF(DI$4=1,IF(OR(INDEX('×入力'!$A$1:$L$1300,567+DI$3,2+DI$2)&lt;&gt;"",INDEX('×入力'!$A$1:$L$1300,566,2+DI$2)&lt;&gt;"",INDEX('×入力'!$A$1:$L$1300,567+DI$3,1)&lt;&gt;""),1,0),0)</f>
        <v/>
      </c>
      <c r="DJ30">
        <f>IF(DJ$4=1,IF(OR(INDEX('×入力'!$A$1:$L$1300,567+DJ$3,2+DJ$2)&lt;&gt;"",INDEX('×入力'!$A$1:$L$1300,566,2+DJ$2)&lt;&gt;"",INDEX('×入力'!$A$1:$L$1300,567+DJ$3,1)&lt;&gt;""),1,0),0)</f>
        <v/>
      </c>
      <c r="DK30">
        <f>IF(DK$4=1,IF(OR(INDEX('×入力'!$A$1:$L$1300,567+DK$3,2+DK$2)&lt;&gt;"",INDEX('×入力'!$A$1:$L$1300,566,2+DK$2)&lt;&gt;"",INDEX('×入力'!$A$1:$L$1300,567+DK$3,1)&lt;&gt;""),1,0),0)</f>
        <v/>
      </c>
      <c r="DL30">
        <f>IF(DL$4=1,IF(OR(INDEX('×入力'!$A$1:$L$1300,567+DL$3,2+DL$2)&lt;&gt;"",INDEX('×入力'!$A$1:$L$1300,566,2+DL$2)&lt;&gt;"",INDEX('×入力'!$A$1:$L$1300,567+DL$3,1)&lt;&gt;""),1,0),0)</f>
        <v/>
      </c>
      <c r="DM30">
        <f>IF(DM$4=1,IF(OR(INDEX('×入力'!$A$1:$L$1300,567+DM$3,2+DM$2)&lt;&gt;"",INDEX('×入力'!$A$1:$L$1300,566,2+DM$2)&lt;&gt;"",INDEX('×入力'!$A$1:$L$1300,567+DM$3,1)&lt;&gt;""),1,0),0)</f>
        <v/>
      </c>
      <c r="DN30">
        <f>IF(DN$4=1,IF(OR(INDEX('×入力'!$A$1:$L$1300,567+DN$3,2+DN$2)&lt;&gt;"",INDEX('×入力'!$A$1:$L$1300,566,2+DN$2)&lt;&gt;"",INDEX('×入力'!$A$1:$L$1300,567+DN$3,1)&lt;&gt;""),1,0),0)</f>
        <v/>
      </c>
      <c r="DO30">
        <f>IF(DO$4=1,IF(OR(INDEX('×入力'!$A$1:$L$1300,567+DO$3,2+DO$2)&lt;&gt;"",INDEX('×入力'!$A$1:$L$1300,566,2+DO$2)&lt;&gt;"",INDEX('×入力'!$A$1:$L$1300,567+DO$3,1)&lt;&gt;""),1,0),0)</f>
        <v/>
      </c>
      <c r="DP30">
        <f>IF(DP$4=1,IF(OR(INDEX('×入力'!$A$1:$L$1300,567+DP$3,2+DP$2)&lt;&gt;"",INDEX('×入力'!$A$1:$L$1300,566,2+DP$2)&lt;&gt;"",INDEX('×入力'!$A$1:$L$1300,567+DP$3,1)&lt;&gt;""),1,0),0)</f>
        <v/>
      </c>
      <c r="DQ30">
        <f>IF(DQ$4=1,IF(OR(INDEX('×入力'!$A$1:$L$1300,567+DQ$3,2+DQ$2)&lt;&gt;"",INDEX('×入力'!$A$1:$L$1300,566,2+DQ$2)&lt;&gt;"",INDEX('×入力'!$A$1:$L$1300,567+DQ$3,1)&lt;&gt;""),1,0),0)</f>
        <v/>
      </c>
      <c r="DR30">
        <f>IF(DR$4=1,IF(OR(INDEX('×入力'!$A$1:$L$1300,567+DR$3,2+DR$2)&lt;&gt;"",INDEX('×入力'!$A$1:$L$1300,566,2+DR$2)&lt;&gt;"",INDEX('×入力'!$A$1:$L$1300,567+DR$3,1)&lt;&gt;""),1,0),0)</f>
        <v/>
      </c>
      <c r="DS30">
        <f>IF(DS$4=1,IF(OR(INDEX('×入力'!$A$1:$L$1300,567+DS$3,2+DS$2)&lt;&gt;"",INDEX('×入力'!$A$1:$L$1300,566,2+DS$2)&lt;&gt;"",INDEX('×入力'!$A$1:$L$1300,567+DS$3,1)&lt;&gt;""),1,0),0)</f>
        <v/>
      </c>
      <c r="DT30">
        <f>IF(DT$4=1,IF(OR(INDEX('×入力'!$A$1:$L$1300,567+DT$3,2+DT$2)&lt;&gt;"",INDEX('×入力'!$A$1:$L$1300,566,2+DT$2)&lt;&gt;"",INDEX('×入力'!$A$1:$L$1300,567+DT$3,1)&lt;&gt;""),1,0),0)</f>
        <v/>
      </c>
      <c r="DU30">
        <f>IF(DU$4=1,IF(OR(INDEX('×入力'!$A$1:$L$1300,567+DU$3,2+DU$2)&lt;&gt;"",INDEX('×入力'!$A$1:$L$1300,566,2+DU$2)&lt;&gt;"",INDEX('×入力'!$A$1:$L$1300,567+DU$3,1)&lt;&gt;""),1,0),0)</f>
        <v/>
      </c>
      <c r="DV30">
        <f>IF(DV$4=1,IF(OR(INDEX('×入力'!$A$1:$L$1300,567+DV$3,2+DV$2)&lt;&gt;"",INDEX('×入力'!$A$1:$L$1300,566,2+DV$2)&lt;&gt;"",INDEX('×入力'!$A$1:$L$1300,567+DV$3,1)&lt;&gt;""),1,0),0)</f>
        <v/>
      </c>
      <c r="DW30">
        <f>IF(DW$4=1,IF(OR(INDEX('×入力'!$A$1:$L$1300,567+DW$3,2+DW$2)&lt;&gt;"",INDEX('×入力'!$A$1:$L$1300,566,2+DW$2)&lt;&gt;"",INDEX('×入力'!$A$1:$L$1300,567+DW$3,1)&lt;&gt;""),1,0),0)</f>
        <v/>
      </c>
      <c r="DX30">
        <f>IF(DX$4=1,IF(OR(INDEX('×入力'!$A$1:$L$1300,567+DX$3,2+DX$2)&lt;&gt;"",INDEX('×入力'!$A$1:$L$1300,566,2+DX$2)&lt;&gt;"",INDEX('×入力'!$A$1:$L$1300,567+DX$3,1)&lt;&gt;""),1,0),0)</f>
        <v/>
      </c>
      <c r="DY30">
        <f>IF(DY$4=1,IF(OR(INDEX('×入力'!$A$1:$L$1300,567+DY$3,2+DY$2)&lt;&gt;"",INDEX('×入力'!$A$1:$L$1300,566,2+DY$2)&lt;&gt;"",INDEX('×入力'!$A$1:$L$1300,567+DY$3,1)&lt;&gt;""),1,0),0)</f>
        <v/>
      </c>
      <c r="DZ30">
        <f>IF(DZ$4=1,IF(OR(INDEX('×入力'!$A$1:$L$1300,567+DZ$3,2+DZ$2)&lt;&gt;"",INDEX('×入力'!$A$1:$L$1300,566,2+DZ$2)&lt;&gt;"",INDEX('×入力'!$A$1:$L$1300,567+DZ$3,1)&lt;&gt;""),1,0),0)</f>
        <v/>
      </c>
      <c r="EA30">
        <f>IF(EA$4=1,IF(OR(INDEX('×入力'!$A$1:$L$1300,567+EA$3,2+EA$2)&lt;&gt;"",INDEX('×入力'!$A$1:$L$1300,566,2+EA$2)&lt;&gt;"",INDEX('×入力'!$A$1:$L$1300,567+EA$3,1)&lt;&gt;""),1,0),0)</f>
        <v/>
      </c>
      <c r="EB30">
        <f>IF(EB$4=1,IF(OR(INDEX('×入力'!$A$1:$L$1300,567+EB$3,2+EB$2)&lt;&gt;"",INDEX('×入力'!$A$1:$L$1300,566,2+EB$2)&lt;&gt;"",INDEX('×入力'!$A$1:$L$1300,567+EB$3,1)&lt;&gt;""),1,0),0)</f>
        <v/>
      </c>
      <c r="EC30">
        <f>IF(EC$4=1,IF(OR(INDEX('×入力'!$A$1:$L$1300,567+EC$3,2+EC$2)&lt;&gt;"",INDEX('×入力'!$A$1:$L$1300,566,2+EC$2)&lt;&gt;"",INDEX('×入力'!$A$1:$L$1300,567+EC$3,1)&lt;&gt;""),1,0),0)</f>
        <v/>
      </c>
      <c r="ED30">
        <f>IF(ED$4=1,IF(OR(INDEX('×入力'!$A$1:$L$1300,567+ED$3,2+ED$2)&lt;&gt;"",INDEX('×入力'!$A$1:$L$1300,566,2+ED$2)&lt;&gt;"",INDEX('×入力'!$A$1:$L$1300,567+ED$3,1)&lt;&gt;""),1,0),0)</f>
        <v/>
      </c>
      <c r="EE30">
        <f>IF(EE$4=1,IF(OR(INDEX('×入力'!$A$1:$L$1300,567+EE$3,2+EE$2)&lt;&gt;"",INDEX('×入力'!$A$1:$L$1300,566,2+EE$2)&lt;&gt;"",INDEX('×入力'!$A$1:$L$1300,567+EE$3,1)&lt;&gt;""),1,0),0)</f>
        <v/>
      </c>
      <c r="EF30">
        <f>IF(EF$4=1,IF(OR(INDEX('×入力'!$A$1:$L$1300,567+EF$3,2+EF$2)&lt;&gt;"",INDEX('×入力'!$A$1:$L$1300,566,2+EF$2)&lt;&gt;"",INDEX('×入力'!$A$1:$L$1300,567+EF$3,1)&lt;&gt;""),1,0),0)</f>
        <v/>
      </c>
      <c r="EG30">
        <f>IF(EG$4=1,IF(OR(INDEX('×入力'!$A$1:$L$1300,567+EG$3,2+EG$2)&lt;&gt;"",INDEX('×入力'!$A$1:$L$1300,566,2+EG$2)&lt;&gt;"",INDEX('×入力'!$A$1:$L$1300,567+EG$3,1)&lt;&gt;""),1,0),0)</f>
        <v/>
      </c>
      <c r="EH30">
        <f>IF(EH$4=1,IF(OR(INDEX('×入力'!$A$1:$L$1300,567+EH$3,2+EH$2)&lt;&gt;"",INDEX('×入力'!$A$1:$L$1300,566,2+EH$2)&lt;&gt;"",INDEX('×入力'!$A$1:$L$1300,567+EH$3,1)&lt;&gt;""),1,0),0)</f>
        <v/>
      </c>
      <c r="EI30">
        <f>IF(EI$4=1,IF(OR(INDEX('×入力'!$A$1:$L$1300,567+EI$3,2+EI$2)&lt;&gt;"",INDEX('×入力'!$A$1:$L$1300,566,2+EI$2)&lt;&gt;"",INDEX('×入力'!$A$1:$L$1300,567+EI$3,1)&lt;&gt;""),1,0),0)</f>
        <v/>
      </c>
      <c r="EJ30">
        <f>IF(EJ$4=1,IF(OR(INDEX('×入力'!$A$1:$L$1300,567+EJ$3,2+EJ$2)&lt;&gt;"",INDEX('×入力'!$A$1:$L$1300,566,2+EJ$2)&lt;&gt;"",INDEX('×入力'!$A$1:$L$1300,567+EJ$3,1)&lt;&gt;""),1,0),0)</f>
        <v/>
      </c>
      <c r="EK30">
        <f>IF(EK$4=1,IF(OR(INDEX('×入力'!$A$1:$L$1300,567+EK$3,2+EK$2)&lt;&gt;"",INDEX('×入力'!$A$1:$L$1300,566,2+EK$2)&lt;&gt;"",INDEX('×入力'!$A$1:$L$1300,567+EK$3,1)&lt;&gt;""),1,0),0)</f>
        <v/>
      </c>
      <c r="EL30">
        <f>IF(EL$4=1,IF(OR(INDEX('×入力'!$A$1:$L$1300,567+EL$3,2+EL$2)&lt;&gt;"",INDEX('×入力'!$A$1:$L$1300,566,2+EL$2)&lt;&gt;"",INDEX('×入力'!$A$1:$L$1300,567+EL$3,1)&lt;&gt;""),1,0),0)</f>
        <v/>
      </c>
      <c r="EM30">
        <f>IF(EM$4=1,IF(OR(INDEX('×入力'!$A$1:$L$1300,567+EM$3,2+EM$2)&lt;&gt;"",INDEX('×入力'!$A$1:$L$1300,566,2+EM$2)&lt;&gt;"",INDEX('×入力'!$A$1:$L$1300,567+EM$3,1)&lt;&gt;""),1,0),0)</f>
        <v/>
      </c>
      <c r="EN30">
        <f>IF(EN$4=1,IF(OR(INDEX('×入力'!$A$1:$L$1300,567+EN$3,2+EN$2)&lt;&gt;"",INDEX('×入力'!$A$1:$L$1300,566,2+EN$2)&lt;&gt;"",INDEX('×入力'!$A$1:$L$1300,567+EN$3,1)&lt;&gt;""),1,0),0)</f>
        <v/>
      </c>
      <c r="EO30">
        <f>IF(EO$4=1,IF(OR(INDEX('×入力'!$A$1:$L$1300,567+EO$3,2+EO$2)&lt;&gt;"",INDEX('×入力'!$A$1:$L$1300,566,2+EO$2)&lt;&gt;"",INDEX('×入力'!$A$1:$L$1300,567+EO$3,1)&lt;&gt;""),1,0),0)</f>
        <v/>
      </c>
      <c r="EP30">
        <f>IF(EP$4=1,IF(OR(INDEX('×入力'!$A$1:$L$1300,567+EP$3,2+EP$2)&lt;&gt;"",INDEX('×入力'!$A$1:$L$1300,566,2+EP$2)&lt;&gt;"",INDEX('×入力'!$A$1:$L$1300,567+EP$3,1)&lt;&gt;""),1,0),0)</f>
        <v/>
      </c>
      <c r="EQ30">
        <f>IF(EQ$4=1,IF(OR(INDEX('×入力'!$A$1:$L$1300,567+EQ$3,2+EQ$2)&lt;&gt;"",INDEX('×入力'!$A$1:$L$1300,566,2+EQ$2)&lt;&gt;"",INDEX('×入力'!$A$1:$L$1300,567+EQ$3,1)&lt;&gt;""),1,0),0)</f>
        <v/>
      </c>
      <c r="HA30">
        <f>MAX(0,IT30)</f>
        <v/>
      </c>
      <c r="HB30">
        <f>IF(HA30=0,0,INDEX($D$2:$EQ$2,HA30))</f>
        <v/>
      </c>
      <c r="HC30">
        <f>IF(HA30=0,0,INDEX($D$3:$EQ$3,HA30))</f>
        <v/>
      </c>
      <c r="HD30">
        <f>MAX(0,IY30)</f>
        <v/>
      </c>
      <c r="HE30">
        <f>IF(HD30=0,0,INDEX($D$2:$EQ$2,HD30))</f>
        <v/>
      </c>
      <c r="HF30">
        <f>IF(HD30=0,0,INDEX($D$3:$EQ$3,HD30))</f>
        <v/>
      </c>
      <c r="HG30">
        <f>MAX(0,IZ30)</f>
        <v/>
      </c>
      <c r="HH30">
        <f>IF(HG30=0,0,INDEX($D$2:$EQ$2,HG30))</f>
        <v/>
      </c>
      <c r="HI30">
        <f>IF(HG30=0,0,INDEX($D$3:$EQ$3,HG30))</f>
        <v/>
      </c>
      <c r="HJ30">
        <f>IF(AND(HA30&gt;0,HC30&gt;1,OR(HC30-1&lt;&gt;$A$3,$A$4=0)),HA30-1,-1)</f>
        <v/>
      </c>
      <c r="HK30">
        <f>IF(AND(HA30&gt;0,HC30&lt;24,OR(HC30&lt;&gt;$A$3,$A$4=0)),HA30+1,-1)</f>
        <v/>
      </c>
      <c r="HL30">
        <f>IF(AND(HD30&gt;0,HF30&gt;1,OR(HF30-1&lt;&gt;$A$3,$A$4=0)),HD30-1,-1)</f>
        <v/>
      </c>
      <c r="HM30">
        <f>IF(AND(HD30&gt;0,HF30&lt;24,OR(HF30&lt;&gt;$A$3,$A$4=0)),HD30+1,-1)</f>
        <v/>
      </c>
      <c r="HN30">
        <f>IF(AND(HG30&gt;0,HI30&gt;1,OR(HI30-1&lt;&gt;$A$3,$A$4=0)),HG30-1,-1)</f>
        <v/>
      </c>
      <c r="HO30">
        <f>IF(AND(HG30&gt;0,HI30&lt;24,OR(HI30&lt;&gt;$A$3,$A$4=0)),HG30+1,-1)</f>
        <v/>
      </c>
      <c r="IK30">
        <f>IFERROR(INDEX('calcB'!$C$3:$C$47,MATCH(A30,'calcB'!$B$3:$B$47,0)),0)</f>
        <v/>
      </c>
      <c r="IL30">
        <f>IF(AND(C30=1,IK30=0,calcA!$A$6&gt;0),1,0)</f>
        <v/>
      </c>
      <c r="IM30">
        <f>SUMPRODUCT(D80:EQ80*(1-$D$7:$EQ$7))</f>
        <v/>
      </c>
      <c r="IN30">
        <f>SUM(D30:EQ30)</f>
        <v/>
      </c>
      <c r="IO30">
        <f>IF(B30="",0,IF(COUNTIF('調整・決定'!$C$6:$H$29,B30)=1,SUMPRODUCT(('調整・決定'!$C$6:$H$29=B30)*((COLUMN('調整・決定'!$C$6:$H$29)-3)*24+ROW('調整・決定'!$C$6:$H$29)-5)),0))</f>
        <v/>
      </c>
      <c r="IP30">
        <f>IFERROR(MATCH('名簿'!C25,{"早い時刻","遅い時刻","早い日","遅い日"},0),0)</f>
        <v/>
      </c>
      <c r="IQ30">
        <f>IF('名簿'!D25="必ず空けたい",2,IF('名簿'!D25="出来れば空けたい",1,0))</f>
        <v/>
      </c>
      <c r="IR30">
        <f>IFERROR(INDEX('calcC'!$C$3:$C$47,MATCH(A30,'calcC'!$B$3:$B$47,0)),0)</f>
        <v/>
      </c>
      <c r="IS30">
        <f>IF(AND(C30=1,IR30=0,calcA!$A$6&gt;0),1,0)</f>
        <v/>
      </c>
      <c r="IT30">
        <f>IF(OR('名簿'!G25="",'名簿'!H25=""),0,IFERROR((MATCH('名簿'!G25,'設定'!$E$11:$E$16,0)-1)*24+MATCH('名簿'!H25,'設定'!$I$11:$I$34,0),-1))</f>
        <v/>
      </c>
      <c r="IV30">
        <f>IF(OR(JF30=0,IO30=0),1,IF(OR(IF(IT30&gt;0,AND(INDEX($D$2:$EQ$2,IO30)=INDEX($D$2:$EQ$2,IT30),OR(AND(IO30=IT30+1,OR(INDEX($D$3:$EQ$3,IT30)&lt;&gt;$A$3,$A$4=0)),AND(IO30=IT30-1,OR(INDEX($D$3:$EQ$3,IO30)&lt;&gt;$A$3,$A$4=0)))),FALSE),IF(IY30&gt;0,AND(INDEX($D$2:$EQ$2,IO30)=INDEX($D$2:$EQ$2,IY30),OR(AND(IO30=IY30+1,OR(INDEX($D$3:$EQ$3,IY30)&lt;&gt;$A$3,$A$4=0)),AND(IO30=IY30-1,OR(INDEX($D$3:$EQ$3,IO30)&lt;&gt;$A$3,$A$4=0)))),FALSE),IF(IZ30&gt;0,AND(INDEX($D$2:$EQ$2,IO30)=INDEX($D$2:$EQ$2,IZ30),OR(AND(IO30=IZ30+1,OR(INDEX($D$3:$EQ$3,IZ30)&lt;&gt;$A$3,$A$4=0)),AND(IO30=IZ30-1,OR(INDEX($D$3:$EQ$3,IO30)&lt;&gt;$A$3,$A$4=0)))),FALSE)),1,0))</f>
        <v/>
      </c>
      <c r="IW30">
        <f>IF(AND('名簿'!E25&lt;&gt;"",JF30=0),1,0)</f>
        <v/>
      </c>
      <c r="IX30">
        <f>IF('名簿'!D25="空けない",1,0)</f>
        <v/>
      </c>
      <c r="IY30">
        <f>IF(OR('名簿'!J25="",'名簿'!K25=""),0,IFERROR((MATCH('名簿'!J25,'設定'!$E$11:$E$16,0)-1)*24+MATCH('名簿'!K25,'設定'!$I$11:$I$34,0),-1))</f>
        <v/>
      </c>
      <c r="IZ30">
        <f>IF(OR('名簿'!M25="",'名簿'!N25=""),0,IFERROR((MATCH('名簿'!M25,'設定'!$E$11:$E$16,0)-1)*24+MATCH('名簿'!N25,'設定'!$I$11:$I$34,0),-1))</f>
        <v/>
      </c>
      <c r="JC30">
        <f>IF(RIGHT('名簿'!I25,2)="の前",1,IF(RIGHT('名簿'!I25,2)="の後",2,0))</f>
        <v/>
      </c>
      <c r="JD30">
        <f>IF(RIGHT('名簿'!L25,2)="の前",1,IF(RIGHT('名簿'!L25,2)="の後",2,0))</f>
        <v/>
      </c>
      <c r="JE30">
        <f>IF(RIGHT('名簿'!O25,2)="の前",1,IF(RIGHT('名簿'!O25,2)="の後",2,0))</f>
        <v/>
      </c>
      <c r="JF30">
        <f>IF(OR(IT30&gt;0,IY30&gt;0,IZ30&gt;0),1,0)</f>
        <v/>
      </c>
      <c r="JG30">
        <f>IF(OR(IT30&lt;0,IY30&lt;0,IZ30&lt;0),1,0)</f>
        <v/>
      </c>
    </row>
    <row r="31">
      <c r="A31" t="n">
        <v>22</v>
      </c>
      <c r="B31">
        <f>'名簿'!P26</f>
        <v/>
      </c>
      <c r="C31">
        <f>IF(AND(B31&lt;&gt;"",OR('名簿'!Q26="入力済み",'名簿'!Q26="×なし"),IO31=0,COUNTIF('調整・決定'!$C$6:$H$29,B31)=0),1,0)</f>
        <v/>
      </c>
      <c r="D31">
        <f>IF(D$4=1,IF(OR(INDEX('×入力'!$A$1:$L$1300,595+D$3,2+D$2)&lt;&gt;"",INDEX('×入力'!$A$1:$L$1300,594,2+D$2)&lt;&gt;"",INDEX('×入力'!$A$1:$L$1300,595+D$3,1)&lt;&gt;""),1,0),0)</f>
        <v/>
      </c>
      <c r="E31">
        <f>IF(E$4=1,IF(OR(INDEX('×入力'!$A$1:$L$1300,595+E$3,2+E$2)&lt;&gt;"",INDEX('×入力'!$A$1:$L$1300,594,2+E$2)&lt;&gt;"",INDEX('×入力'!$A$1:$L$1300,595+E$3,1)&lt;&gt;""),1,0),0)</f>
        <v/>
      </c>
      <c r="F31">
        <f>IF(F$4=1,IF(OR(INDEX('×入力'!$A$1:$L$1300,595+F$3,2+F$2)&lt;&gt;"",INDEX('×入力'!$A$1:$L$1300,594,2+F$2)&lt;&gt;"",INDEX('×入力'!$A$1:$L$1300,595+F$3,1)&lt;&gt;""),1,0),0)</f>
        <v/>
      </c>
      <c r="G31">
        <f>IF(G$4=1,IF(OR(INDEX('×入力'!$A$1:$L$1300,595+G$3,2+G$2)&lt;&gt;"",INDEX('×入力'!$A$1:$L$1300,594,2+G$2)&lt;&gt;"",INDEX('×入力'!$A$1:$L$1300,595+G$3,1)&lt;&gt;""),1,0),0)</f>
        <v/>
      </c>
      <c r="H31">
        <f>IF(H$4=1,IF(OR(INDEX('×入力'!$A$1:$L$1300,595+H$3,2+H$2)&lt;&gt;"",INDEX('×入力'!$A$1:$L$1300,594,2+H$2)&lt;&gt;"",INDEX('×入力'!$A$1:$L$1300,595+H$3,1)&lt;&gt;""),1,0),0)</f>
        <v/>
      </c>
      <c r="I31">
        <f>IF(I$4=1,IF(OR(INDEX('×入力'!$A$1:$L$1300,595+I$3,2+I$2)&lt;&gt;"",INDEX('×入力'!$A$1:$L$1300,594,2+I$2)&lt;&gt;"",INDEX('×入力'!$A$1:$L$1300,595+I$3,1)&lt;&gt;""),1,0),0)</f>
        <v/>
      </c>
      <c r="J31">
        <f>IF(J$4=1,IF(OR(INDEX('×入力'!$A$1:$L$1300,595+J$3,2+J$2)&lt;&gt;"",INDEX('×入力'!$A$1:$L$1300,594,2+J$2)&lt;&gt;"",INDEX('×入力'!$A$1:$L$1300,595+J$3,1)&lt;&gt;""),1,0),0)</f>
        <v/>
      </c>
      <c r="K31">
        <f>IF(K$4=1,IF(OR(INDEX('×入力'!$A$1:$L$1300,595+K$3,2+K$2)&lt;&gt;"",INDEX('×入力'!$A$1:$L$1300,594,2+K$2)&lt;&gt;"",INDEX('×入力'!$A$1:$L$1300,595+K$3,1)&lt;&gt;""),1,0),0)</f>
        <v/>
      </c>
      <c r="L31">
        <f>IF(L$4=1,IF(OR(INDEX('×入力'!$A$1:$L$1300,595+L$3,2+L$2)&lt;&gt;"",INDEX('×入力'!$A$1:$L$1300,594,2+L$2)&lt;&gt;"",INDEX('×入力'!$A$1:$L$1300,595+L$3,1)&lt;&gt;""),1,0),0)</f>
        <v/>
      </c>
      <c r="M31">
        <f>IF(M$4=1,IF(OR(INDEX('×入力'!$A$1:$L$1300,595+M$3,2+M$2)&lt;&gt;"",INDEX('×入力'!$A$1:$L$1300,594,2+M$2)&lt;&gt;"",INDEX('×入力'!$A$1:$L$1300,595+M$3,1)&lt;&gt;""),1,0),0)</f>
        <v/>
      </c>
      <c r="N31">
        <f>IF(N$4=1,IF(OR(INDEX('×入力'!$A$1:$L$1300,595+N$3,2+N$2)&lt;&gt;"",INDEX('×入力'!$A$1:$L$1300,594,2+N$2)&lt;&gt;"",INDEX('×入力'!$A$1:$L$1300,595+N$3,1)&lt;&gt;""),1,0),0)</f>
        <v/>
      </c>
      <c r="O31">
        <f>IF(O$4=1,IF(OR(INDEX('×入力'!$A$1:$L$1300,595+O$3,2+O$2)&lt;&gt;"",INDEX('×入力'!$A$1:$L$1300,594,2+O$2)&lt;&gt;"",INDEX('×入力'!$A$1:$L$1300,595+O$3,1)&lt;&gt;""),1,0),0)</f>
        <v/>
      </c>
      <c r="P31">
        <f>IF(P$4=1,IF(OR(INDEX('×入力'!$A$1:$L$1300,595+P$3,2+P$2)&lt;&gt;"",INDEX('×入力'!$A$1:$L$1300,594,2+P$2)&lt;&gt;"",INDEX('×入力'!$A$1:$L$1300,595+P$3,1)&lt;&gt;""),1,0),0)</f>
        <v/>
      </c>
      <c r="Q31">
        <f>IF(Q$4=1,IF(OR(INDEX('×入力'!$A$1:$L$1300,595+Q$3,2+Q$2)&lt;&gt;"",INDEX('×入力'!$A$1:$L$1300,594,2+Q$2)&lt;&gt;"",INDEX('×入力'!$A$1:$L$1300,595+Q$3,1)&lt;&gt;""),1,0),0)</f>
        <v/>
      </c>
      <c r="R31">
        <f>IF(R$4=1,IF(OR(INDEX('×入力'!$A$1:$L$1300,595+R$3,2+R$2)&lt;&gt;"",INDEX('×入力'!$A$1:$L$1300,594,2+R$2)&lt;&gt;"",INDEX('×入力'!$A$1:$L$1300,595+R$3,1)&lt;&gt;""),1,0),0)</f>
        <v/>
      </c>
      <c r="S31">
        <f>IF(S$4=1,IF(OR(INDEX('×入力'!$A$1:$L$1300,595+S$3,2+S$2)&lt;&gt;"",INDEX('×入力'!$A$1:$L$1300,594,2+S$2)&lt;&gt;"",INDEX('×入力'!$A$1:$L$1300,595+S$3,1)&lt;&gt;""),1,0),0)</f>
        <v/>
      </c>
      <c r="T31">
        <f>IF(T$4=1,IF(OR(INDEX('×入力'!$A$1:$L$1300,595+T$3,2+T$2)&lt;&gt;"",INDEX('×入力'!$A$1:$L$1300,594,2+T$2)&lt;&gt;"",INDEX('×入力'!$A$1:$L$1300,595+T$3,1)&lt;&gt;""),1,0),0)</f>
        <v/>
      </c>
      <c r="U31">
        <f>IF(U$4=1,IF(OR(INDEX('×入力'!$A$1:$L$1300,595+U$3,2+U$2)&lt;&gt;"",INDEX('×入力'!$A$1:$L$1300,594,2+U$2)&lt;&gt;"",INDEX('×入力'!$A$1:$L$1300,595+U$3,1)&lt;&gt;""),1,0),0)</f>
        <v/>
      </c>
      <c r="V31">
        <f>IF(V$4=1,IF(OR(INDEX('×入力'!$A$1:$L$1300,595+V$3,2+V$2)&lt;&gt;"",INDEX('×入力'!$A$1:$L$1300,594,2+V$2)&lt;&gt;"",INDEX('×入力'!$A$1:$L$1300,595+V$3,1)&lt;&gt;""),1,0),0)</f>
        <v/>
      </c>
      <c r="W31">
        <f>IF(W$4=1,IF(OR(INDEX('×入力'!$A$1:$L$1300,595+W$3,2+W$2)&lt;&gt;"",INDEX('×入力'!$A$1:$L$1300,594,2+W$2)&lt;&gt;"",INDEX('×入力'!$A$1:$L$1300,595+W$3,1)&lt;&gt;""),1,0),0)</f>
        <v/>
      </c>
      <c r="X31">
        <f>IF(X$4=1,IF(OR(INDEX('×入力'!$A$1:$L$1300,595+X$3,2+X$2)&lt;&gt;"",INDEX('×入力'!$A$1:$L$1300,594,2+X$2)&lt;&gt;"",INDEX('×入力'!$A$1:$L$1300,595+X$3,1)&lt;&gt;""),1,0),0)</f>
        <v/>
      </c>
      <c r="Y31">
        <f>IF(Y$4=1,IF(OR(INDEX('×入力'!$A$1:$L$1300,595+Y$3,2+Y$2)&lt;&gt;"",INDEX('×入力'!$A$1:$L$1300,594,2+Y$2)&lt;&gt;"",INDEX('×入力'!$A$1:$L$1300,595+Y$3,1)&lt;&gt;""),1,0),0)</f>
        <v/>
      </c>
      <c r="Z31">
        <f>IF(Z$4=1,IF(OR(INDEX('×入力'!$A$1:$L$1300,595+Z$3,2+Z$2)&lt;&gt;"",INDEX('×入力'!$A$1:$L$1300,594,2+Z$2)&lt;&gt;"",INDEX('×入力'!$A$1:$L$1300,595+Z$3,1)&lt;&gt;""),1,0),0)</f>
        <v/>
      </c>
      <c r="AA31">
        <f>IF(AA$4=1,IF(OR(INDEX('×入力'!$A$1:$L$1300,595+AA$3,2+AA$2)&lt;&gt;"",INDEX('×入力'!$A$1:$L$1300,594,2+AA$2)&lt;&gt;"",INDEX('×入力'!$A$1:$L$1300,595+AA$3,1)&lt;&gt;""),1,0),0)</f>
        <v/>
      </c>
      <c r="AB31">
        <f>IF(AB$4=1,IF(OR(INDEX('×入力'!$A$1:$L$1300,595+AB$3,2+AB$2)&lt;&gt;"",INDEX('×入力'!$A$1:$L$1300,594,2+AB$2)&lt;&gt;"",INDEX('×入力'!$A$1:$L$1300,595+AB$3,1)&lt;&gt;""),1,0),0)</f>
        <v/>
      </c>
      <c r="AC31">
        <f>IF(AC$4=1,IF(OR(INDEX('×入力'!$A$1:$L$1300,595+AC$3,2+AC$2)&lt;&gt;"",INDEX('×入力'!$A$1:$L$1300,594,2+AC$2)&lt;&gt;"",INDEX('×入力'!$A$1:$L$1300,595+AC$3,1)&lt;&gt;""),1,0),0)</f>
        <v/>
      </c>
      <c r="AD31">
        <f>IF(AD$4=1,IF(OR(INDEX('×入力'!$A$1:$L$1300,595+AD$3,2+AD$2)&lt;&gt;"",INDEX('×入力'!$A$1:$L$1300,594,2+AD$2)&lt;&gt;"",INDEX('×入力'!$A$1:$L$1300,595+AD$3,1)&lt;&gt;""),1,0),0)</f>
        <v/>
      </c>
      <c r="AE31">
        <f>IF(AE$4=1,IF(OR(INDEX('×入力'!$A$1:$L$1300,595+AE$3,2+AE$2)&lt;&gt;"",INDEX('×入力'!$A$1:$L$1300,594,2+AE$2)&lt;&gt;"",INDEX('×入力'!$A$1:$L$1300,595+AE$3,1)&lt;&gt;""),1,0),0)</f>
        <v/>
      </c>
      <c r="AF31">
        <f>IF(AF$4=1,IF(OR(INDEX('×入力'!$A$1:$L$1300,595+AF$3,2+AF$2)&lt;&gt;"",INDEX('×入力'!$A$1:$L$1300,594,2+AF$2)&lt;&gt;"",INDEX('×入力'!$A$1:$L$1300,595+AF$3,1)&lt;&gt;""),1,0),0)</f>
        <v/>
      </c>
      <c r="AG31">
        <f>IF(AG$4=1,IF(OR(INDEX('×入力'!$A$1:$L$1300,595+AG$3,2+AG$2)&lt;&gt;"",INDEX('×入力'!$A$1:$L$1300,594,2+AG$2)&lt;&gt;"",INDEX('×入力'!$A$1:$L$1300,595+AG$3,1)&lt;&gt;""),1,0),0)</f>
        <v/>
      </c>
      <c r="AH31">
        <f>IF(AH$4=1,IF(OR(INDEX('×入力'!$A$1:$L$1300,595+AH$3,2+AH$2)&lt;&gt;"",INDEX('×入力'!$A$1:$L$1300,594,2+AH$2)&lt;&gt;"",INDEX('×入力'!$A$1:$L$1300,595+AH$3,1)&lt;&gt;""),1,0),0)</f>
        <v/>
      </c>
      <c r="AI31">
        <f>IF(AI$4=1,IF(OR(INDEX('×入力'!$A$1:$L$1300,595+AI$3,2+AI$2)&lt;&gt;"",INDEX('×入力'!$A$1:$L$1300,594,2+AI$2)&lt;&gt;"",INDEX('×入力'!$A$1:$L$1300,595+AI$3,1)&lt;&gt;""),1,0),0)</f>
        <v/>
      </c>
      <c r="AJ31">
        <f>IF(AJ$4=1,IF(OR(INDEX('×入力'!$A$1:$L$1300,595+AJ$3,2+AJ$2)&lt;&gt;"",INDEX('×入力'!$A$1:$L$1300,594,2+AJ$2)&lt;&gt;"",INDEX('×入力'!$A$1:$L$1300,595+AJ$3,1)&lt;&gt;""),1,0),0)</f>
        <v/>
      </c>
      <c r="AK31">
        <f>IF(AK$4=1,IF(OR(INDEX('×入力'!$A$1:$L$1300,595+AK$3,2+AK$2)&lt;&gt;"",INDEX('×入力'!$A$1:$L$1300,594,2+AK$2)&lt;&gt;"",INDEX('×入力'!$A$1:$L$1300,595+AK$3,1)&lt;&gt;""),1,0),0)</f>
        <v/>
      </c>
      <c r="AL31">
        <f>IF(AL$4=1,IF(OR(INDEX('×入力'!$A$1:$L$1300,595+AL$3,2+AL$2)&lt;&gt;"",INDEX('×入力'!$A$1:$L$1300,594,2+AL$2)&lt;&gt;"",INDEX('×入力'!$A$1:$L$1300,595+AL$3,1)&lt;&gt;""),1,0),0)</f>
        <v/>
      </c>
      <c r="AM31">
        <f>IF(AM$4=1,IF(OR(INDEX('×入力'!$A$1:$L$1300,595+AM$3,2+AM$2)&lt;&gt;"",INDEX('×入力'!$A$1:$L$1300,594,2+AM$2)&lt;&gt;"",INDEX('×入力'!$A$1:$L$1300,595+AM$3,1)&lt;&gt;""),1,0),0)</f>
        <v/>
      </c>
      <c r="AN31">
        <f>IF(AN$4=1,IF(OR(INDEX('×入力'!$A$1:$L$1300,595+AN$3,2+AN$2)&lt;&gt;"",INDEX('×入力'!$A$1:$L$1300,594,2+AN$2)&lt;&gt;"",INDEX('×入力'!$A$1:$L$1300,595+AN$3,1)&lt;&gt;""),1,0),0)</f>
        <v/>
      </c>
      <c r="AO31">
        <f>IF(AO$4=1,IF(OR(INDEX('×入力'!$A$1:$L$1300,595+AO$3,2+AO$2)&lt;&gt;"",INDEX('×入力'!$A$1:$L$1300,594,2+AO$2)&lt;&gt;"",INDEX('×入力'!$A$1:$L$1300,595+AO$3,1)&lt;&gt;""),1,0),0)</f>
        <v/>
      </c>
      <c r="AP31">
        <f>IF(AP$4=1,IF(OR(INDEX('×入力'!$A$1:$L$1300,595+AP$3,2+AP$2)&lt;&gt;"",INDEX('×入力'!$A$1:$L$1300,594,2+AP$2)&lt;&gt;"",INDEX('×入力'!$A$1:$L$1300,595+AP$3,1)&lt;&gt;""),1,0),0)</f>
        <v/>
      </c>
      <c r="AQ31">
        <f>IF(AQ$4=1,IF(OR(INDEX('×入力'!$A$1:$L$1300,595+AQ$3,2+AQ$2)&lt;&gt;"",INDEX('×入力'!$A$1:$L$1300,594,2+AQ$2)&lt;&gt;"",INDEX('×入力'!$A$1:$L$1300,595+AQ$3,1)&lt;&gt;""),1,0),0)</f>
        <v/>
      </c>
      <c r="AR31">
        <f>IF(AR$4=1,IF(OR(INDEX('×入力'!$A$1:$L$1300,595+AR$3,2+AR$2)&lt;&gt;"",INDEX('×入力'!$A$1:$L$1300,594,2+AR$2)&lt;&gt;"",INDEX('×入力'!$A$1:$L$1300,595+AR$3,1)&lt;&gt;""),1,0),0)</f>
        <v/>
      </c>
      <c r="AS31">
        <f>IF(AS$4=1,IF(OR(INDEX('×入力'!$A$1:$L$1300,595+AS$3,2+AS$2)&lt;&gt;"",INDEX('×入力'!$A$1:$L$1300,594,2+AS$2)&lt;&gt;"",INDEX('×入力'!$A$1:$L$1300,595+AS$3,1)&lt;&gt;""),1,0),0)</f>
        <v/>
      </c>
      <c r="AT31">
        <f>IF(AT$4=1,IF(OR(INDEX('×入力'!$A$1:$L$1300,595+AT$3,2+AT$2)&lt;&gt;"",INDEX('×入力'!$A$1:$L$1300,594,2+AT$2)&lt;&gt;"",INDEX('×入力'!$A$1:$L$1300,595+AT$3,1)&lt;&gt;""),1,0),0)</f>
        <v/>
      </c>
      <c r="AU31">
        <f>IF(AU$4=1,IF(OR(INDEX('×入力'!$A$1:$L$1300,595+AU$3,2+AU$2)&lt;&gt;"",INDEX('×入力'!$A$1:$L$1300,594,2+AU$2)&lt;&gt;"",INDEX('×入力'!$A$1:$L$1300,595+AU$3,1)&lt;&gt;""),1,0),0)</f>
        <v/>
      </c>
      <c r="AV31">
        <f>IF(AV$4=1,IF(OR(INDEX('×入力'!$A$1:$L$1300,595+AV$3,2+AV$2)&lt;&gt;"",INDEX('×入力'!$A$1:$L$1300,594,2+AV$2)&lt;&gt;"",INDEX('×入力'!$A$1:$L$1300,595+AV$3,1)&lt;&gt;""),1,0),0)</f>
        <v/>
      </c>
      <c r="AW31">
        <f>IF(AW$4=1,IF(OR(INDEX('×入力'!$A$1:$L$1300,595+AW$3,2+AW$2)&lt;&gt;"",INDEX('×入力'!$A$1:$L$1300,594,2+AW$2)&lt;&gt;"",INDEX('×入力'!$A$1:$L$1300,595+AW$3,1)&lt;&gt;""),1,0),0)</f>
        <v/>
      </c>
      <c r="AX31">
        <f>IF(AX$4=1,IF(OR(INDEX('×入力'!$A$1:$L$1300,595+AX$3,2+AX$2)&lt;&gt;"",INDEX('×入力'!$A$1:$L$1300,594,2+AX$2)&lt;&gt;"",INDEX('×入力'!$A$1:$L$1300,595+AX$3,1)&lt;&gt;""),1,0),0)</f>
        <v/>
      </c>
      <c r="AY31">
        <f>IF(AY$4=1,IF(OR(INDEX('×入力'!$A$1:$L$1300,595+AY$3,2+AY$2)&lt;&gt;"",INDEX('×入力'!$A$1:$L$1300,594,2+AY$2)&lt;&gt;"",INDEX('×入力'!$A$1:$L$1300,595+AY$3,1)&lt;&gt;""),1,0),0)</f>
        <v/>
      </c>
      <c r="AZ31">
        <f>IF(AZ$4=1,IF(OR(INDEX('×入力'!$A$1:$L$1300,595+AZ$3,2+AZ$2)&lt;&gt;"",INDEX('×入力'!$A$1:$L$1300,594,2+AZ$2)&lt;&gt;"",INDEX('×入力'!$A$1:$L$1300,595+AZ$3,1)&lt;&gt;""),1,0),0)</f>
        <v/>
      </c>
      <c r="BA31">
        <f>IF(BA$4=1,IF(OR(INDEX('×入力'!$A$1:$L$1300,595+BA$3,2+BA$2)&lt;&gt;"",INDEX('×入力'!$A$1:$L$1300,594,2+BA$2)&lt;&gt;"",INDEX('×入力'!$A$1:$L$1300,595+BA$3,1)&lt;&gt;""),1,0),0)</f>
        <v/>
      </c>
      <c r="BB31">
        <f>IF(BB$4=1,IF(OR(INDEX('×入力'!$A$1:$L$1300,595+BB$3,2+BB$2)&lt;&gt;"",INDEX('×入力'!$A$1:$L$1300,594,2+BB$2)&lt;&gt;"",INDEX('×入力'!$A$1:$L$1300,595+BB$3,1)&lt;&gt;""),1,0),0)</f>
        <v/>
      </c>
      <c r="BC31">
        <f>IF(BC$4=1,IF(OR(INDEX('×入力'!$A$1:$L$1300,595+BC$3,2+BC$2)&lt;&gt;"",INDEX('×入力'!$A$1:$L$1300,594,2+BC$2)&lt;&gt;"",INDEX('×入力'!$A$1:$L$1300,595+BC$3,1)&lt;&gt;""),1,0),0)</f>
        <v/>
      </c>
      <c r="BD31">
        <f>IF(BD$4=1,IF(OR(INDEX('×入力'!$A$1:$L$1300,595+BD$3,2+BD$2)&lt;&gt;"",INDEX('×入力'!$A$1:$L$1300,594,2+BD$2)&lt;&gt;"",INDEX('×入力'!$A$1:$L$1300,595+BD$3,1)&lt;&gt;""),1,0),0)</f>
        <v/>
      </c>
      <c r="BE31">
        <f>IF(BE$4=1,IF(OR(INDEX('×入力'!$A$1:$L$1300,595+BE$3,2+BE$2)&lt;&gt;"",INDEX('×入力'!$A$1:$L$1300,594,2+BE$2)&lt;&gt;"",INDEX('×入力'!$A$1:$L$1300,595+BE$3,1)&lt;&gt;""),1,0),0)</f>
        <v/>
      </c>
      <c r="BF31">
        <f>IF(BF$4=1,IF(OR(INDEX('×入力'!$A$1:$L$1300,595+BF$3,2+BF$2)&lt;&gt;"",INDEX('×入力'!$A$1:$L$1300,594,2+BF$2)&lt;&gt;"",INDEX('×入力'!$A$1:$L$1300,595+BF$3,1)&lt;&gt;""),1,0),0)</f>
        <v/>
      </c>
      <c r="BG31">
        <f>IF(BG$4=1,IF(OR(INDEX('×入力'!$A$1:$L$1300,595+BG$3,2+BG$2)&lt;&gt;"",INDEX('×入力'!$A$1:$L$1300,594,2+BG$2)&lt;&gt;"",INDEX('×入力'!$A$1:$L$1300,595+BG$3,1)&lt;&gt;""),1,0),0)</f>
        <v/>
      </c>
      <c r="BH31">
        <f>IF(BH$4=1,IF(OR(INDEX('×入力'!$A$1:$L$1300,595+BH$3,2+BH$2)&lt;&gt;"",INDEX('×入力'!$A$1:$L$1300,594,2+BH$2)&lt;&gt;"",INDEX('×入力'!$A$1:$L$1300,595+BH$3,1)&lt;&gt;""),1,0),0)</f>
        <v/>
      </c>
      <c r="BI31">
        <f>IF(BI$4=1,IF(OR(INDEX('×入力'!$A$1:$L$1300,595+BI$3,2+BI$2)&lt;&gt;"",INDEX('×入力'!$A$1:$L$1300,594,2+BI$2)&lt;&gt;"",INDEX('×入力'!$A$1:$L$1300,595+BI$3,1)&lt;&gt;""),1,0),0)</f>
        <v/>
      </c>
      <c r="BJ31">
        <f>IF(BJ$4=1,IF(OR(INDEX('×入力'!$A$1:$L$1300,595+BJ$3,2+BJ$2)&lt;&gt;"",INDEX('×入力'!$A$1:$L$1300,594,2+BJ$2)&lt;&gt;"",INDEX('×入力'!$A$1:$L$1300,595+BJ$3,1)&lt;&gt;""),1,0),0)</f>
        <v/>
      </c>
      <c r="BK31">
        <f>IF(BK$4=1,IF(OR(INDEX('×入力'!$A$1:$L$1300,595+BK$3,2+BK$2)&lt;&gt;"",INDEX('×入力'!$A$1:$L$1300,594,2+BK$2)&lt;&gt;"",INDEX('×入力'!$A$1:$L$1300,595+BK$3,1)&lt;&gt;""),1,0),0)</f>
        <v/>
      </c>
      <c r="BL31">
        <f>IF(BL$4=1,IF(OR(INDEX('×入力'!$A$1:$L$1300,595+BL$3,2+BL$2)&lt;&gt;"",INDEX('×入力'!$A$1:$L$1300,594,2+BL$2)&lt;&gt;"",INDEX('×入力'!$A$1:$L$1300,595+BL$3,1)&lt;&gt;""),1,0),0)</f>
        <v/>
      </c>
      <c r="BM31">
        <f>IF(BM$4=1,IF(OR(INDEX('×入力'!$A$1:$L$1300,595+BM$3,2+BM$2)&lt;&gt;"",INDEX('×入力'!$A$1:$L$1300,594,2+BM$2)&lt;&gt;"",INDEX('×入力'!$A$1:$L$1300,595+BM$3,1)&lt;&gt;""),1,0),0)</f>
        <v/>
      </c>
      <c r="BN31">
        <f>IF(BN$4=1,IF(OR(INDEX('×入力'!$A$1:$L$1300,595+BN$3,2+BN$2)&lt;&gt;"",INDEX('×入力'!$A$1:$L$1300,594,2+BN$2)&lt;&gt;"",INDEX('×入力'!$A$1:$L$1300,595+BN$3,1)&lt;&gt;""),1,0),0)</f>
        <v/>
      </c>
      <c r="BO31">
        <f>IF(BO$4=1,IF(OR(INDEX('×入力'!$A$1:$L$1300,595+BO$3,2+BO$2)&lt;&gt;"",INDEX('×入力'!$A$1:$L$1300,594,2+BO$2)&lt;&gt;"",INDEX('×入力'!$A$1:$L$1300,595+BO$3,1)&lt;&gt;""),1,0),0)</f>
        <v/>
      </c>
      <c r="BP31">
        <f>IF(BP$4=1,IF(OR(INDEX('×入力'!$A$1:$L$1300,595+BP$3,2+BP$2)&lt;&gt;"",INDEX('×入力'!$A$1:$L$1300,594,2+BP$2)&lt;&gt;"",INDEX('×入力'!$A$1:$L$1300,595+BP$3,1)&lt;&gt;""),1,0),0)</f>
        <v/>
      </c>
      <c r="BQ31">
        <f>IF(BQ$4=1,IF(OR(INDEX('×入力'!$A$1:$L$1300,595+BQ$3,2+BQ$2)&lt;&gt;"",INDEX('×入力'!$A$1:$L$1300,594,2+BQ$2)&lt;&gt;"",INDEX('×入力'!$A$1:$L$1300,595+BQ$3,1)&lt;&gt;""),1,0),0)</f>
        <v/>
      </c>
      <c r="BR31">
        <f>IF(BR$4=1,IF(OR(INDEX('×入力'!$A$1:$L$1300,595+BR$3,2+BR$2)&lt;&gt;"",INDEX('×入力'!$A$1:$L$1300,594,2+BR$2)&lt;&gt;"",INDEX('×入力'!$A$1:$L$1300,595+BR$3,1)&lt;&gt;""),1,0),0)</f>
        <v/>
      </c>
      <c r="BS31">
        <f>IF(BS$4=1,IF(OR(INDEX('×入力'!$A$1:$L$1300,595+BS$3,2+BS$2)&lt;&gt;"",INDEX('×入力'!$A$1:$L$1300,594,2+BS$2)&lt;&gt;"",INDEX('×入力'!$A$1:$L$1300,595+BS$3,1)&lt;&gt;""),1,0),0)</f>
        <v/>
      </c>
      <c r="BT31">
        <f>IF(BT$4=1,IF(OR(INDEX('×入力'!$A$1:$L$1300,595+BT$3,2+BT$2)&lt;&gt;"",INDEX('×入力'!$A$1:$L$1300,594,2+BT$2)&lt;&gt;"",INDEX('×入力'!$A$1:$L$1300,595+BT$3,1)&lt;&gt;""),1,0),0)</f>
        <v/>
      </c>
      <c r="BU31">
        <f>IF(BU$4=1,IF(OR(INDEX('×入力'!$A$1:$L$1300,595+BU$3,2+BU$2)&lt;&gt;"",INDEX('×入力'!$A$1:$L$1300,594,2+BU$2)&lt;&gt;"",INDEX('×入力'!$A$1:$L$1300,595+BU$3,1)&lt;&gt;""),1,0),0)</f>
        <v/>
      </c>
      <c r="BV31">
        <f>IF(BV$4=1,IF(OR(INDEX('×入力'!$A$1:$L$1300,595+BV$3,2+BV$2)&lt;&gt;"",INDEX('×入力'!$A$1:$L$1300,594,2+BV$2)&lt;&gt;"",INDEX('×入力'!$A$1:$L$1300,595+BV$3,1)&lt;&gt;""),1,0),0)</f>
        <v/>
      </c>
      <c r="BW31">
        <f>IF(BW$4=1,IF(OR(INDEX('×入力'!$A$1:$L$1300,595+BW$3,2+BW$2)&lt;&gt;"",INDEX('×入力'!$A$1:$L$1300,594,2+BW$2)&lt;&gt;"",INDEX('×入力'!$A$1:$L$1300,595+BW$3,1)&lt;&gt;""),1,0),0)</f>
        <v/>
      </c>
      <c r="BX31">
        <f>IF(BX$4=1,IF(OR(INDEX('×入力'!$A$1:$L$1300,595+BX$3,2+BX$2)&lt;&gt;"",INDEX('×入力'!$A$1:$L$1300,594,2+BX$2)&lt;&gt;"",INDEX('×入力'!$A$1:$L$1300,595+BX$3,1)&lt;&gt;""),1,0),0)</f>
        <v/>
      </c>
      <c r="BY31">
        <f>IF(BY$4=1,IF(OR(INDEX('×入力'!$A$1:$L$1300,595+BY$3,2+BY$2)&lt;&gt;"",INDEX('×入力'!$A$1:$L$1300,594,2+BY$2)&lt;&gt;"",INDEX('×入力'!$A$1:$L$1300,595+BY$3,1)&lt;&gt;""),1,0),0)</f>
        <v/>
      </c>
      <c r="BZ31">
        <f>IF(BZ$4=1,IF(OR(INDEX('×入力'!$A$1:$L$1300,595+BZ$3,2+BZ$2)&lt;&gt;"",INDEX('×入力'!$A$1:$L$1300,594,2+BZ$2)&lt;&gt;"",INDEX('×入力'!$A$1:$L$1300,595+BZ$3,1)&lt;&gt;""),1,0),0)</f>
        <v/>
      </c>
      <c r="CA31">
        <f>IF(CA$4=1,IF(OR(INDEX('×入力'!$A$1:$L$1300,595+CA$3,2+CA$2)&lt;&gt;"",INDEX('×入力'!$A$1:$L$1300,594,2+CA$2)&lt;&gt;"",INDEX('×入力'!$A$1:$L$1300,595+CA$3,1)&lt;&gt;""),1,0),0)</f>
        <v/>
      </c>
      <c r="CB31">
        <f>IF(CB$4=1,IF(OR(INDEX('×入力'!$A$1:$L$1300,595+CB$3,2+CB$2)&lt;&gt;"",INDEX('×入力'!$A$1:$L$1300,594,2+CB$2)&lt;&gt;"",INDEX('×入力'!$A$1:$L$1300,595+CB$3,1)&lt;&gt;""),1,0),0)</f>
        <v/>
      </c>
      <c r="CC31">
        <f>IF(CC$4=1,IF(OR(INDEX('×入力'!$A$1:$L$1300,595+CC$3,2+CC$2)&lt;&gt;"",INDEX('×入力'!$A$1:$L$1300,594,2+CC$2)&lt;&gt;"",INDEX('×入力'!$A$1:$L$1300,595+CC$3,1)&lt;&gt;""),1,0),0)</f>
        <v/>
      </c>
      <c r="CD31">
        <f>IF(CD$4=1,IF(OR(INDEX('×入力'!$A$1:$L$1300,595+CD$3,2+CD$2)&lt;&gt;"",INDEX('×入力'!$A$1:$L$1300,594,2+CD$2)&lt;&gt;"",INDEX('×入力'!$A$1:$L$1300,595+CD$3,1)&lt;&gt;""),1,0),0)</f>
        <v/>
      </c>
      <c r="CE31">
        <f>IF(CE$4=1,IF(OR(INDEX('×入力'!$A$1:$L$1300,595+CE$3,2+CE$2)&lt;&gt;"",INDEX('×入力'!$A$1:$L$1300,594,2+CE$2)&lt;&gt;"",INDEX('×入力'!$A$1:$L$1300,595+CE$3,1)&lt;&gt;""),1,0),0)</f>
        <v/>
      </c>
      <c r="CF31">
        <f>IF(CF$4=1,IF(OR(INDEX('×入力'!$A$1:$L$1300,595+CF$3,2+CF$2)&lt;&gt;"",INDEX('×入力'!$A$1:$L$1300,594,2+CF$2)&lt;&gt;"",INDEX('×入力'!$A$1:$L$1300,595+CF$3,1)&lt;&gt;""),1,0),0)</f>
        <v/>
      </c>
      <c r="CG31">
        <f>IF(CG$4=1,IF(OR(INDEX('×入力'!$A$1:$L$1300,595+CG$3,2+CG$2)&lt;&gt;"",INDEX('×入力'!$A$1:$L$1300,594,2+CG$2)&lt;&gt;"",INDEX('×入力'!$A$1:$L$1300,595+CG$3,1)&lt;&gt;""),1,0),0)</f>
        <v/>
      </c>
      <c r="CH31">
        <f>IF(CH$4=1,IF(OR(INDEX('×入力'!$A$1:$L$1300,595+CH$3,2+CH$2)&lt;&gt;"",INDEX('×入力'!$A$1:$L$1300,594,2+CH$2)&lt;&gt;"",INDEX('×入力'!$A$1:$L$1300,595+CH$3,1)&lt;&gt;""),1,0),0)</f>
        <v/>
      </c>
      <c r="CI31">
        <f>IF(CI$4=1,IF(OR(INDEX('×入力'!$A$1:$L$1300,595+CI$3,2+CI$2)&lt;&gt;"",INDEX('×入力'!$A$1:$L$1300,594,2+CI$2)&lt;&gt;"",INDEX('×入力'!$A$1:$L$1300,595+CI$3,1)&lt;&gt;""),1,0),0)</f>
        <v/>
      </c>
      <c r="CJ31">
        <f>IF(CJ$4=1,IF(OR(INDEX('×入力'!$A$1:$L$1300,595+CJ$3,2+CJ$2)&lt;&gt;"",INDEX('×入力'!$A$1:$L$1300,594,2+CJ$2)&lt;&gt;"",INDEX('×入力'!$A$1:$L$1300,595+CJ$3,1)&lt;&gt;""),1,0),0)</f>
        <v/>
      </c>
      <c r="CK31">
        <f>IF(CK$4=1,IF(OR(INDEX('×入力'!$A$1:$L$1300,595+CK$3,2+CK$2)&lt;&gt;"",INDEX('×入力'!$A$1:$L$1300,594,2+CK$2)&lt;&gt;"",INDEX('×入力'!$A$1:$L$1300,595+CK$3,1)&lt;&gt;""),1,0),0)</f>
        <v/>
      </c>
      <c r="CL31">
        <f>IF(CL$4=1,IF(OR(INDEX('×入力'!$A$1:$L$1300,595+CL$3,2+CL$2)&lt;&gt;"",INDEX('×入力'!$A$1:$L$1300,594,2+CL$2)&lt;&gt;"",INDEX('×入力'!$A$1:$L$1300,595+CL$3,1)&lt;&gt;""),1,0),0)</f>
        <v/>
      </c>
      <c r="CM31">
        <f>IF(CM$4=1,IF(OR(INDEX('×入力'!$A$1:$L$1300,595+CM$3,2+CM$2)&lt;&gt;"",INDEX('×入力'!$A$1:$L$1300,594,2+CM$2)&lt;&gt;"",INDEX('×入力'!$A$1:$L$1300,595+CM$3,1)&lt;&gt;""),1,0),0)</f>
        <v/>
      </c>
      <c r="CN31">
        <f>IF(CN$4=1,IF(OR(INDEX('×入力'!$A$1:$L$1300,595+CN$3,2+CN$2)&lt;&gt;"",INDEX('×入力'!$A$1:$L$1300,594,2+CN$2)&lt;&gt;"",INDEX('×入力'!$A$1:$L$1300,595+CN$3,1)&lt;&gt;""),1,0),0)</f>
        <v/>
      </c>
      <c r="CO31">
        <f>IF(CO$4=1,IF(OR(INDEX('×入力'!$A$1:$L$1300,595+CO$3,2+CO$2)&lt;&gt;"",INDEX('×入力'!$A$1:$L$1300,594,2+CO$2)&lt;&gt;"",INDEX('×入力'!$A$1:$L$1300,595+CO$3,1)&lt;&gt;""),1,0),0)</f>
        <v/>
      </c>
      <c r="CP31">
        <f>IF(CP$4=1,IF(OR(INDEX('×入力'!$A$1:$L$1300,595+CP$3,2+CP$2)&lt;&gt;"",INDEX('×入力'!$A$1:$L$1300,594,2+CP$2)&lt;&gt;"",INDEX('×入力'!$A$1:$L$1300,595+CP$3,1)&lt;&gt;""),1,0),0)</f>
        <v/>
      </c>
      <c r="CQ31">
        <f>IF(CQ$4=1,IF(OR(INDEX('×入力'!$A$1:$L$1300,595+CQ$3,2+CQ$2)&lt;&gt;"",INDEX('×入力'!$A$1:$L$1300,594,2+CQ$2)&lt;&gt;"",INDEX('×入力'!$A$1:$L$1300,595+CQ$3,1)&lt;&gt;""),1,0),0)</f>
        <v/>
      </c>
      <c r="CR31">
        <f>IF(CR$4=1,IF(OR(INDEX('×入力'!$A$1:$L$1300,595+CR$3,2+CR$2)&lt;&gt;"",INDEX('×入力'!$A$1:$L$1300,594,2+CR$2)&lt;&gt;"",INDEX('×入力'!$A$1:$L$1300,595+CR$3,1)&lt;&gt;""),1,0),0)</f>
        <v/>
      </c>
      <c r="CS31">
        <f>IF(CS$4=1,IF(OR(INDEX('×入力'!$A$1:$L$1300,595+CS$3,2+CS$2)&lt;&gt;"",INDEX('×入力'!$A$1:$L$1300,594,2+CS$2)&lt;&gt;"",INDEX('×入力'!$A$1:$L$1300,595+CS$3,1)&lt;&gt;""),1,0),0)</f>
        <v/>
      </c>
      <c r="CT31">
        <f>IF(CT$4=1,IF(OR(INDEX('×入力'!$A$1:$L$1300,595+CT$3,2+CT$2)&lt;&gt;"",INDEX('×入力'!$A$1:$L$1300,594,2+CT$2)&lt;&gt;"",INDEX('×入力'!$A$1:$L$1300,595+CT$3,1)&lt;&gt;""),1,0),0)</f>
        <v/>
      </c>
      <c r="CU31">
        <f>IF(CU$4=1,IF(OR(INDEX('×入力'!$A$1:$L$1300,595+CU$3,2+CU$2)&lt;&gt;"",INDEX('×入力'!$A$1:$L$1300,594,2+CU$2)&lt;&gt;"",INDEX('×入力'!$A$1:$L$1300,595+CU$3,1)&lt;&gt;""),1,0),0)</f>
        <v/>
      </c>
      <c r="CV31">
        <f>IF(CV$4=1,IF(OR(INDEX('×入力'!$A$1:$L$1300,595+CV$3,2+CV$2)&lt;&gt;"",INDEX('×入力'!$A$1:$L$1300,594,2+CV$2)&lt;&gt;"",INDEX('×入力'!$A$1:$L$1300,595+CV$3,1)&lt;&gt;""),1,0),0)</f>
        <v/>
      </c>
      <c r="CW31">
        <f>IF(CW$4=1,IF(OR(INDEX('×入力'!$A$1:$L$1300,595+CW$3,2+CW$2)&lt;&gt;"",INDEX('×入力'!$A$1:$L$1300,594,2+CW$2)&lt;&gt;"",INDEX('×入力'!$A$1:$L$1300,595+CW$3,1)&lt;&gt;""),1,0),0)</f>
        <v/>
      </c>
      <c r="CX31">
        <f>IF(CX$4=1,IF(OR(INDEX('×入力'!$A$1:$L$1300,595+CX$3,2+CX$2)&lt;&gt;"",INDEX('×入力'!$A$1:$L$1300,594,2+CX$2)&lt;&gt;"",INDEX('×入力'!$A$1:$L$1300,595+CX$3,1)&lt;&gt;""),1,0),0)</f>
        <v/>
      </c>
      <c r="CY31">
        <f>IF(CY$4=1,IF(OR(INDEX('×入力'!$A$1:$L$1300,595+CY$3,2+CY$2)&lt;&gt;"",INDEX('×入力'!$A$1:$L$1300,594,2+CY$2)&lt;&gt;"",INDEX('×入力'!$A$1:$L$1300,595+CY$3,1)&lt;&gt;""),1,0),0)</f>
        <v/>
      </c>
      <c r="CZ31">
        <f>IF(CZ$4=1,IF(OR(INDEX('×入力'!$A$1:$L$1300,595+CZ$3,2+CZ$2)&lt;&gt;"",INDEX('×入力'!$A$1:$L$1300,594,2+CZ$2)&lt;&gt;"",INDEX('×入力'!$A$1:$L$1300,595+CZ$3,1)&lt;&gt;""),1,0),0)</f>
        <v/>
      </c>
      <c r="DA31">
        <f>IF(DA$4=1,IF(OR(INDEX('×入力'!$A$1:$L$1300,595+DA$3,2+DA$2)&lt;&gt;"",INDEX('×入力'!$A$1:$L$1300,594,2+DA$2)&lt;&gt;"",INDEX('×入力'!$A$1:$L$1300,595+DA$3,1)&lt;&gt;""),1,0),0)</f>
        <v/>
      </c>
      <c r="DB31">
        <f>IF(DB$4=1,IF(OR(INDEX('×入力'!$A$1:$L$1300,595+DB$3,2+DB$2)&lt;&gt;"",INDEX('×入力'!$A$1:$L$1300,594,2+DB$2)&lt;&gt;"",INDEX('×入力'!$A$1:$L$1300,595+DB$3,1)&lt;&gt;""),1,0),0)</f>
        <v/>
      </c>
      <c r="DC31">
        <f>IF(DC$4=1,IF(OR(INDEX('×入力'!$A$1:$L$1300,595+DC$3,2+DC$2)&lt;&gt;"",INDEX('×入力'!$A$1:$L$1300,594,2+DC$2)&lt;&gt;"",INDEX('×入力'!$A$1:$L$1300,595+DC$3,1)&lt;&gt;""),1,0),0)</f>
        <v/>
      </c>
      <c r="DD31">
        <f>IF(DD$4=1,IF(OR(INDEX('×入力'!$A$1:$L$1300,595+DD$3,2+DD$2)&lt;&gt;"",INDEX('×入力'!$A$1:$L$1300,594,2+DD$2)&lt;&gt;"",INDEX('×入力'!$A$1:$L$1300,595+DD$3,1)&lt;&gt;""),1,0),0)</f>
        <v/>
      </c>
      <c r="DE31">
        <f>IF(DE$4=1,IF(OR(INDEX('×入力'!$A$1:$L$1300,595+DE$3,2+DE$2)&lt;&gt;"",INDEX('×入力'!$A$1:$L$1300,594,2+DE$2)&lt;&gt;"",INDEX('×入力'!$A$1:$L$1300,595+DE$3,1)&lt;&gt;""),1,0),0)</f>
        <v/>
      </c>
      <c r="DF31">
        <f>IF(DF$4=1,IF(OR(INDEX('×入力'!$A$1:$L$1300,595+DF$3,2+DF$2)&lt;&gt;"",INDEX('×入力'!$A$1:$L$1300,594,2+DF$2)&lt;&gt;"",INDEX('×入力'!$A$1:$L$1300,595+DF$3,1)&lt;&gt;""),1,0),0)</f>
        <v/>
      </c>
      <c r="DG31">
        <f>IF(DG$4=1,IF(OR(INDEX('×入力'!$A$1:$L$1300,595+DG$3,2+DG$2)&lt;&gt;"",INDEX('×入力'!$A$1:$L$1300,594,2+DG$2)&lt;&gt;"",INDEX('×入力'!$A$1:$L$1300,595+DG$3,1)&lt;&gt;""),1,0),0)</f>
        <v/>
      </c>
      <c r="DH31">
        <f>IF(DH$4=1,IF(OR(INDEX('×入力'!$A$1:$L$1300,595+DH$3,2+DH$2)&lt;&gt;"",INDEX('×入力'!$A$1:$L$1300,594,2+DH$2)&lt;&gt;"",INDEX('×入力'!$A$1:$L$1300,595+DH$3,1)&lt;&gt;""),1,0),0)</f>
        <v/>
      </c>
      <c r="DI31">
        <f>IF(DI$4=1,IF(OR(INDEX('×入力'!$A$1:$L$1300,595+DI$3,2+DI$2)&lt;&gt;"",INDEX('×入力'!$A$1:$L$1300,594,2+DI$2)&lt;&gt;"",INDEX('×入力'!$A$1:$L$1300,595+DI$3,1)&lt;&gt;""),1,0),0)</f>
        <v/>
      </c>
      <c r="DJ31">
        <f>IF(DJ$4=1,IF(OR(INDEX('×入力'!$A$1:$L$1300,595+DJ$3,2+DJ$2)&lt;&gt;"",INDEX('×入力'!$A$1:$L$1300,594,2+DJ$2)&lt;&gt;"",INDEX('×入力'!$A$1:$L$1300,595+DJ$3,1)&lt;&gt;""),1,0),0)</f>
        <v/>
      </c>
      <c r="DK31">
        <f>IF(DK$4=1,IF(OR(INDEX('×入力'!$A$1:$L$1300,595+DK$3,2+DK$2)&lt;&gt;"",INDEX('×入力'!$A$1:$L$1300,594,2+DK$2)&lt;&gt;"",INDEX('×入力'!$A$1:$L$1300,595+DK$3,1)&lt;&gt;""),1,0),0)</f>
        <v/>
      </c>
      <c r="DL31">
        <f>IF(DL$4=1,IF(OR(INDEX('×入力'!$A$1:$L$1300,595+DL$3,2+DL$2)&lt;&gt;"",INDEX('×入力'!$A$1:$L$1300,594,2+DL$2)&lt;&gt;"",INDEX('×入力'!$A$1:$L$1300,595+DL$3,1)&lt;&gt;""),1,0),0)</f>
        <v/>
      </c>
      <c r="DM31">
        <f>IF(DM$4=1,IF(OR(INDEX('×入力'!$A$1:$L$1300,595+DM$3,2+DM$2)&lt;&gt;"",INDEX('×入力'!$A$1:$L$1300,594,2+DM$2)&lt;&gt;"",INDEX('×入力'!$A$1:$L$1300,595+DM$3,1)&lt;&gt;""),1,0),0)</f>
        <v/>
      </c>
      <c r="DN31">
        <f>IF(DN$4=1,IF(OR(INDEX('×入力'!$A$1:$L$1300,595+DN$3,2+DN$2)&lt;&gt;"",INDEX('×入力'!$A$1:$L$1300,594,2+DN$2)&lt;&gt;"",INDEX('×入力'!$A$1:$L$1300,595+DN$3,1)&lt;&gt;""),1,0),0)</f>
        <v/>
      </c>
      <c r="DO31">
        <f>IF(DO$4=1,IF(OR(INDEX('×入力'!$A$1:$L$1300,595+DO$3,2+DO$2)&lt;&gt;"",INDEX('×入力'!$A$1:$L$1300,594,2+DO$2)&lt;&gt;"",INDEX('×入力'!$A$1:$L$1300,595+DO$3,1)&lt;&gt;""),1,0),0)</f>
        <v/>
      </c>
      <c r="DP31">
        <f>IF(DP$4=1,IF(OR(INDEX('×入力'!$A$1:$L$1300,595+DP$3,2+DP$2)&lt;&gt;"",INDEX('×入力'!$A$1:$L$1300,594,2+DP$2)&lt;&gt;"",INDEX('×入力'!$A$1:$L$1300,595+DP$3,1)&lt;&gt;""),1,0),0)</f>
        <v/>
      </c>
      <c r="DQ31">
        <f>IF(DQ$4=1,IF(OR(INDEX('×入力'!$A$1:$L$1300,595+DQ$3,2+DQ$2)&lt;&gt;"",INDEX('×入力'!$A$1:$L$1300,594,2+DQ$2)&lt;&gt;"",INDEX('×入力'!$A$1:$L$1300,595+DQ$3,1)&lt;&gt;""),1,0),0)</f>
        <v/>
      </c>
      <c r="DR31">
        <f>IF(DR$4=1,IF(OR(INDEX('×入力'!$A$1:$L$1300,595+DR$3,2+DR$2)&lt;&gt;"",INDEX('×入力'!$A$1:$L$1300,594,2+DR$2)&lt;&gt;"",INDEX('×入力'!$A$1:$L$1300,595+DR$3,1)&lt;&gt;""),1,0),0)</f>
        <v/>
      </c>
      <c r="DS31">
        <f>IF(DS$4=1,IF(OR(INDEX('×入力'!$A$1:$L$1300,595+DS$3,2+DS$2)&lt;&gt;"",INDEX('×入力'!$A$1:$L$1300,594,2+DS$2)&lt;&gt;"",INDEX('×入力'!$A$1:$L$1300,595+DS$3,1)&lt;&gt;""),1,0),0)</f>
        <v/>
      </c>
      <c r="DT31">
        <f>IF(DT$4=1,IF(OR(INDEX('×入力'!$A$1:$L$1300,595+DT$3,2+DT$2)&lt;&gt;"",INDEX('×入力'!$A$1:$L$1300,594,2+DT$2)&lt;&gt;"",INDEX('×入力'!$A$1:$L$1300,595+DT$3,1)&lt;&gt;""),1,0),0)</f>
        <v/>
      </c>
      <c r="DU31">
        <f>IF(DU$4=1,IF(OR(INDEX('×入力'!$A$1:$L$1300,595+DU$3,2+DU$2)&lt;&gt;"",INDEX('×入力'!$A$1:$L$1300,594,2+DU$2)&lt;&gt;"",INDEX('×入力'!$A$1:$L$1300,595+DU$3,1)&lt;&gt;""),1,0),0)</f>
        <v/>
      </c>
      <c r="DV31">
        <f>IF(DV$4=1,IF(OR(INDEX('×入力'!$A$1:$L$1300,595+DV$3,2+DV$2)&lt;&gt;"",INDEX('×入力'!$A$1:$L$1300,594,2+DV$2)&lt;&gt;"",INDEX('×入力'!$A$1:$L$1300,595+DV$3,1)&lt;&gt;""),1,0),0)</f>
        <v/>
      </c>
      <c r="DW31">
        <f>IF(DW$4=1,IF(OR(INDEX('×入力'!$A$1:$L$1300,595+DW$3,2+DW$2)&lt;&gt;"",INDEX('×入力'!$A$1:$L$1300,594,2+DW$2)&lt;&gt;"",INDEX('×入力'!$A$1:$L$1300,595+DW$3,1)&lt;&gt;""),1,0),0)</f>
        <v/>
      </c>
      <c r="DX31">
        <f>IF(DX$4=1,IF(OR(INDEX('×入力'!$A$1:$L$1300,595+DX$3,2+DX$2)&lt;&gt;"",INDEX('×入力'!$A$1:$L$1300,594,2+DX$2)&lt;&gt;"",INDEX('×入力'!$A$1:$L$1300,595+DX$3,1)&lt;&gt;""),1,0),0)</f>
        <v/>
      </c>
      <c r="DY31">
        <f>IF(DY$4=1,IF(OR(INDEX('×入力'!$A$1:$L$1300,595+DY$3,2+DY$2)&lt;&gt;"",INDEX('×入力'!$A$1:$L$1300,594,2+DY$2)&lt;&gt;"",INDEX('×入力'!$A$1:$L$1300,595+DY$3,1)&lt;&gt;""),1,0),0)</f>
        <v/>
      </c>
      <c r="DZ31">
        <f>IF(DZ$4=1,IF(OR(INDEX('×入力'!$A$1:$L$1300,595+DZ$3,2+DZ$2)&lt;&gt;"",INDEX('×入力'!$A$1:$L$1300,594,2+DZ$2)&lt;&gt;"",INDEX('×入力'!$A$1:$L$1300,595+DZ$3,1)&lt;&gt;""),1,0),0)</f>
        <v/>
      </c>
      <c r="EA31">
        <f>IF(EA$4=1,IF(OR(INDEX('×入力'!$A$1:$L$1300,595+EA$3,2+EA$2)&lt;&gt;"",INDEX('×入力'!$A$1:$L$1300,594,2+EA$2)&lt;&gt;"",INDEX('×入力'!$A$1:$L$1300,595+EA$3,1)&lt;&gt;""),1,0),0)</f>
        <v/>
      </c>
      <c r="EB31">
        <f>IF(EB$4=1,IF(OR(INDEX('×入力'!$A$1:$L$1300,595+EB$3,2+EB$2)&lt;&gt;"",INDEX('×入力'!$A$1:$L$1300,594,2+EB$2)&lt;&gt;"",INDEX('×入力'!$A$1:$L$1300,595+EB$3,1)&lt;&gt;""),1,0),0)</f>
        <v/>
      </c>
      <c r="EC31">
        <f>IF(EC$4=1,IF(OR(INDEX('×入力'!$A$1:$L$1300,595+EC$3,2+EC$2)&lt;&gt;"",INDEX('×入力'!$A$1:$L$1300,594,2+EC$2)&lt;&gt;"",INDEX('×入力'!$A$1:$L$1300,595+EC$3,1)&lt;&gt;""),1,0),0)</f>
        <v/>
      </c>
      <c r="ED31">
        <f>IF(ED$4=1,IF(OR(INDEX('×入力'!$A$1:$L$1300,595+ED$3,2+ED$2)&lt;&gt;"",INDEX('×入力'!$A$1:$L$1300,594,2+ED$2)&lt;&gt;"",INDEX('×入力'!$A$1:$L$1300,595+ED$3,1)&lt;&gt;""),1,0),0)</f>
        <v/>
      </c>
      <c r="EE31">
        <f>IF(EE$4=1,IF(OR(INDEX('×入力'!$A$1:$L$1300,595+EE$3,2+EE$2)&lt;&gt;"",INDEX('×入力'!$A$1:$L$1300,594,2+EE$2)&lt;&gt;"",INDEX('×入力'!$A$1:$L$1300,595+EE$3,1)&lt;&gt;""),1,0),0)</f>
        <v/>
      </c>
      <c r="EF31">
        <f>IF(EF$4=1,IF(OR(INDEX('×入力'!$A$1:$L$1300,595+EF$3,2+EF$2)&lt;&gt;"",INDEX('×入力'!$A$1:$L$1300,594,2+EF$2)&lt;&gt;"",INDEX('×入力'!$A$1:$L$1300,595+EF$3,1)&lt;&gt;""),1,0),0)</f>
        <v/>
      </c>
      <c r="EG31">
        <f>IF(EG$4=1,IF(OR(INDEX('×入力'!$A$1:$L$1300,595+EG$3,2+EG$2)&lt;&gt;"",INDEX('×入力'!$A$1:$L$1300,594,2+EG$2)&lt;&gt;"",INDEX('×入力'!$A$1:$L$1300,595+EG$3,1)&lt;&gt;""),1,0),0)</f>
        <v/>
      </c>
      <c r="EH31">
        <f>IF(EH$4=1,IF(OR(INDEX('×入力'!$A$1:$L$1300,595+EH$3,2+EH$2)&lt;&gt;"",INDEX('×入力'!$A$1:$L$1300,594,2+EH$2)&lt;&gt;"",INDEX('×入力'!$A$1:$L$1300,595+EH$3,1)&lt;&gt;""),1,0),0)</f>
        <v/>
      </c>
      <c r="EI31">
        <f>IF(EI$4=1,IF(OR(INDEX('×入力'!$A$1:$L$1300,595+EI$3,2+EI$2)&lt;&gt;"",INDEX('×入力'!$A$1:$L$1300,594,2+EI$2)&lt;&gt;"",INDEX('×入力'!$A$1:$L$1300,595+EI$3,1)&lt;&gt;""),1,0),0)</f>
        <v/>
      </c>
      <c r="EJ31">
        <f>IF(EJ$4=1,IF(OR(INDEX('×入力'!$A$1:$L$1300,595+EJ$3,2+EJ$2)&lt;&gt;"",INDEX('×入力'!$A$1:$L$1300,594,2+EJ$2)&lt;&gt;"",INDEX('×入力'!$A$1:$L$1300,595+EJ$3,1)&lt;&gt;""),1,0),0)</f>
        <v/>
      </c>
      <c r="EK31">
        <f>IF(EK$4=1,IF(OR(INDEX('×入力'!$A$1:$L$1300,595+EK$3,2+EK$2)&lt;&gt;"",INDEX('×入力'!$A$1:$L$1300,594,2+EK$2)&lt;&gt;"",INDEX('×入力'!$A$1:$L$1300,595+EK$3,1)&lt;&gt;""),1,0),0)</f>
        <v/>
      </c>
      <c r="EL31">
        <f>IF(EL$4=1,IF(OR(INDEX('×入力'!$A$1:$L$1300,595+EL$3,2+EL$2)&lt;&gt;"",INDEX('×入力'!$A$1:$L$1300,594,2+EL$2)&lt;&gt;"",INDEX('×入力'!$A$1:$L$1300,595+EL$3,1)&lt;&gt;""),1,0),0)</f>
        <v/>
      </c>
      <c r="EM31">
        <f>IF(EM$4=1,IF(OR(INDEX('×入力'!$A$1:$L$1300,595+EM$3,2+EM$2)&lt;&gt;"",INDEX('×入力'!$A$1:$L$1300,594,2+EM$2)&lt;&gt;"",INDEX('×入力'!$A$1:$L$1300,595+EM$3,1)&lt;&gt;""),1,0),0)</f>
        <v/>
      </c>
      <c r="EN31">
        <f>IF(EN$4=1,IF(OR(INDEX('×入力'!$A$1:$L$1300,595+EN$3,2+EN$2)&lt;&gt;"",INDEX('×入力'!$A$1:$L$1300,594,2+EN$2)&lt;&gt;"",INDEX('×入力'!$A$1:$L$1300,595+EN$3,1)&lt;&gt;""),1,0),0)</f>
        <v/>
      </c>
      <c r="EO31">
        <f>IF(EO$4=1,IF(OR(INDEX('×入力'!$A$1:$L$1300,595+EO$3,2+EO$2)&lt;&gt;"",INDEX('×入力'!$A$1:$L$1300,594,2+EO$2)&lt;&gt;"",INDEX('×入力'!$A$1:$L$1300,595+EO$3,1)&lt;&gt;""),1,0),0)</f>
        <v/>
      </c>
      <c r="EP31">
        <f>IF(EP$4=1,IF(OR(INDEX('×入力'!$A$1:$L$1300,595+EP$3,2+EP$2)&lt;&gt;"",INDEX('×入力'!$A$1:$L$1300,594,2+EP$2)&lt;&gt;"",INDEX('×入力'!$A$1:$L$1300,595+EP$3,1)&lt;&gt;""),1,0),0)</f>
        <v/>
      </c>
      <c r="EQ31">
        <f>IF(EQ$4=1,IF(OR(INDEX('×入力'!$A$1:$L$1300,595+EQ$3,2+EQ$2)&lt;&gt;"",INDEX('×入力'!$A$1:$L$1300,594,2+EQ$2)&lt;&gt;"",INDEX('×入力'!$A$1:$L$1300,595+EQ$3,1)&lt;&gt;""),1,0),0)</f>
        <v/>
      </c>
      <c r="HA31">
        <f>MAX(0,IT31)</f>
        <v/>
      </c>
      <c r="HB31">
        <f>IF(HA31=0,0,INDEX($D$2:$EQ$2,HA31))</f>
        <v/>
      </c>
      <c r="HC31">
        <f>IF(HA31=0,0,INDEX($D$3:$EQ$3,HA31))</f>
        <v/>
      </c>
      <c r="HD31">
        <f>MAX(0,IY31)</f>
        <v/>
      </c>
      <c r="HE31">
        <f>IF(HD31=0,0,INDEX($D$2:$EQ$2,HD31))</f>
        <v/>
      </c>
      <c r="HF31">
        <f>IF(HD31=0,0,INDEX($D$3:$EQ$3,HD31))</f>
        <v/>
      </c>
      <c r="HG31">
        <f>MAX(0,IZ31)</f>
        <v/>
      </c>
      <c r="HH31">
        <f>IF(HG31=0,0,INDEX($D$2:$EQ$2,HG31))</f>
        <v/>
      </c>
      <c r="HI31">
        <f>IF(HG31=0,0,INDEX($D$3:$EQ$3,HG31))</f>
        <v/>
      </c>
      <c r="HJ31">
        <f>IF(AND(HA31&gt;0,HC31&gt;1,OR(HC31-1&lt;&gt;$A$3,$A$4=0)),HA31-1,-1)</f>
        <v/>
      </c>
      <c r="HK31">
        <f>IF(AND(HA31&gt;0,HC31&lt;24,OR(HC31&lt;&gt;$A$3,$A$4=0)),HA31+1,-1)</f>
        <v/>
      </c>
      <c r="HL31">
        <f>IF(AND(HD31&gt;0,HF31&gt;1,OR(HF31-1&lt;&gt;$A$3,$A$4=0)),HD31-1,-1)</f>
        <v/>
      </c>
      <c r="HM31">
        <f>IF(AND(HD31&gt;0,HF31&lt;24,OR(HF31&lt;&gt;$A$3,$A$4=0)),HD31+1,-1)</f>
        <v/>
      </c>
      <c r="HN31">
        <f>IF(AND(HG31&gt;0,HI31&gt;1,OR(HI31-1&lt;&gt;$A$3,$A$4=0)),HG31-1,-1)</f>
        <v/>
      </c>
      <c r="HO31">
        <f>IF(AND(HG31&gt;0,HI31&lt;24,OR(HI31&lt;&gt;$A$3,$A$4=0)),HG31+1,-1)</f>
        <v/>
      </c>
      <c r="IK31">
        <f>IFERROR(INDEX('calcB'!$C$3:$C$47,MATCH(A31,'calcB'!$B$3:$B$47,0)),0)</f>
        <v/>
      </c>
      <c r="IL31">
        <f>IF(AND(C31=1,IK31=0,calcA!$A$6&gt;0),1,0)</f>
        <v/>
      </c>
      <c r="IM31">
        <f>SUMPRODUCT(D81:EQ81*(1-$D$7:$EQ$7))</f>
        <v/>
      </c>
      <c r="IN31">
        <f>SUM(D31:EQ31)</f>
        <v/>
      </c>
      <c r="IO31">
        <f>IF(B31="",0,IF(COUNTIF('調整・決定'!$C$6:$H$29,B31)=1,SUMPRODUCT(('調整・決定'!$C$6:$H$29=B31)*((COLUMN('調整・決定'!$C$6:$H$29)-3)*24+ROW('調整・決定'!$C$6:$H$29)-5)),0))</f>
        <v/>
      </c>
      <c r="IP31">
        <f>IFERROR(MATCH('名簿'!C26,{"早い時刻","遅い時刻","早い日","遅い日"},0),0)</f>
        <v/>
      </c>
      <c r="IQ31">
        <f>IF('名簿'!D26="必ず空けたい",2,IF('名簿'!D26="出来れば空けたい",1,0))</f>
        <v/>
      </c>
      <c r="IR31">
        <f>IFERROR(INDEX('calcC'!$C$3:$C$47,MATCH(A31,'calcC'!$B$3:$B$47,0)),0)</f>
        <v/>
      </c>
      <c r="IS31">
        <f>IF(AND(C31=1,IR31=0,calcA!$A$6&gt;0),1,0)</f>
        <v/>
      </c>
      <c r="IT31">
        <f>IF(OR('名簿'!G26="",'名簿'!H26=""),0,IFERROR((MATCH('名簿'!G26,'設定'!$E$11:$E$16,0)-1)*24+MATCH('名簿'!H26,'設定'!$I$11:$I$34,0),-1))</f>
        <v/>
      </c>
      <c r="IV31">
        <f>IF(OR(JF31=0,IO31=0),1,IF(OR(IF(IT31&gt;0,AND(INDEX($D$2:$EQ$2,IO31)=INDEX($D$2:$EQ$2,IT31),OR(AND(IO31=IT31+1,OR(INDEX($D$3:$EQ$3,IT31)&lt;&gt;$A$3,$A$4=0)),AND(IO31=IT31-1,OR(INDEX($D$3:$EQ$3,IO31)&lt;&gt;$A$3,$A$4=0)))),FALSE),IF(IY31&gt;0,AND(INDEX($D$2:$EQ$2,IO31)=INDEX($D$2:$EQ$2,IY31),OR(AND(IO31=IY31+1,OR(INDEX($D$3:$EQ$3,IY31)&lt;&gt;$A$3,$A$4=0)),AND(IO31=IY31-1,OR(INDEX($D$3:$EQ$3,IO31)&lt;&gt;$A$3,$A$4=0)))),FALSE),IF(IZ31&gt;0,AND(INDEX($D$2:$EQ$2,IO31)=INDEX($D$2:$EQ$2,IZ31),OR(AND(IO31=IZ31+1,OR(INDEX($D$3:$EQ$3,IZ31)&lt;&gt;$A$3,$A$4=0)),AND(IO31=IZ31-1,OR(INDEX($D$3:$EQ$3,IO31)&lt;&gt;$A$3,$A$4=0)))),FALSE)),1,0))</f>
        <v/>
      </c>
      <c r="IW31">
        <f>IF(AND('名簿'!E26&lt;&gt;"",JF31=0),1,0)</f>
        <v/>
      </c>
      <c r="IX31">
        <f>IF('名簿'!D26="空けない",1,0)</f>
        <v/>
      </c>
      <c r="IY31">
        <f>IF(OR('名簿'!J26="",'名簿'!K26=""),0,IFERROR((MATCH('名簿'!J26,'設定'!$E$11:$E$16,0)-1)*24+MATCH('名簿'!K26,'設定'!$I$11:$I$34,0),-1))</f>
        <v/>
      </c>
      <c r="IZ31">
        <f>IF(OR('名簿'!M26="",'名簿'!N26=""),0,IFERROR((MATCH('名簿'!M26,'設定'!$E$11:$E$16,0)-1)*24+MATCH('名簿'!N26,'設定'!$I$11:$I$34,0),-1))</f>
        <v/>
      </c>
      <c r="JC31">
        <f>IF(RIGHT('名簿'!I26,2)="の前",1,IF(RIGHT('名簿'!I26,2)="の後",2,0))</f>
        <v/>
      </c>
      <c r="JD31">
        <f>IF(RIGHT('名簿'!L26,2)="の前",1,IF(RIGHT('名簿'!L26,2)="の後",2,0))</f>
        <v/>
      </c>
      <c r="JE31">
        <f>IF(RIGHT('名簿'!O26,2)="の前",1,IF(RIGHT('名簿'!O26,2)="の後",2,0))</f>
        <v/>
      </c>
      <c r="JF31">
        <f>IF(OR(IT31&gt;0,IY31&gt;0,IZ31&gt;0),1,0)</f>
        <v/>
      </c>
      <c r="JG31">
        <f>IF(OR(IT31&lt;0,IY31&lt;0,IZ31&lt;0),1,0)</f>
        <v/>
      </c>
    </row>
    <row r="32">
      <c r="A32" t="n">
        <v>23</v>
      </c>
      <c r="B32">
        <f>'名簿'!P27</f>
        <v/>
      </c>
      <c r="C32">
        <f>IF(AND(B32&lt;&gt;"",OR('名簿'!Q27="入力済み",'名簿'!Q27="×なし"),IO32=0,COUNTIF('調整・決定'!$C$6:$H$29,B32)=0),1,0)</f>
        <v/>
      </c>
      <c r="D32">
        <f>IF(D$4=1,IF(OR(INDEX('×入力'!$A$1:$L$1300,623+D$3,2+D$2)&lt;&gt;"",INDEX('×入力'!$A$1:$L$1300,622,2+D$2)&lt;&gt;"",INDEX('×入力'!$A$1:$L$1300,623+D$3,1)&lt;&gt;""),1,0),0)</f>
        <v/>
      </c>
      <c r="E32">
        <f>IF(E$4=1,IF(OR(INDEX('×入力'!$A$1:$L$1300,623+E$3,2+E$2)&lt;&gt;"",INDEX('×入力'!$A$1:$L$1300,622,2+E$2)&lt;&gt;"",INDEX('×入力'!$A$1:$L$1300,623+E$3,1)&lt;&gt;""),1,0),0)</f>
        <v/>
      </c>
      <c r="F32">
        <f>IF(F$4=1,IF(OR(INDEX('×入力'!$A$1:$L$1300,623+F$3,2+F$2)&lt;&gt;"",INDEX('×入力'!$A$1:$L$1300,622,2+F$2)&lt;&gt;"",INDEX('×入力'!$A$1:$L$1300,623+F$3,1)&lt;&gt;""),1,0),0)</f>
        <v/>
      </c>
      <c r="G32">
        <f>IF(G$4=1,IF(OR(INDEX('×入力'!$A$1:$L$1300,623+G$3,2+G$2)&lt;&gt;"",INDEX('×入力'!$A$1:$L$1300,622,2+G$2)&lt;&gt;"",INDEX('×入力'!$A$1:$L$1300,623+G$3,1)&lt;&gt;""),1,0),0)</f>
        <v/>
      </c>
      <c r="H32">
        <f>IF(H$4=1,IF(OR(INDEX('×入力'!$A$1:$L$1300,623+H$3,2+H$2)&lt;&gt;"",INDEX('×入力'!$A$1:$L$1300,622,2+H$2)&lt;&gt;"",INDEX('×入力'!$A$1:$L$1300,623+H$3,1)&lt;&gt;""),1,0),0)</f>
        <v/>
      </c>
      <c r="I32">
        <f>IF(I$4=1,IF(OR(INDEX('×入力'!$A$1:$L$1300,623+I$3,2+I$2)&lt;&gt;"",INDEX('×入力'!$A$1:$L$1300,622,2+I$2)&lt;&gt;"",INDEX('×入力'!$A$1:$L$1300,623+I$3,1)&lt;&gt;""),1,0),0)</f>
        <v/>
      </c>
      <c r="J32">
        <f>IF(J$4=1,IF(OR(INDEX('×入力'!$A$1:$L$1300,623+J$3,2+J$2)&lt;&gt;"",INDEX('×入力'!$A$1:$L$1300,622,2+J$2)&lt;&gt;"",INDEX('×入力'!$A$1:$L$1300,623+J$3,1)&lt;&gt;""),1,0),0)</f>
        <v/>
      </c>
      <c r="K32">
        <f>IF(K$4=1,IF(OR(INDEX('×入力'!$A$1:$L$1300,623+K$3,2+K$2)&lt;&gt;"",INDEX('×入力'!$A$1:$L$1300,622,2+K$2)&lt;&gt;"",INDEX('×入力'!$A$1:$L$1300,623+K$3,1)&lt;&gt;""),1,0),0)</f>
        <v/>
      </c>
      <c r="L32">
        <f>IF(L$4=1,IF(OR(INDEX('×入力'!$A$1:$L$1300,623+L$3,2+L$2)&lt;&gt;"",INDEX('×入力'!$A$1:$L$1300,622,2+L$2)&lt;&gt;"",INDEX('×入力'!$A$1:$L$1300,623+L$3,1)&lt;&gt;""),1,0),0)</f>
        <v/>
      </c>
      <c r="M32">
        <f>IF(M$4=1,IF(OR(INDEX('×入力'!$A$1:$L$1300,623+M$3,2+M$2)&lt;&gt;"",INDEX('×入力'!$A$1:$L$1300,622,2+M$2)&lt;&gt;"",INDEX('×入力'!$A$1:$L$1300,623+M$3,1)&lt;&gt;""),1,0),0)</f>
        <v/>
      </c>
      <c r="N32">
        <f>IF(N$4=1,IF(OR(INDEX('×入力'!$A$1:$L$1300,623+N$3,2+N$2)&lt;&gt;"",INDEX('×入力'!$A$1:$L$1300,622,2+N$2)&lt;&gt;"",INDEX('×入力'!$A$1:$L$1300,623+N$3,1)&lt;&gt;""),1,0),0)</f>
        <v/>
      </c>
      <c r="O32">
        <f>IF(O$4=1,IF(OR(INDEX('×入力'!$A$1:$L$1300,623+O$3,2+O$2)&lt;&gt;"",INDEX('×入力'!$A$1:$L$1300,622,2+O$2)&lt;&gt;"",INDEX('×入力'!$A$1:$L$1300,623+O$3,1)&lt;&gt;""),1,0),0)</f>
        <v/>
      </c>
      <c r="P32">
        <f>IF(P$4=1,IF(OR(INDEX('×入力'!$A$1:$L$1300,623+P$3,2+P$2)&lt;&gt;"",INDEX('×入力'!$A$1:$L$1300,622,2+P$2)&lt;&gt;"",INDEX('×入力'!$A$1:$L$1300,623+P$3,1)&lt;&gt;""),1,0),0)</f>
        <v/>
      </c>
      <c r="Q32">
        <f>IF(Q$4=1,IF(OR(INDEX('×入力'!$A$1:$L$1300,623+Q$3,2+Q$2)&lt;&gt;"",INDEX('×入力'!$A$1:$L$1300,622,2+Q$2)&lt;&gt;"",INDEX('×入力'!$A$1:$L$1300,623+Q$3,1)&lt;&gt;""),1,0),0)</f>
        <v/>
      </c>
      <c r="R32">
        <f>IF(R$4=1,IF(OR(INDEX('×入力'!$A$1:$L$1300,623+R$3,2+R$2)&lt;&gt;"",INDEX('×入力'!$A$1:$L$1300,622,2+R$2)&lt;&gt;"",INDEX('×入力'!$A$1:$L$1300,623+R$3,1)&lt;&gt;""),1,0),0)</f>
        <v/>
      </c>
      <c r="S32">
        <f>IF(S$4=1,IF(OR(INDEX('×入力'!$A$1:$L$1300,623+S$3,2+S$2)&lt;&gt;"",INDEX('×入力'!$A$1:$L$1300,622,2+S$2)&lt;&gt;"",INDEX('×入力'!$A$1:$L$1300,623+S$3,1)&lt;&gt;""),1,0),0)</f>
        <v/>
      </c>
      <c r="T32">
        <f>IF(T$4=1,IF(OR(INDEX('×入力'!$A$1:$L$1300,623+T$3,2+T$2)&lt;&gt;"",INDEX('×入力'!$A$1:$L$1300,622,2+T$2)&lt;&gt;"",INDEX('×入力'!$A$1:$L$1300,623+T$3,1)&lt;&gt;""),1,0),0)</f>
        <v/>
      </c>
      <c r="U32">
        <f>IF(U$4=1,IF(OR(INDEX('×入力'!$A$1:$L$1300,623+U$3,2+U$2)&lt;&gt;"",INDEX('×入力'!$A$1:$L$1300,622,2+U$2)&lt;&gt;"",INDEX('×入力'!$A$1:$L$1300,623+U$3,1)&lt;&gt;""),1,0),0)</f>
        <v/>
      </c>
      <c r="V32">
        <f>IF(V$4=1,IF(OR(INDEX('×入力'!$A$1:$L$1300,623+V$3,2+V$2)&lt;&gt;"",INDEX('×入力'!$A$1:$L$1300,622,2+V$2)&lt;&gt;"",INDEX('×入力'!$A$1:$L$1300,623+V$3,1)&lt;&gt;""),1,0),0)</f>
        <v/>
      </c>
      <c r="W32">
        <f>IF(W$4=1,IF(OR(INDEX('×入力'!$A$1:$L$1300,623+W$3,2+W$2)&lt;&gt;"",INDEX('×入力'!$A$1:$L$1300,622,2+W$2)&lt;&gt;"",INDEX('×入力'!$A$1:$L$1300,623+W$3,1)&lt;&gt;""),1,0),0)</f>
        <v/>
      </c>
      <c r="X32">
        <f>IF(X$4=1,IF(OR(INDEX('×入力'!$A$1:$L$1300,623+X$3,2+X$2)&lt;&gt;"",INDEX('×入力'!$A$1:$L$1300,622,2+X$2)&lt;&gt;"",INDEX('×入力'!$A$1:$L$1300,623+X$3,1)&lt;&gt;""),1,0),0)</f>
        <v/>
      </c>
      <c r="Y32">
        <f>IF(Y$4=1,IF(OR(INDEX('×入力'!$A$1:$L$1300,623+Y$3,2+Y$2)&lt;&gt;"",INDEX('×入力'!$A$1:$L$1300,622,2+Y$2)&lt;&gt;"",INDEX('×入力'!$A$1:$L$1300,623+Y$3,1)&lt;&gt;""),1,0),0)</f>
        <v/>
      </c>
      <c r="Z32">
        <f>IF(Z$4=1,IF(OR(INDEX('×入力'!$A$1:$L$1300,623+Z$3,2+Z$2)&lt;&gt;"",INDEX('×入力'!$A$1:$L$1300,622,2+Z$2)&lt;&gt;"",INDEX('×入力'!$A$1:$L$1300,623+Z$3,1)&lt;&gt;""),1,0),0)</f>
        <v/>
      </c>
      <c r="AA32">
        <f>IF(AA$4=1,IF(OR(INDEX('×入力'!$A$1:$L$1300,623+AA$3,2+AA$2)&lt;&gt;"",INDEX('×入力'!$A$1:$L$1300,622,2+AA$2)&lt;&gt;"",INDEX('×入力'!$A$1:$L$1300,623+AA$3,1)&lt;&gt;""),1,0),0)</f>
        <v/>
      </c>
      <c r="AB32">
        <f>IF(AB$4=1,IF(OR(INDEX('×入力'!$A$1:$L$1300,623+AB$3,2+AB$2)&lt;&gt;"",INDEX('×入力'!$A$1:$L$1300,622,2+AB$2)&lt;&gt;"",INDEX('×入力'!$A$1:$L$1300,623+AB$3,1)&lt;&gt;""),1,0),0)</f>
        <v/>
      </c>
      <c r="AC32">
        <f>IF(AC$4=1,IF(OR(INDEX('×入力'!$A$1:$L$1300,623+AC$3,2+AC$2)&lt;&gt;"",INDEX('×入力'!$A$1:$L$1300,622,2+AC$2)&lt;&gt;"",INDEX('×入力'!$A$1:$L$1300,623+AC$3,1)&lt;&gt;""),1,0),0)</f>
        <v/>
      </c>
      <c r="AD32">
        <f>IF(AD$4=1,IF(OR(INDEX('×入力'!$A$1:$L$1300,623+AD$3,2+AD$2)&lt;&gt;"",INDEX('×入力'!$A$1:$L$1300,622,2+AD$2)&lt;&gt;"",INDEX('×入力'!$A$1:$L$1300,623+AD$3,1)&lt;&gt;""),1,0),0)</f>
        <v/>
      </c>
      <c r="AE32">
        <f>IF(AE$4=1,IF(OR(INDEX('×入力'!$A$1:$L$1300,623+AE$3,2+AE$2)&lt;&gt;"",INDEX('×入力'!$A$1:$L$1300,622,2+AE$2)&lt;&gt;"",INDEX('×入力'!$A$1:$L$1300,623+AE$3,1)&lt;&gt;""),1,0),0)</f>
        <v/>
      </c>
      <c r="AF32">
        <f>IF(AF$4=1,IF(OR(INDEX('×入力'!$A$1:$L$1300,623+AF$3,2+AF$2)&lt;&gt;"",INDEX('×入力'!$A$1:$L$1300,622,2+AF$2)&lt;&gt;"",INDEX('×入力'!$A$1:$L$1300,623+AF$3,1)&lt;&gt;""),1,0),0)</f>
        <v/>
      </c>
      <c r="AG32">
        <f>IF(AG$4=1,IF(OR(INDEX('×入力'!$A$1:$L$1300,623+AG$3,2+AG$2)&lt;&gt;"",INDEX('×入力'!$A$1:$L$1300,622,2+AG$2)&lt;&gt;"",INDEX('×入力'!$A$1:$L$1300,623+AG$3,1)&lt;&gt;""),1,0),0)</f>
        <v/>
      </c>
      <c r="AH32">
        <f>IF(AH$4=1,IF(OR(INDEX('×入力'!$A$1:$L$1300,623+AH$3,2+AH$2)&lt;&gt;"",INDEX('×入力'!$A$1:$L$1300,622,2+AH$2)&lt;&gt;"",INDEX('×入力'!$A$1:$L$1300,623+AH$3,1)&lt;&gt;""),1,0),0)</f>
        <v/>
      </c>
      <c r="AI32">
        <f>IF(AI$4=1,IF(OR(INDEX('×入力'!$A$1:$L$1300,623+AI$3,2+AI$2)&lt;&gt;"",INDEX('×入力'!$A$1:$L$1300,622,2+AI$2)&lt;&gt;"",INDEX('×入力'!$A$1:$L$1300,623+AI$3,1)&lt;&gt;""),1,0),0)</f>
        <v/>
      </c>
      <c r="AJ32">
        <f>IF(AJ$4=1,IF(OR(INDEX('×入力'!$A$1:$L$1300,623+AJ$3,2+AJ$2)&lt;&gt;"",INDEX('×入力'!$A$1:$L$1300,622,2+AJ$2)&lt;&gt;"",INDEX('×入力'!$A$1:$L$1300,623+AJ$3,1)&lt;&gt;""),1,0),0)</f>
        <v/>
      </c>
      <c r="AK32">
        <f>IF(AK$4=1,IF(OR(INDEX('×入力'!$A$1:$L$1300,623+AK$3,2+AK$2)&lt;&gt;"",INDEX('×入力'!$A$1:$L$1300,622,2+AK$2)&lt;&gt;"",INDEX('×入力'!$A$1:$L$1300,623+AK$3,1)&lt;&gt;""),1,0),0)</f>
        <v/>
      </c>
      <c r="AL32">
        <f>IF(AL$4=1,IF(OR(INDEX('×入力'!$A$1:$L$1300,623+AL$3,2+AL$2)&lt;&gt;"",INDEX('×入力'!$A$1:$L$1300,622,2+AL$2)&lt;&gt;"",INDEX('×入力'!$A$1:$L$1300,623+AL$3,1)&lt;&gt;""),1,0),0)</f>
        <v/>
      </c>
      <c r="AM32">
        <f>IF(AM$4=1,IF(OR(INDEX('×入力'!$A$1:$L$1300,623+AM$3,2+AM$2)&lt;&gt;"",INDEX('×入力'!$A$1:$L$1300,622,2+AM$2)&lt;&gt;"",INDEX('×入力'!$A$1:$L$1300,623+AM$3,1)&lt;&gt;""),1,0),0)</f>
        <v/>
      </c>
      <c r="AN32">
        <f>IF(AN$4=1,IF(OR(INDEX('×入力'!$A$1:$L$1300,623+AN$3,2+AN$2)&lt;&gt;"",INDEX('×入力'!$A$1:$L$1300,622,2+AN$2)&lt;&gt;"",INDEX('×入力'!$A$1:$L$1300,623+AN$3,1)&lt;&gt;""),1,0),0)</f>
        <v/>
      </c>
      <c r="AO32">
        <f>IF(AO$4=1,IF(OR(INDEX('×入力'!$A$1:$L$1300,623+AO$3,2+AO$2)&lt;&gt;"",INDEX('×入力'!$A$1:$L$1300,622,2+AO$2)&lt;&gt;"",INDEX('×入力'!$A$1:$L$1300,623+AO$3,1)&lt;&gt;""),1,0),0)</f>
        <v/>
      </c>
      <c r="AP32">
        <f>IF(AP$4=1,IF(OR(INDEX('×入力'!$A$1:$L$1300,623+AP$3,2+AP$2)&lt;&gt;"",INDEX('×入力'!$A$1:$L$1300,622,2+AP$2)&lt;&gt;"",INDEX('×入力'!$A$1:$L$1300,623+AP$3,1)&lt;&gt;""),1,0),0)</f>
        <v/>
      </c>
      <c r="AQ32">
        <f>IF(AQ$4=1,IF(OR(INDEX('×入力'!$A$1:$L$1300,623+AQ$3,2+AQ$2)&lt;&gt;"",INDEX('×入力'!$A$1:$L$1300,622,2+AQ$2)&lt;&gt;"",INDEX('×入力'!$A$1:$L$1300,623+AQ$3,1)&lt;&gt;""),1,0),0)</f>
        <v/>
      </c>
      <c r="AR32">
        <f>IF(AR$4=1,IF(OR(INDEX('×入力'!$A$1:$L$1300,623+AR$3,2+AR$2)&lt;&gt;"",INDEX('×入力'!$A$1:$L$1300,622,2+AR$2)&lt;&gt;"",INDEX('×入力'!$A$1:$L$1300,623+AR$3,1)&lt;&gt;""),1,0),0)</f>
        <v/>
      </c>
      <c r="AS32">
        <f>IF(AS$4=1,IF(OR(INDEX('×入力'!$A$1:$L$1300,623+AS$3,2+AS$2)&lt;&gt;"",INDEX('×入力'!$A$1:$L$1300,622,2+AS$2)&lt;&gt;"",INDEX('×入力'!$A$1:$L$1300,623+AS$3,1)&lt;&gt;""),1,0),0)</f>
        <v/>
      </c>
      <c r="AT32">
        <f>IF(AT$4=1,IF(OR(INDEX('×入力'!$A$1:$L$1300,623+AT$3,2+AT$2)&lt;&gt;"",INDEX('×入力'!$A$1:$L$1300,622,2+AT$2)&lt;&gt;"",INDEX('×入力'!$A$1:$L$1300,623+AT$3,1)&lt;&gt;""),1,0),0)</f>
        <v/>
      </c>
      <c r="AU32">
        <f>IF(AU$4=1,IF(OR(INDEX('×入力'!$A$1:$L$1300,623+AU$3,2+AU$2)&lt;&gt;"",INDEX('×入力'!$A$1:$L$1300,622,2+AU$2)&lt;&gt;"",INDEX('×入力'!$A$1:$L$1300,623+AU$3,1)&lt;&gt;""),1,0),0)</f>
        <v/>
      </c>
      <c r="AV32">
        <f>IF(AV$4=1,IF(OR(INDEX('×入力'!$A$1:$L$1300,623+AV$3,2+AV$2)&lt;&gt;"",INDEX('×入力'!$A$1:$L$1300,622,2+AV$2)&lt;&gt;"",INDEX('×入力'!$A$1:$L$1300,623+AV$3,1)&lt;&gt;""),1,0),0)</f>
        <v/>
      </c>
      <c r="AW32">
        <f>IF(AW$4=1,IF(OR(INDEX('×入力'!$A$1:$L$1300,623+AW$3,2+AW$2)&lt;&gt;"",INDEX('×入力'!$A$1:$L$1300,622,2+AW$2)&lt;&gt;"",INDEX('×入力'!$A$1:$L$1300,623+AW$3,1)&lt;&gt;""),1,0),0)</f>
        <v/>
      </c>
      <c r="AX32">
        <f>IF(AX$4=1,IF(OR(INDEX('×入力'!$A$1:$L$1300,623+AX$3,2+AX$2)&lt;&gt;"",INDEX('×入力'!$A$1:$L$1300,622,2+AX$2)&lt;&gt;"",INDEX('×入力'!$A$1:$L$1300,623+AX$3,1)&lt;&gt;""),1,0),0)</f>
        <v/>
      </c>
      <c r="AY32">
        <f>IF(AY$4=1,IF(OR(INDEX('×入力'!$A$1:$L$1300,623+AY$3,2+AY$2)&lt;&gt;"",INDEX('×入力'!$A$1:$L$1300,622,2+AY$2)&lt;&gt;"",INDEX('×入力'!$A$1:$L$1300,623+AY$3,1)&lt;&gt;""),1,0),0)</f>
        <v/>
      </c>
      <c r="AZ32">
        <f>IF(AZ$4=1,IF(OR(INDEX('×入力'!$A$1:$L$1300,623+AZ$3,2+AZ$2)&lt;&gt;"",INDEX('×入力'!$A$1:$L$1300,622,2+AZ$2)&lt;&gt;"",INDEX('×入力'!$A$1:$L$1300,623+AZ$3,1)&lt;&gt;""),1,0),0)</f>
        <v/>
      </c>
      <c r="BA32">
        <f>IF(BA$4=1,IF(OR(INDEX('×入力'!$A$1:$L$1300,623+BA$3,2+BA$2)&lt;&gt;"",INDEX('×入力'!$A$1:$L$1300,622,2+BA$2)&lt;&gt;"",INDEX('×入力'!$A$1:$L$1300,623+BA$3,1)&lt;&gt;""),1,0),0)</f>
        <v/>
      </c>
      <c r="BB32">
        <f>IF(BB$4=1,IF(OR(INDEX('×入力'!$A$1:$L$1300,623+BB$3,2+BB$2)&lt;&gt;"",INDEX('×入力'!$A$1:$L$1300,622,2+BB$2)&lt;&gt;"",INDEX('×入力'!$A$1:$L$1300,623+BB$3,1)&lt;&gt;""),1,0),0)</f>
        <v/>
      </c>
      <c r="BC32">
        <f>IF(BC$4=1,IF(OR(INDEX('×入力'!$A$1:$L$1300,623+BC$3,2+BC$2)&lt;&gt;"",INDEX('×入力'!$A$1:$L$1300,622,2+BC$2)&lt;&gt;"",INDEX('×入力'!$A$1:$L$1300,623+BC$3,1)&lt;&gt;""),1,0),0)</f>
        <v/>
      </c>
      <c r="BD32">
        <f>IF(BD$4=1,IF(OR(INDEX('×入力'!$A$1:$L$1300,623+BD$3,2+BD$2)&lt;&gt;"",INDEX('×入力'!$A$1:$L$1300,622,2+BD$2)&lt;&gt;"",INDEX('×入力'!$A$1:$L$1300,623+BD$3,1)&lt;&gt;""),1,0),0)</f>
        <v/>
      </c>
      <c r="BE32">
        <f>IF(BE$4=1,IF(OR(INDEX('×入力'!$A$1:$L$1300,623+BE$3,2+BE$2)&lt;&gt;"",INDEX('×入力'!$A$1:$L$1300,622,2+BE$2)&lt;&gt;"",INDEX('×入力'!$A$1:$L$1300,623+BE$3,1)&lt;&gt;""),1,0),0)</f>
        <v/>
      </c>
      <c r="BF32">
        <f>IF(BF$4=1,IF(OR(INDEX('×入力'!$A$1:$L$1300,623+BF$3,2+BF$2)&lt;&gt;"",INDEX('×入力'!$A$1:$L$1300,622,2+BF$2)&lt;&gt;"",INDEX('×入力'!$A$1:$L$1300,623+BF$3,1)&lt;&gt;""),1,0),0)</f>
        <v/>
      </c>
      <c r="BG32">
        <f>IF(BG$4=1,IF(OR(INDEX('×入力'!$A$1:$L$1300,623+BG$3,2+BG$2)&lt;&gt;"",INDEX('×入力'!$A$1:$L$1300,622,2+BG$2)&lt;&gt;"",INDEX('×入力'!$A$1:$L$1300,623+BG$3,1)&lt;&gt;""),1,0),0)</f>
        <v/>
      </c>
      <c r="BH32">
        <f>IF(BH$4=1,IF(OR(INDEX('×入力'!$A$1:$L$1300,623+BH$3,2+BH$2)&lt;&gt;"",INDEX('×入力'!$A$1:$L$1300,622,2+BH$2)&lt;&gt;"",INDEX('×入力'!$A$1:$L$1300,623+BH$3,1)&lt;&gt;""),1,0),0)</f>
        <v/>
      </c>
      <c r="BI32">
        <f>IF(BI$4=1,IF(OR(INDEX('×入力'!$A$1:$L$1300,623+BI$3,2+BI$2)&lt;&gt;"",INDEX('×入力'!$A$1:$L$1300,622,2+BI$2)&lt;&gt;"",INDEX('×入力'!$A$1:$L$1300,623+BI$3,1)&lt;&gt;""),1,0),0)</f>
        <v/>
      </c>
      <c r="BJ32">
        <f>IF(BJ$4=1,IF(OR(INDEX('×入力'!$A$1:$L$1300,623+BJ$3,2+BJ$2)&lt;&gt;"",INDEX('×入力'!$A$1:$L$1300,622,2+BJ$2)&lt;&gt;"",INDEX('×入力'!$A$1:$L$1300,623+BJ$3,1)&lt;&gt;""),1,0),0)</f>
        <v/>
      </c>
      <c r="BK32">
        <f>IF(BK$4=1,IF(OR(INDEX('×入力'!$A$1:$L$1300,623+BK$3,2+BK$2)&lt;&gt;"",INDEX('×入力'!$A$1:$L$1300,622,2+BK$2)&lt;&gt;"",INDEX('×入力'!$A$1:$L$1300,623+BK$3,1)&lt;&gt;""),1,0),0)</f>
        <v/>
      </c>
      <c r="BL32">
        <f>IF(BL$4=1,IF(OR(INDEX('×入力'!$A$1:$L$1300,623+BL$3,2+BL$2)&lt;&gt;"",INDEX('×入力'!$A$1:$L$1300,622,2+BL$2)&lt;&gt;"",INDEX('×入力'!$A$1:$L$1300,623+BL$3,1)&lt;&gt;""),1,0),0)</f>
        <v/>
      </c>
      <c r="BM32">
        <f>IF(BM$4=1,IF(OR(INDEX('×入力'!$A$1:$L$1300,623+BM$3,2+BM$2)&lt;&gt;"",INDEX('×入力'!$A$1:$L$1300,622,2+BM$2)&lt;&gt;"",INDEX('×入力'!$A$1:$L$1300,623+BM$3,1)&lt;&gt;""),1,0),0)</f>
        <v/>
      </c>
      <c r="BN32">
        <f>IF(BN$4=1,IF(OR(INDEX('×入力'!$A$1:$L$1300,623+BN$3,2+BN$2)&lt;&gt;"",INDEX('×入力'!$A$1:$L$1300,622,2+BN$2)&lt;&gt;"",INDEX('×入力'!$A$1:$L$1300,623+BN$3,1)&lt;&gt;""),1,0),0)</f>
        <v/>
      </c>
      <c r="BO32">
        <f>IF(BO$4=1,IF(OR(INDEX('×入力'!$A$1:$L$1300,623+BO$3,2+BO$2)&lt;&gt;"",INDEX('×入力'!$A$1:$L$1300,622,2+BO$2)&lt;&gt;"",INDEX('×入力'!$A$1:$L$1300,623+BO$3,1)&lt;&gt;""),1,0),0)</f>
        <v/>
      </c>
      <c r="BP32">
        <f>IF(BP$4=1,IF(OR(INDEX('×入力'!$A$1:$L$1300,623+BP$3,2+BP$2)&lt;&gt;"",INDEX('×入力'!$A$1:$L$1300,622,2+BP$2)&lt;&gt;"",INDEX('×入力'!$A$1:$L$1300,623+BP$3,1)&lt;&gt;""),1,0),0)</f>
        <v/>
      </c>
      <c r="BQ32">
        <f>IF(BQ$4=1,IF(OR(INDEX('×入力'!$A$1:$L$1300,623+BQ$3,2+BQ$2)&lt;&gt;"",INDEX('×入力'!$A$1:$L$1300,622,2+BQ$2)&lt;&gt;"",INDEX('×入力'!$A$1:$L$1300,623+BQ$3,1)&lt;&gt;""),1,0),0)</f>
        <v/>
      </c>
      <c r="BR32">
        <f>IF(BR$4=1,IF(OR(INDEX('×入力'!$A$1:$L$1300,623+BR$3,2+BR$2)&lt;&gt;"",INDEX('×入力'!$A$1:$L$1300,622,2+BR$2)&lt;&gt;"",INDEX('×入力'!$A$1:$L$1300,623+BR$3,1)&lt;&gt;""),1,0),0)</f>
        <v/>
      </c>
      <c r="BS32">
        <f>IF(BS$4=1,IF(OR(INDEX('×入力'!$A$1:$L$1300,623+BS$3,2+BS$2)&lt;&gt;"",INDEX('×入力'!$A$1:$L$1300,622,2+BS$2)&lt;&gt;"",INDEX('×入力'!$A$1:$L$1300,623+BS$3,1)&lt;&gt;""),1,0),0)</f>
        <v/>
      </c>
      <c r="BT32">
        <f>IF(BT$4=1,IF(OR(INDEX('×入力'!$A$1:$L$1300,623+BT$3,2+BT$2)&lt;&gt;"",INDEX('×入力'!$A$1:$L$1300,622,2+BT$2)&lt;&gt;"",INDEX('×入力'!$A$1:$L$1300,623+BT$3,1)&lt;&gt;""),1,0),0)</f>
        <v/>
      </c>
      <c r="BU32">
        <f>IF(BU$4=1,IF(OR(INDEX('×入力'!$A$1:$L$1300,623+BU$3,2+BU$2)&lt;&gt;"",INDEX('×入力'!$A$1:$L$1300,622,2+BU$2)&lt;&gt;"",INDEX('×入力'!$A$1:$L$1300,623+BU$3,1)&lt;&gt;""),1,0),0)</f>
        <v/>
      </c>
      <c r="BV32">
        <f>IF(BV$4=1,IF(OR(INDEX('×入力'!$A$1:$L$1300,623+BV$3,2+BV$2)&lt;&gt;"",INDEX('×入力'!$A$1:$L$1300,622,2+BV$2)&lt;&gt;"",INDEX('×入力'!$A$1:$L$1300,623+BV$3,1)&lt;&gt;""),1,0),0)</f>
        <v/>
      </c>
      <c r="BW32">
        <f>IF(BW$4=1,IF(OR(INDEX('×入力'!$A$1:$L$1300,623+BW$3,2+BW$2)&lt;&gt;"",INDEX('×入力'!$A$1:$L$1300,622,2+BW$2)&lt;&gt;"",INDEX('×入力'!$A$1:$L$1300,623+BW$3,1)&lt;&gt;""),1,0),0)</f>
        <v/>
      </c>
      <c r="BX32">
        <f>IF(BX$4=1,IF(OR(INDEX('×入力'!$A$1:$L$1300,623+BX$3,2+BX$2)&lt;&gt;"",INDEX('×入力'!$A$1:$L$1300,622,2+BX$2)&lt;&gt;"",INDEX('×入力'!$A$1:$L$1300,623+BX$3,1)&lt;&gt;""),1,0),0)</f>
        <v/>
      </c>
      <c r="BY32">
        <f>IF(BY$4=1,IF(OR(INDEX('×入力'!$A$1:$L$1300,623+BY$3,2+BY$2)&lt;&gt;"",INDEX('×入力'!$A$1:$L$1300,622,2+BY$2)&lt;&gt;"",INDEX('×入力'!$A$1:$L$1300,623+BY$3,1)&lt;&gt;""),1,0),0)</f>
        <v/>
      </c>
      <c r="BZ32">
        <f>IF(BZ$4=1,IF(OR(INDEX('×入力'!$A$1:$L$1300,623+BZ$3,2+BZ$2)&lt;&gt;"",INDEX('×入力'!$A$1:$L$1300,622,2+BZ$2)&lt;&gt;"",INDEX('×入力'!$A$1:$L$1300,623+BZ$3,1)&lt;&gt;""),1,0),0)</f>
        <v/>
      </c>
      <c r="CA32">
        <f>IF(CA$4=1,IF(OR(INDEX('×入力'!$A$1:$L$1300,623+CA$3,2+CA$2)&lt;&gt;"",INDEX('×入力'!$A$1:$L$1300,622,2+CA$2)&lt;&gt;"",INDEX('×入力'!$A$1:$L$1300,623+CA$3,1)&lt;&gt;""),1,0),0)</f>
        <v/>
      </c>
      <c r="CB32">
        <f>IF(CB$4=1,IF(OR(INDEX('×入力'!$A$1:$L$1300,623+CB$3,2+CB$2)&lt;&gt;"",INDEX('×入力'!$A$1:$L$1300,622,2+CB$2)&lt;&gt;"",INDEX('×入力'!$A$1:$L$1300,623+CB$3,1)&lt;&gt;""),1,0),0)</f>
        <v/>
      </c>
      <c r="CC32">
        <f>IF(CC$4=1,IF(OR(INDEX('×入力'!$A$1:$L$1300,623+CC$3,2+CC$2)&lt;&gt;"",INDEX('×入力'!$A$1:$L$1300,622,2+CC$2)&lt;&gt;"",INDEX('×入力'!$A$1:$L$1300,623+CC$3,1)&lt;&gt;""),1,0),0)</f>
        <v/>
      </c>
      <c r="CD32">
        <f>IF(CD$4=1,IF(OR(INDEX('×入力'!$A$1:$L$1300,623+CD$3,2+CD$2)&lt;&gt;"",INDEX('×入力'!$A$1:$L$1300,622,2+CD$2)&lt;&gt;"",INDEX('×入力'!$A$1:$L$1300,623+CD$3,1)&lt;&gt;""),1,0),0)</f>
        <v/>
      </c>
      <c r="CE32">
        <f>IF(CE$4=1,IF(OR(INDEX('×入力'!$A$1:$L$1300,623+CE$3,2+CE$2)&lt;&gt;"",INDEX('×入力'!$A$1:$L$1300,622,2+CE$2)&lt;&gt;"",INDEX('×入力'!$A$1:$L$1300,623+CE$3,1)&lt;&gt;""),1,0),0)</f>
        <v/>
      </c>
      <c r="CF32">
        <f>IF(CF$4=1,IF(OR(INDEX('×入力'!$A$1:$L$1300,623+CF$3,2+CF$2)&lt;&gt;"",INDEX('×入力'!$A$1:$L$1300,622,2+CF$2)&lt;&gt;"",INDEX('×入力'!$A$1:$L$1300,623+CF$3,1)&lt;&gt;""),1,0),0)</f>
        <v/>
      </c>
      <c r="CG32">
        <f>IF(CG$4=1,IF(OR(INDEX('×入力'!$A$1:$L$1300,623+CG$3,2+CG$2)&lt;&gt;"",INDEX('×入力'!$A$1:$L$1300,622,2+CG$2)&lt;&gt;"",INDEX('×入力'!$A$1:$L$1300,623+CG$3,1)&lt;&gt;""),1,0),0)</f>
        <v/>
      </c>
      <c r="CH32">
        <f>IF(CH$4=1,IF(OR(INDEX('×入力'!$A$1:$L$1300,623+CH$3,2+CH$2)&lt;&gt;"",INDEX('×入力'!$A$1:$L$1300,622,2+CH$2)&lt;&gt;"",INDEX('×入力'!$A$1:$L$1300,623+CH$3,1)&lt;&gt;""),1,0),0)</f>
        <v/>
      </c>
      <c r="CI32">
        <f>IF(CI$4=1,IF(OR(INDEX('×入力'!$A$1:$L$1300,623+CI$3,2+CI$2)&lt;&gt;"",INDEX('×入力'!$A$1:$L$1300,622,2+CI$2)&lt;&gt;"",INDEX('×入力'!$A$1:$L$1300,623+CI$3,1)&lt;&gt;""),1,0),0)</f>
        <v/>
      </c>
      <c r="CJ32">
        <f>IF(CJ$4=1,IF(OR(INDEX('×入力'!$A$1:$L$1300,623+CJ$3,2+CJ$2)&lt;&gt;"",INDEX('×入力'!$A$1:$L$1300,622,2+CJ$2)&lt;&gt;"",INDEX('×入力'!$A$1:$L$1300,623+CJ$3,1)&lt;&gt;""),1,0),0)</f>
        <v/>
      </c>
      <c r="CK32">
        <f>IF(CK$4=1,IF(OR(INDEX('×入力'!$A$1:$L$1300,623+CK$3,2+CK$2)&lt;&gt;"",INDEX('×入力'!$A$1:$L$1300,622,2+CK$2)&lt;&gt;"",INDEX('×入力'!$A$1:$L$1300,623+CK$3,1)&lt;&gt;""),1,0),0)</f>
        <v/>
      </c>
      <c r="CL32">
        <f>IF(CL$4=1,IF(OR(INDEX('×入力'!$A$1:$L$1300,623+CL$3,2+CL$2)&lt;&gt;"",INDEX('×入力'!$A$1:$L$1300,622,2+CL$2)&lt;&gt;"",INDEX('×入力'!$A$1:$L$1300,623+CL$3,1)&lt;&gt;""),1,0),0)</f>
        <v/>
      </c>
      <c r="CM32">
        <f>IF(CM$4=1,IF(OR(INDEX('×入力'!$A$1:$L$1300,623+CM$3,2+CM$2)&lt;&gt;"",INDEX('×入力'!$A$1:$L$1300,622,2+CM$2)&lt;&gt;"",INDEX('×入力'!$A$1:$L$1300,623+CM$3,1)&lt;&gt;""),1,0),0)</f>
        <v/>
      </c>
      <c r="CN32">
        <f>IF(CN$4=1,IF(OR(INDEX('×入力'!$A$1:$L$1300,623+CN$3,2+CN$2)&lt;&gt;"",INDEX('×入力'!$A$1:$L$1300,622,2+CN$2)&lt;&gt;"",INDEX('×入力'!$A$1:$L$1300,623+CN$3,1)&lt;&gt;""),1,0),0)</f>
        <v/>
      </c>
      <c r="CO32">
        <f>IF(CO$4=1,IF(OR(INDEX('×入力'!$A$1:$L$1300,623+CO$3,2+CO$2)&lt;&gt;"",INDEX('×入力'!$A$1:$L$1300,622,2+CO$2)&lt;&gt;"",INDEX('×入力'!$A$1:$L$1300,623+CO$3,1)&lt;&gt;""),1,0),0)</f>
        <v/>
      </c>
      <c r="CP32">
        <f>IF(CP$4=1,IF(OR(INDEX('×入力'!$A$1:$L$1300,623+CP$3,2+CP$2)&lt;&gt;"",INDEX('×入力'!$A$1:$L$1300,622,2+CP$2)&lt;&gt;"",INDEX('×入力'!$A$1:$L$1300,623+CP$3,1)&lt;&gt;""),1,0),0)</f>
        <v/>
      </c>
      <c r="CQ32">
        <f>IF(CQ$4=1,IF(OR(INDEX('×入力'!$A$1:$L$1300,623+CQ$3,2+CQ$2)&lt;&gt;"",INDEX('×入力'!$A$1:$L$1300,622,2+CQ$2)&lt;&gt;"",INDEX('×入力'!$A$1:$L$1300,623+CQ$3,1)&lt;&gt;""),1,0),0)</f>
        <v/>
      </c>
      <c r="CR32">
        <f>IF(CR$4=1,IF(OR(INDEX('×入力'!$A$1:$L$1300,623+CR$3,2+CR$2)&lt;&gt;"",INDEX('×入力'!$A$1:$L$1300,622,2+CR$2)&lt;&gt;"",INDEX('×入力'!$A$1:$L$1300,623+CR$3,1)&lt;&gt;""),1,0),0)</f>
        <v/>
      </c>
      <c r="CS32">
        <f>IF(CS$4=1,IF(OR(INDEX('×入力'!$A$1:$L$1300,623+CS$3,2+CS$2)&lt;&gt;"",INDEX('×入力'!$A$1:$L$1300,622,2+CS$2)&lt;&gt;"",INDEX('×入力'!$A$1:$L$1300,623+CS$3,1)&lt;&gt;""),1,0),0)</f>
        <v/>
      </c>
      <c r="CT32">
        <f>IF(CT$4=1,IF(OR(INDEX('×入力'!$A$1:$L$1300,623+CT$3,2+CT$2)&lt;&gt;"",INDEX('×入力'!$A$1:$L$1300,622,2+CT$2)&lt;&gt;"",INDEX('×入力'!$A$1:$L$1300,623+CT$3,1)&lt;&gt;""),1,0),0)</f>
        <v/>
      </c>
      <c r="CU32">
        <f>IF(CU$4=1,IF(OR(INDEX('×入力'!$A$1:$L$1300,623+CU$3,2+CU$2)&lt;&gt;"",INDEX('×入力'!$A$1:$L$1300,622,2+CU$2)&lt;&gt;"",INDEX('×入力'!$A$1:$L$1300,623+CU$3,1)&lt;&gt;""),1,0),0)</f>
        <v/>
      </c>
      <c r="CV32">
        <f>IF(CV$4=1,IF(OR(INDEX('×入力'!$A$1:$L$1300,623+CV$3,2+CV$2)&lt;&gt;"",INDEX('×入力'!$A$1:$L$1300,622,2+CV$2)&lt;&gt;"",INDEX('×入力'!$A$1:$L$1300,623+CV$3,1)&lt;&gt;""),1,0),0)</f>
        <v/>
      </c>
      <c r="CW32">
        <f>IF(CW$4=1,IF(OR(INDEX('×入力'!$A$1:$L$1300,623+CW$3,2+CW$2)&lt;&gt;"",INDEX('×入力'!$A$1:$L$1300,622,2+CW$2)&lt;&gt;"",INDEX('×入力'!$A$1:$L$1300,623+CW$3,1)&lt;&gt;""),1,0),0)</f>
        <v/>
      </c>
      <c r="CX32">
        <f>IF(CX$4=1,IF(OR(INDEX('×入力'!$A$1:$L$1300,623+CX$3,2+CX$2)&lt;&gt;"",INDEX('×入力'!$A$1:$L$1300,622,2+CX$2)&lt;&gt;"",INDEX('×入力'!$A$1:$L$1300,623+CX$3,1)&lt;&gt;""),1,0),0)</f>
        <v/>
      </c>
      <c r="CY32">
        <f>IF(CY$4=1,IF(OR(INDEX('×入力'!$A$1:$L$1300,623+CY$3,2+CY$2)&lt;&gt;"",INDEX('×入力'!$A$1:$L$1300,622,2+CY$2)&lt;&gt;"",INDEX('×入力'!$A$1:$L$1300,623+CY$3,1)&lt;&gt;""),1,0),0)</f>
        <v/>
      </c>
      <c r="CZ32">
        <f>IF(CZ$4=1,IF(OR(INDEX('×入力'!$A$1:$L$1300,623+CZ$3,2+CZ$2)&lt;&gt;"",INDEX('×入力'!$A$1:$L$1300,622,2+CZ$2)&lt;&gt;"",INDEX('×入力'!$A$1:$L$1300,623+CZ$3,1)&lt;&gt;""),1,0),0)</f>
        <v/>
      </c>
      <c r="DA32">
        <f>IF(DA$4=1,IF(OR(INDEX('×入力'!$A$1:$L$1300,623+DA$3,2+DA$2)&lt;&gt;"",INDEX('×入力'!$A$1:$L$1300,622,2+DA$2)&lt;&gt;"",INDEX('×入力'!$A$1:$L$1300,623+DA$3,1)&lt;&gt;""),1,0),0)</f>
        <v/>
      </c>
      <c r="DB32">
        <f>IF(DB$4=1,IF(OR(INDEX('×入力'!$A$1:$L$1300,623+DB$3,2+DB$2)&lt;&gt;"",INDEX('×入力'!$A$1:$L$1300,622,2+DB$2)&lt;&gt;"",INDEX('×入力'!$A$1:$L$1300,623+DB$3,1)&lt;&gt;""),1,0),0)</f>
        <v/>
      </c>
      <c r="DC32">
        <f>IF(DC$4=1,IF(OR(INDEX('×入力'!$A$1:$L$1300,623+DC$3,2+DC$2)&lt;&gt;"",INDEX('×入力'!$A$1:$L$1300,622,2+DC$2)&lt;&gt;"",INDEX('×入力'!$A$1:$L$1300,623+DC$3,1)&lt;&gt;""),1,0),0)</f>
        <v/>
      </c>
      <c r="DD32">
        <f>IF(DD$4=1,IF(OR(INDEX('×入力'!$A$1:$L$1300,623+DD$3,2+DD$2)&lt;&gt;"",INDEX('×入力'!$A$1:$L$1300,622,2+DD$2)&lt;&gt;"",INDEX('×入力'!$A$1:$L$1300,623+DD$3,1)&lt;&gt;""),1,0),0)</f>
        <v/>
      </c>
      <c r="DE32">
        <f>IF(DE$4=1,IF(OR(INDEX('×入力'!$A$1:$L$1300,623+DE$3,2+DE$2)&lt;&gt;"",INDEX('×入力'!$A$1:$L$1300,622,2+DE$2)&lt;&gt;"",INDEX('×入力'!$A$1:$L$1300,623+DE$3,1)&lt;&gt;""),1,0),0)</f>
        <v/>
      </c>
      <c r="DF32">
        <f>IF(DF$4=1,IF(OR(INDEX('×入力'!$A$1:$L$1300,623+DF$3,2+DF$2)&lt;&gt;"",INDEX('×入力'!$A$1:$L$1300,622,2+DF$2)&lt;&gt;"",INDEX('×入力'!$A$1:$L$1300,623+DF$3,1)&lt;&gt;""),1,0),0)</f>
        <v/>
      </c>
      <c r="DG32">
        <f>IF(DG$4=1,IF(OR(INDEX('×入力'!$A$1:$L$1300,623+DG$3,2+DG$2)&lt;&gt;"",INDEX('×入力'!$A$1:$L$1300,622,2+DG$2)&lt;&gt;"",INDEX('×入力'!$A$1:$L$1300,623+DG$3,1)&lt;&gt;""),1,0),0)</f>
        <v/>
      </c>
      <c r="DH32">
        <f>IF(DH$4=1,IF(OR(INDEX('×入力'!$A$1:$L$1300,623+DH$3,2+DH$2)&lt;&gt;"",INDEX('×入力'!$A$1:$L$1300,622,2+DH$2)&lt;&gt;"",INDEX('×入力'!$A$1:$L$1300,623+DH$3,1)&lt;&gt;""),1,0),0)</f>
        <v/>
      </c>
      <c r="DI32">
        <f>IF(DI$4=1,IF(OR(INDEX('×入力'!$A$1:$L$1300,623+DI$3,2+DI$2)&lt;&gt;"",INDEX('×入力'!$A$1:$L$1300,622,2+DI$2)&lt;&gt;"",INDEX('×入力'!$A$1:$L$1300,623+DI$3,1)&lt;&gt;""),1,0),0)</f>
        <v/>
      </c>
      <c r="DJ32">
        <f>IF(DJ$4=1,IF(OR(INDEX('×入力'!$A$1:$L$1300,623+DJ$3,2+DJ$2)&lt;&gt;"",INDEX('×入力'!$A$1:$L$1300,622,2+DJ$2)&lt;&gt;"",INDEX('×入力'!$A$1:$L$1300,623+DJ$3,1)&lt;&gt;""),1,0),0)</f>
        <v/>
      </c>
      <c r="DK32">
        <f>IF(DK$4=1,IF(OR(INDEX('×入力'!$A$1:$L$1300,623+DK$3,2+DK$2)&lt;&gt;"",INDEX('×入力'!$A$1:$L$1300,622,2+DK$2)&lt;&gt;"",INDEX('×入力'!$A$1:$L$1300,623+DK$3,1)&lt;&gt;""),1,0),0)</f>
        <v/>
      </c>
      <c r="DL32">
        <f>IF(DL$4=1,IF(OR(INDEX('×入力'!$A$1:$L$1300,623+DL$3,2+DL$2)&lt;&gt;"",INDEX('×入力'!$A$1:$L$1300,622,2+DL$2)&lt;&gt;"",INDEX('×入力'!$A$1:$L$1300,623+DL$3,1)&lt;&gt;""),1,0),0)</f>
        <v/>
      </c>
      <c r="DM32">
        <f>IF(DM$4=1,IF(OR(INDEX('×入力'!$A$1:$L$1300,623+DM$3,2+DM$2)&lt;&gt;"",INDEX('×入力'!$A$1:$L$1300,622,2+DM$2)&lt;&gt;"",INDEX('×入力'!$A$1:$L$1300,623+DM$3,1)&lt;&gt;""),1,0),0)</f>
        <v/>
      </c>
      <c r="DN32">
        <f>IF(DN$4=1,IF(OR(INDEX('×入力'!$A$1:$L$1300,623+DN$3,2+DN$2)&lt;&gt;"",INDEX('×入力'!$A$1:$L$1300,622,2+DN$2)&lt;&gt;"",INDEX('×入力'!$A$1:$L$1300,623+DN$3,1)&lt;&gt;""),1,0),0)</f>
        <v/>
      </c>
      <c r="DO32">
        <f>IF(DO$4=1,IF(OR(INDEX('×入力'!$A$1:$L$1300,623+DO$3,2+DO$2)&lt;&gt;"",INDEX('×入力'!$A$1:$L$1300,622,2+DO$2)&lt;&gt;"",INDEX('×入力'!$A$1:$L$1300,623+DO$3,1)&lt;&gt;""),1,0),0)</f>
        <v/>
      </c>
      <c r="DP32">
        <f>IF(DP$4=1,IF(OR(INDEX('×入力'!$A$1:$L$1300,623+DP$3,2+DP$2)&lt;&gt;"",INDEX('×入力'!$A$1:$L$1300,622,2+DP$2)&lt;&gt;"",INDEX('×入力'!$A$1:$L$1300,623+DP$3,1)&lt;&gt;""),1,0),0)</f>
        <v/>
      </c>
      <c r="DQ32">
        <f>IF(DQ$4=1,IF(OR(INDEX('×入力'!$A$1:$L$1300,623+DQ$3,2+DQ$2)&lt;&gt;"",INDEX('×入力'!$A$1:$L$1300,622,2+DQ$2)&lt;&gt;"",INDEX('×入力'!$A$1:$L$1300,623+DQ$3,1)&lt;&gt;""),1,0),0)</f>
        <v/>
      </c>
      <c r="DR32">
        <f>IF(DR$4=1,IF(OR(INDEX('×入力'!$A$1:$L$1300,623+DR$3,2+DR$2)&lt;&gt;"",INDEX('×入力'!$A$1:$L$1300,622,2+DR$2)&lt;&gt;"",INDEX('×入力'!$A$1:$L$1300,623+DR$3,1)&lt;&gt;""),1,0),0)</f>
        <v/>
      </c>
      <c r="DS32">
        <f>IF(DS$4=1,IF(OR(INDEX('×入力'!$A$1:$L$1300,623+DS$3,2+DS$2)&lt;&gt;"",INDEX('×入力'!$A$1:$L$1300,622,2+DS$2)&lt;&gt;"",INDEX('×入力'!$A$1:$L$1300,623+DS$3,1)&lt;&gt;""),1,0),0)</f>
        <v/>
      </c>
      <c r="DT32">
        <f>IF(DT$4=1,IF(OR(INDEX('×入力'!$A$1:$L$1300,623+DT$3,2+DT$2)&lt;&gt;"",INDEX('×入力'!$A$1:$L$1300,622,2+DT$2)&lt;&gt;"",INDEX('×入力'!$A$1:$L$1300,623+DT$3,1)&lt;&gt;""),1,0),0)</f>
        <v/>
      </c>
      <c r="DU32">
        <f>IF(DU$4=1,IF(OR(INDEX('×入力'!$A$1:$L$1300,623+DU$3,2+DU$2)&lt;&gt;"",INDEX('×入力'!$A$1:$L$1300,622,2+DU$2)&lt;&gt;"",INDEX('×入力'!$A$1:$L$1300,623+DU$3,1)&lt;&gt;""),1,0),0)</f>
        <v/>
      </c>
      <c r="DV32">
        <f>IF(DV$4=1,IF(OR(INDEX('×入力'!$A$1:$L$1300,623+DV$3,2+DV$2)&lt;&gt;"",INDEX('×入力'!$A$1:$L$1300,622,2+DV$2)&lt;&gt;"",INDEX('×入力'!$A$1:$L$1300,623+DV$3,1)&lt;&gt;""),1,0),0)</f>
        <v/>
      </c>
      <c r="DW32">
        <f>IF(DW$4=1,IF(OR(INDEX('×入力'!$A$1:$L$1300,623+DW$3,2+DW$2)&lt;&gt;"",INDEX('×入力'!$A$1:$L$1300,622,2+DW$2)&lt;&gt;"",INDEX('×入力'!$A$1:$L$1300,623+DW$3,1)&lt;&gt;""),1,0),0)</f>
        <v/>
      </c>
      <c r="DX32">
        <f>IF(DX$4=1,IF(OR(INDEX('×入力'!$A$1:$L$1300,623+DX$3,2+DX$2)&lt;&gt;"",INDEX('×入力'!$A$1:$L$1300,622,2+DX$2)&lt;&gt;"",INDEX('×入力'!$A$1:$L$1300,623+DX$3,1)&lt;&gt;""),1,0),0)</f>
        <v/>
      </c>
      <c r="DY32">
        <f>IF(DY$4=1,IF(OR(INDEX('×入力'!$A$1:$L$1300,623+DY$3,2+DY$2)&lt;&gt;"",INDEX('×入力'!$A$1:$L$1300,622,2+DY$2)&lt;&gt;"",INDEX('×入力'!$A$1:$L$1300,623+DY$3,1)&lt;&gt;""),1,0),0)</f>
        <v/>
      </c>
      <c r="DZ32">
        <f>IF(DZ$4=1,IF(OR(INDEX('×入力'!$A$1:$L$1300,623+DZ$3,2+DZ$2)&lt;&gt;"",INDEX('×入力'!$A$1:$L$1300,622,2+DZ$2)&lt;&gt;"",INDEX('×入力'!$A$1:$L$1300,623+DZ$3,1)&lt;&gt;""),1,0),0)</f>
        <v/>
      </c>
      <c r="EA32">
        <f>IF(EA$4=1,IF(OR(INDEX('×入力'!$A$1:$L$1300,623+EA$3,2+EA$2)&lt;&gt;"",INDEX('×入力'!$A$1:$L$1300,622,2+EA$2)&lt;&gt;"",INDEX('×入力'!$A$1:$L$1300,623+EA$3,1)&lt;&gt;""),1,0),0)</f>
        <v/>
      </c>
      <c r="EB32">
        <f>IF(EB$4=1,IF(OR(INDEX('×入力'!$A$1:$L$1300,623+EB$3,2+EB$2)&lt;&gt;"",INDEX('×入力'!$A$1:$L$1300,622,2+EB$2)&lt;&gt;"",INDEX('×入力'!$A$1:$L$1300,623+EB$3,1)&lt;&gt;""),1,0),0)</f>
        <v/>
      </c>
      <c r="EC32">
        <f>IF(EC$4=1,IF(OR(INDEX('×入力'!$A$1:$L$1300,623+EC$3,2+EC$2)&lt;&gt;"",INDEX('×入力'!$A$1:$L$1300,622,2+EC$2)&lt;&gt;"",INDEX('×入力'!$A$1:$L$1300,623+EC$3,1)&lt;&gt;""),1,0),0)</f>
        <v/>
      </c>
      <c r="ED32">
        <f>IF(ED$4=1,IF(OR(INDEX('×入力'!$A$1:$L$1300,623+ED$3,2+ED$2)&lt;&gt;"",INDEX('×入力'!$A$1:$L$1300,622,2+ED$2)&lt;&gt;"",INDEX('×入力'!$A$1:$L$1300,623+ED$3,1)&lt;&gt;""),1,0),0)</f>
        <v/>
      </c>
      <c r="EE32">
        <f>IF(EE$4=1,IF(OR(INDEX('×入力'!$A$1:$L$1300,623+EE$3,2+EE$2)&lt;&gt;"",INDEX('×入力'!$A$1:$L$1300,622,2+EE$2)&lt;&gt;"",INDEX('×入力'!$A$1:$L$1300,623+EE$3,1)&lt;&gt;""),1,0),0)</f>
        <v/>
      </c>
      <c r="EF32">
        <f>IF(EF$4=1,IF(OR(INDEX('×入力'!$A$1:$L$1300,623+EF$3,2+EF$2)&lt;&gt;"",INDEX('×入力'!$A$1:$L$1300,622,2+EF$2)&lt;&gt;"",INDEX('×入力'!$A$1:$L$1300,623+EF$3,1)&lt;&gt;""),1,0),0)</f>
        <v/>
      </c>
      <c r="EG32">
        <f>IF(EG$4=1,IF(OR(INDEX('×入力'!$A$1:$L$1300,623+EG$3,2+EG$2)&lt;&gt;"",INDEX('×入力'!$A$1:$L$1300,622,2+EG$2)&lt;&gt;"",INDEX('×入力'!$A$1:$L$1300,623+EG$3,1)&lt;&gt;""),1,0),0)</f>
        <v/>
      </c>
      <c r="EH32">
        <f>IF(EH$4=1,IF(OR(INDEX('×入力'!$A$1:$L$1300,623+EH$3,2+EH$2)&lt;&gt;"",INDEX('×入力'!$A$1:$L$1300,622,2+EH$2)&lt;&gt;"",INDEX('×入力'!$A$1:$L$1300,623+EH$3,1)&lt;&gt;""),1,0),0)</f>
        <v/>
      </c>
      <c r="EI32">
        <f>IF(EI$4=1,IF(OR(INDEX('×入力'!$A$1:$L$1300,623+EI$3,2+EI$2)&lt;&gt;"",INDEX('×入力'!$A$1:$L$1300,622,2+EI$2)&lt;&gt;"",INDEX('×入力'!$A$1:$L$1300,623+EI$3,1)&lt;&gt;""),1,0),0)</f>
        <v/>
      </c>
      <c r="EJ32">
        <f>IF(EJ$4=1,IF(OR(INDEX('×入力'!$A$1:$L$1300,623+EJ$3,2+EJ$2)&lt;&gt;"",INDEX('×入力'!$A$1:$L$1300,622,2+EJ$2)&lt;&gt;"",INDEX('×入力'!$A$1:$L$1300,623+EJ$3,1)&lt;&gt;""),1,0),0)</f>
        <v/>
      </c>
      <c r="EK32">
        <f>IF(EK$4=1,IF(OR(INDEX('×入力'!$A$1:$L$1300,623+EK$3,2+EK$2)&lt;&gt;"",INDEX('×入力'!$A$1:$L$1300,622,2+EK$2)&lt;&gt;"",INDEX('×入力'!$A$1:$L$1300,623+EK$3,1)&lt;&gt;""),1,0),0)</f>
        <v/>
      </c>
      <c r="EL32">
        <f>IF(EL$4=1,IF(OR(INDEX('×入力'!$A$1:$L$1300,623+EL$3,2+EL$2)&lt;&gt;"",INDEX('×入力'!$A$1:$L$1300,622,2+EL$2)&lt;&gt;"",INDEX('×入力'!$A$1:$L$1300,623+EL$3,1)&lt;&gt;""),1,0),0)</f>
        <v/>
      </c>
      <c r="EM32">
        <f>IF(EM$4=1,IF(OR(INDEX('×入力'!$A$1:$L$1300,623+EM$3,2+EM$2)&lt;&gt;"",INDEX('×入力'!$A$1:$L$1300,622,2+EM$2)&lt;&gt;"",INDEX('×入力'!$A$1:$L$1300,623+EM$3,1)&lt;&gt;""),1,0),0)</f>
        <v/>
      </c>
      <c r="EN32">
        <f>IF(EN$4=1,IF(OR(INDEX('×入力'!$A$1:$L$1300,623+EN$3,2+EN$2)&lt;&gt;"",INDEX('×入力'!$A$1:$L$1300,622,2+EN$2)&lt;&gt;"",INDEX('×入力'!$A$1:$L$1300,623+EN$3,1)&lt;&gt;""),1,0),0)</f>
        <v/>
      </c>
      <c r="EO32">
        <f>IF(EO$4=1,IF(OR(INDEX('×入力'!$A$1:$L$1300,623+EO$3,2+EO$2)&lt;&gt;"",INDEX('×入力'!$A$1:$L$1300,622,2+EO$2)&lt;&gt;"",INDEX('×入力'!$A$1:$L$1300,623+EO$3,1)&lt;&gt;""),1,0),0)</f>
        <v/>
      </c>
      <c r="EP32">
        <f>IF(EP$4=1,IF(OR(INDEX('×入力'!$A$1:$L$1300,623+EP$3,2+EP$2)&lt;&gt;"",INDEX('×入力'!$A$1:$L$1300,622,2+EP$2)&lt;&gt;"",INDEX('×入力'!$A$1:$L$1300,623+EP$3,1)&lt;&gt;""),1,0),0)</f>
        <v/>
      </c>
      <c r="EQ32">
        <f>IF(EQ$4=1,IF(OR(INDEX('×入力'!$A$1:$L$1300,623+EQ$3,2+EQ$2)&lt;&gt;"",INDEX('×入力'!$A$1:$L$1300,622,2+EQ$2)&lt;&gt;"",INDEX('×入力'!$A$1:$L$1300,623+EQ$3,1)&lt;&gt;""),1,0),0)</f>
        <v/>
      </c>
      <c r="HA32">
        <f>MAX(0,IT32)</f>
        <v/>
      </c>
      <c r="HB32">
        <f>IF(HA32=0,0,INDEX($D$2:$EQ$2,HA32))</f>
        <v/>
      </c>
      <c r="HC32">
        <f>IF(HA32=0,0,INDEX($D$3:$EQ$3,HA32))</f>
        <v/>
      </c>
      <c r="HD32">
        <f>MAX(0,IY32)</f>
        <v/>
      </c>
      <c r="HE32">
        <f>IF(HD32=0,0,INDEX($D$2:$EQ$2,HD32))</f>
        <v/>
      </c>
      <c r="HF32">
        <f>IF(HD32=0,0,INDEX($D$3:$EQ$3,HD32))</f>
        <v/>
      </c>
      <c r="HG32">
        <f>MAX(0,IZ32)</f>
        <v/>
      </c>
      <c r="HH32">
        <f>IF(HG32=0,0,INDEX($D$2:$EQ$2,HG32))</f>
        <v/>
      </c>
      <c r="HI32">
        <f>IF(HG32=0,0,INDEX($D$3:$EQ$3,HG32))</f>
        <v/>
      </c>
      <c r="HJ32">
        <f>IF(AND(HA32&gt;0,HC32&gt;1,OR(HC32-1&lt;&gt;$A$3,$A$4=0)),HA32-1,-1)</f>
        <v/>
      </c>
      <c r="HK32">
        <f>IF(AND(HA32&gt;0,HC32&lt;24,OR(HC32&lt;&gt;$A$3,$A$4=0)),HA32+1,-1)</f>
        <v/>
      </c>
      <c r="HL32">
        <f>IF(AND(HD32&gt;0,HF32&gt;1,OR(HF32-1&lt;&gt;$A$3,$A$4=0)),HD32-1,-1)</f>
        <v/>
      </c>
      <c r="HM32">
        <f>IF(AND(HD32&gt;0,HF32&lt;24,OR(HF32&lt;&gt;$A$3,$A$4=0)),HD32+1,-1)</f>
        <v/>
      </c>
      <c r="HN32">
        <f>IF(AND(HG32&gt;0,HI32&gt;1,OR(HI32-1&lt;&gt;$A$3,$A$4=0)),HG32-1,-1)</f>
        <v/>
      </c>
      <c r="HO32">
        <f>IF(AND(HG32&gt;0,HI32&lt;24,OR(HI32&lt;&gt;$A$3,$A$4=0)),HG32+1,-1)</f>
        <v/>
      </c>
      <c r="IK32">
        <f>IFERROR(INDEX('calcB'!$C$3:$C$47,MATCH(A32,'calcB'!$B$3:$B$47,0)),0)</f>
        <v/>
      </c>
      <c r="IL32">
        <f>IF(AND(C32=1,IK32=0,calcA!$A$6&gt;0),1,0)</f>
        <v/>
      </c>
      <c r="IM32">
        <f>SUMPRODUCT(D82:EQ82*(1-$D$7:$EQ$7))</f>
        <v/>
      </c>
      <c r="IN32">
        <f>SUM(D32:EQ32)</f>
        <v/>
      </c>
      <c r="IO32">
        <f>IF(B32="",0,IF(COUNTIF('調整・決定'!$C$6:$H$29,B32)=1,SUMPRODUCT(('調整・決定'!$C$6:$H$29=B32)*((COLUMN('調整・決定'!$C$6:$H$29)-3)*24+ROW('調整・決定'!$C$6:$H$29)-5)),0))</f>
        <v/>
      </c>
      <c r="IP32">
        <f>IFERROR(MATCH('名簿'!C27,{"早い時刻","遅い時刻","早い日","遅い日"},0),0)</f>
        <v/>
      </c>
      <c r="IQ32">
        <f>IF('名簿'!D27="必ず空けたい",2,IF('名簿'!D27="出来れば空けたい",1,0))</f>
        <v/>
      </c>
      <c r="IR32">
        <f>IFERROR(INDEX('calcC'!$C$3:$C$47,MATCH(A32,'calcC'!$B$3:$B$47,0)),0)</f>
        <v/>
      </c>
      <c r="IS32">
        <f>IF(AND(C32=1,IR32=0,calcA!$A$6&gt;0),1,0)</f>
        <v/>
      </c>
      <c r="IT32">
        <f>IF(OR('名簿'!G27="",'名簿'!H27=""),0,IFERROR((MATCH('名簿'!G27,'設定'!$E$11:$E$16,0)-1)*24+MATCH('名簿'!H27,'設定'!$I$11:$I$34,0),-1))</f>
        <v/>
      </c>
      <c r="IV32">
        <f>IF(OR(JF32=0,IO32=0),1,IF(OR(IF(IT32&gt;0,AND(INDEX($D$2:$EQ$2,IO32)=INDEX($D$2:$EQ$2,IT32),OR(AND(IO32=IT32+1,OR(INDEX($D$3:$EQ$3,IT32)&lt;&gt;$A$3,$A$4=0)),AND(IO32=IT32-1,OR(INDEX($D$3:$EQ$3,IO32)&lt;&gt;$A$3,$A$4=0)))),FALSE),IF(IY32&gt;0,AND(INDEX($D$2:$EQ$2,IO32)=INDEX($D$2:$EQ$2,IY32),OR(AND(IO32=IY32+1,OR(INDEX($D$3:$EQ$3,IY32)&lt;&gt;$A$3,$A$4=0)),AND(IO32=IY32-1,OR(INDEX($D$3:$EQ$3,IO32)&lt;&gt;$A$3,$A$4=0)))),FALSE),IF(IZ32&gt;0,AND(INDEX($D$2:$EQ$2,IO32)=INDEX($D$2:$EQ$2,IZ32),OR(AND(IO32=IZ32+1,OR(INDEX($D$3:$EQ$3,IZ32)&lt;&gt;$A$3,$A$4=0)),AND(IO32=IZ32-1,OR(INDEX($D$3:$EQ$3,IO32)&lt;&gt;$A$3,$A$4=0)))),FALSE)),1,0))</f>
        <v/>
      </c>
      <c r="IW32">
        <f>IF(AND('名簿'!E27&lt;&gt;"",JF32=0),1,0)</f>
        <v/>
      </c>
      <c r="IX32">
        <f>IF('名簿'!D27="空けない",1,0)</f>
        <v/>
      </c>
      <c r="IY32">
        <f>IF(OR('名簿'!J27="",'名簿'!K27=""),0,IFERROR((MATCH('名簿'!J27,'設定'!$E$11:$E$16,0)-1)*24+MATCH('名簿'!K27,'設定'!$I$11:$I$34,0),-1))</f>
        <v/>
      </c>
      <c r="IZ32">
        <f>IF(OR('名簿'!M27="",'名簿'!N27=""),0,IFERROR((MATCH('名簿'!M27,'設定'!$E$11:$E$16,0)-1)*24+MATCH('名簿'!N27,'設定'!$I$11:$I$34,0),-1))</f>
        <v/>
      </c>
      <c r="JC32">
        <f>IF(RIGHT('名簿'!I27,2)="の前",1,IF(RIGHT('名簿'!I27,2)="の後",2,0))</f>
        <v/>
      </c>
      <c r="JD32">
        <f>IF(RIGHT('名簿'!L27,2)="の前",1,IF(RIGHT('名簿'!L27,2)="の後",2,0))</f>
        <v/>
      </c>
      <c r="JE32">
        <f>IF(RIGHT('名簿'!O27,2)="の前",1,IF(RIGHT('名簿'!O27,2)="の後",2,0))</f>
        <v/>
      </c>
      <c r="JF32">
        <f>IF(OR(IT32&gt;0,IY32&gt;0,IZ32&gt;0),1,0)</f>
        <v/>
      </c>
      <c r="JG32">
        <f>IF(OR(IT32&lt;0,IY32&lt;0,IZ32&lt;0),1,0)</f>
        <v/>
      </c>
    </row>
    <row r="33">
      <c r="A33" t="n">
        <v>24</v>
      </c>
      <c r="B33">
        <f>'名簿'!P28</f>
        <v/>
      </c>
      <c r="C33">
        <f>IF(AND(B33&lt;&gt;"",OR('名簿'!Q28="入力済み",'名簿'!Q28="×なし"),IO33=0,COUNTIF('調整・決定'!$C$6:$H$29,B33)=0),1,0)</f>
        <v/>
      </c>
      <c r="D33">
        <f>IF(D$4=1,IF(OR(INDEX('×入力'!$A$1:$L$1300,651+D$3,2+D$2)&lt;&gt;"",INDEX('×入力'!$A$1:$L$1300,650,2+D$2)&lt;&gt;"",INDEX('×入力'!$A$1:$L$1300,651+D$3,1)&lt;&gt;""),1,0),0)</f>
        <v/>
      </c>
      <c r="E33">
        <f>IF(E$4=1,IF(OR(INDEX('×入力'!$A$1:$L$1300,651+E$3,2+E$2)&lt;&gt;"",INDEX('×入力'!$A$1:$L$1300,650,2+E$2)&lt;&gt;"",INDEX('×入力'!$A$1:$L$1300,651+E$3,1)&lt;&gt;""),1,0),0)</f>
        <v/>
      </c>
      <c r="F33">
        <f>IF(F$4=1,IF(OR(INDEX('×入力'!$A$1:$L$1300,651+F$3,2+F$2)&lt;&gt;"",INDEX('×入力'!$A$1:$L$1300,650,2+F$2)&lt;&gt;"",INDEX('×入力'!$A$1:$L$1300,651+F$3,1)&lt;&gt;""),1,0),0)</f>
        <v/>
      </c>
      <c r="G33">
        <f>IF(G$4=1,IF(OR(INDEX('×入力'!$A$1:$L$1300,651+G$3,2+G$2)&lt;&gt;"",INDEX('×入力'!$A$1:$L$1300,650,2+G$2)&lt;&gt;"",INDEX('×入力'!$A$1:$L$1300,651+G$3,1)&lt;&gt;""),1,0),0)</f>
        <v/>
      </c>
      <c r="H33">
        <f>IF(H$4=1,IF(OR(INDEX('×入力'!$A$1:$L$1300,651+H$3,2+H$2)&lt;&gt;"",INDEX('×入力'!$A$1:$L$1300,650,2+H$2)&lt;&gt;"",INDEX('×入力'!$A$1:$L$1300,651+H$3,1)&lt;&gt;""),1,0),0)</f>
        <v/>
      </c>
      <c r="I33">
        <f>IF(I$4=1,IF(OR(INDEX('×入力'!$A$1:$L$1300,651+I$3,2+I$2)&lt;&gt;"",INDEX('×入力'!$A$1:$L$1300,650,2+I$2)&lt;&gt;"",INDEX('×入力'!$A$1:$L$1300,651+I$3,1)&lt;&gt;""),1,0),0)</f>
        <v/>
      </c>
      <c r="J33">
        <f>IF(J$4=1,IF(OR(INDEX('×入力'!$A$1:$L$1300,651+J$3,2+J$2)&lt;&gt;"",INDEX('×入力'!$A$1:$L$1300,650,2+J$2)&lt;&gt;"",INDEX('×入力'!$A$1:$L$1300,651+J$3,1)&lt;&gt;""),1,0),0)</f>
        <v/>
      </c>
      <c r="K33">
        <f>IF(K$4=1,IF(OR(INDEX('×入力'!$A$1:$L$1300,651+K$3,2+K$2)&lt;&gt;"",INDEX('×入力'!$A$1:$L$1300,650,2+K$2)&lt;&gt;"",INDEX('×入力'!$A$1:$L$1300,651+K$3,1)&lt;&gt;""),1,0),0)</f>
        <v/>
      </c>
      <c r="L33">
        <f>IF(L$4=1,IF(OR(INDEX('×入力'!$A$1:$L$1300,651+L$3,2+L$2)&lt;&gt;"",INDEX('×入力'!$A$1:$L$1300,650,2+L$2)&lt;&gt;"",INDEX('×入力'!$A$1:$L$1300,651+L$3,1)&lt;&gt;""),1,0),0)</f>
        <v/>
      </c>
      <c r="M33">
        <f>IF(M$4=1,IF(OR(INDEX('×入力'!$A$1:$L$1300,651+M$3,2+M$2)&lt;&gt;"",INDEX('×入力'!$A$1:$L$1300,650,2+M$2)&lt;&gt;"",INDEX('×入力'!$A$1:$L$1300,651+M$3,1)&lt;&gt;""),1,0),0)</f>
        <v/>
      </c>
      <c r="N33">
        <f>IF(N$4=1,IF(OR(INDEX('×入力'!$A$1:$L$1300,651+N$3,2+N$2)&lt;&gt;"",INDEX('×入力'!$A$1:$L$1300,650,2+N$2)&lt;&gt;"",INDEX('×入力'!$A$1:$L$1300,651+N$3,1)&lt;&gt;""),1,0),0)</f>
        <v/>
      </c>
      <c r="O33">
        <f>IF(O$4=1,IF(OR(INDEX('×入力'!$A$1:$L$1300,651+O$3,2+O$2)&lt;&gt;"",INDEX('×入力'!$A$1:$L$1300,650,2+O$2)&lt;&gt;"",INDEX('×入力'!$A$1:$L$1300,651+O$3,1)&lt;&gt;""),1,0),0)</f>
        <v/>
      </c>
      <c r="P33">
        <f>IF(P$4=1,IF(OR(INDEX('×入力'!$A$1:$L$1300,651+P$3,2+P$2)&lt;&gt;"",INDEX('×入力'!$A$1:$L$1300,650,2+P$2)&lt;&gt;"",INDEX('×入力'!$A$1:$L$1300,651+P$3,1)&lt;&gt;""),1,0),0)</f>
        <v/>
      </c>
      <c r="Q33">
        <f>IF(Q$4=1,IF(OR(INDEX('×入力'!$A$1:$L$1300,651+Q$3,2+Q$2)&lt;&gt;"",INDEX('×入力'!$A$1:$L$1300,650,2+Q$2)&lt;&gt;"",INDEX('×入力'!$A$1:$L$1300,651+Q$3,1)&lt;&gt;""),1,0),0)</f>
        <v/>
      </c>
      <c r="R33">
        <f>IF(R$4=1,IF(OR(INDEX('×入力'!$A$1:$L$1300,651+R$3,2+R$2)&lt;&gt;"",INDEX('×入力'!$A$1:$L$1300,650,2+R$2)&lt;&gt;"",INDEX('×入力'!$A$1:$L$1300,651+R$3,1)&lt;&gt;""),1,0),0)</f>
        <v/>
      </c>
      <c r="S33">
        <f>IF(S$4=1,IF(OR(INDEX('×入力'!$A$1:$L$1300,651+S$3,2+S$2)&lt;&gt;"",INDEX('×入力'!$A$1:$L$1300,650,2+S$2)&lt;&gt;"",INDEX('×入力'!$A$1:$L$1300,651+S$3,1)&lt;&gt;""),1,0),0)</f>
        <v/>
      </c>
      <c r="T33">
        <f>IF(T$4=1,IF(OR(INDEX('×入力'!$A$1:$L$1300,651+T$3,2+T$2)&lt;&gt;"",INDEX('×入力'!$A$1:$L$1300,650,2+T$2)&lt;&gt;"",INDEX('×入力'!$A$1:$L$1300,651+T$3,1)&lt;&gt;""),1,0),0)</f>
        <v/>
      </c>
      <c r="U33">
        <f>IF(U$4=1,IF(OR(INDEX('×入力'!$A$1:$L$1300,651+U$3,2+U$2)&lt;&gt;"",INDEX('×入力'!$A$1:$L$1300,650,2+U$2)&lt;&gt;"",INDEX('×入力'!$A$1:$L$1300,651+U$3,1)&lt;&gt;""),1,0),0)</f>
        <v/>
      </c>
      <c r="V33">
        <f>IF(V$4=1,IF(OR(INDEX('×入力'!$A$1:$L$1300,651+V$3,2+V$2)&lt;&gt;"",INDEX('×入力'!$A$1:$L$1300,650,2+V$2)&lt;&gt;"",INDEX('×入力'!$A$1:$L$1300,651+V$3,1)&lt;&gt;""),1,0),0)</f>
        <v/>
      </c>
      <c r="W33">
        <f>IF(W$4=1,IF(OR(INDEX('×入力'!$A$1:$L$1300,651+W$3,2+W$2)&lt;&gt;"",INDEX('×入力'!$A$1:$L$1300,650,2+W$2)&lt;&gt;"",INDEX('×入力'!$A$1:$L$1300,651+W$3,1)&lt;&gt;""),1,0),0)</f>
        <v/>
      </c>
      <c r="X33">
        <f>IF(X$4=1,IF(OR(INDEX('×入力'!$A$1:$L$1300,651+X$3,2+X$2)&lt;&gt;"",INDEX('×入力'!$A$1:$L$1300,650,2+X$2)&lt;&gt;"",INDEX('×入力'!$A$1:$L$1300,651+X$3,1)&lt;&gt;""),1,0),0)</f>
        <v/>
      </c>
      <c r="Y33">
        <f>IF(Y$4=1,IF(OR(INDEX('×入力'!$A$1:$L$1300,651+Y$3,2+Y$2)&lt;&gt;"",INDEX('×入力'!$A$1:$L$1300,650,2+Y$2)&lt;&gt;"",INDEX('×入力'!$A$1:$L$1300,651+Y$3,1)&lt;&gt;""),1,0),0)</f>
        <v/>
      </c>
      <c r="Z33">
        <f>IF(Z$4=1,IF(OR(INDEX('×入力'!$A$1:$L$1300,651+Z$3,2+Z$2)&lt;&gt;"",INDEX('×入力'!$A$1:$L$1300,650,2+Z$2)&lt;&gt;"",INDEX('×入力'!$A$1:$L$1300,651+Z$3,1)&lt;&gt;""),1,0),0)</f>
        <v/>
      </c>
      <c r="AA33">
        <f>IF(AA$4=1,IF(OR(INDEX('×入力'!$A$1:$L$1300,651+AA$3,2+AA$2)&lt;&gt;"",INDEX('×入力'!$A$1:$L$1300,650,2+AA$2)&lt;&gt;"",INDEX('×入力'!$A$1:$L$1300,651+AA$3,1)&lt;&gt;""),1,0),0)</f>
        <v/>
      </c>
      <c r="AB33">
        <f>IF(AB$4=1,IF(OR(INDEX('×入力'!$A$1:$L$1300,651+AB$3,2+AB$2)&lt;&gt;"",INDEX('×入力'!$A$1:$L$1300,650,2+AB$2)&lt;&gt;"",INDEX('×入力'!$A$1:$L$1300,651+AB$3,1)&lt;&gt;""),1,0),0)</f>
        <v/>
      </c>
      <c r="AC33">
        <f>IF(AC$4=1,IF(OR(INDEX('×入力'!$A$1:$L$1300,651+AC$3,2+AC$2)&lt;&gt;"",INDEX('×入力'!$A$1:$L$1300,650,2+AC$2)&lt;&gt;"",INDEX('×入力'!$A$1:$L$1300,651+AC$3,1)&lt;&gt;""),1,0),0)</f>
        <v/>
      </c>
      <c r="AD33">
        <f>IF(AD$4=1,IF(OR(INDEX('×入力'!$A$1:$L$1300,651+AD$3,2+AD$2)&lt;&gt;"",INDEX('×入力'!$A$1:$L$1300,650,2+AD$2)&lt;&gt;"",INDEX('×入力'!$A$1:$L$1300,651+AD$3,1)&lt;&gt;""),1,0),0)</f>
        <v/>
      </c>
      <c r="AE33">
        <f>IF(AE$4=1,IF(OR(INDEX('×入力'!$A$1:$L$1300,651+AE$3,2+AE$2)&lt;&gt;"",INDEX('×入力'!$A$1:$L$1300,650,2+AE$2)&lt;&gt;"",INDEX('×入力'!$A$1:$L$1300,651+AE$3,1)&lt;&gt;""),1,0),0)</f>
        <v/>
      </c>
      <c r="AF33">
        <f>IF(AF$4=1,IF(OR(INDEX('×入力'!$A$1:$L$1300,651+AF$3,2+AF$2)&lt;&gt;"",INDEX('×入力'!$A$1:$L$1300,650,2+AF$2)&lt;&gt;"",INDEX('×入力'!$A$1:$L$1300,651+AF$3,1)&lt;&gt;""),1,0),0)</f>
        <v/>
      </c>
      <c r="AG33">
        <f>IF(AG$4=1,IF(OR(INDEX('×入力'!$A$1:$L$1300,651+AG$3,2+AG$2)&lt;&gt;"",INDEX('×入力'!$A$1:$L$1300,650,2+AG$2)&lt;&gt;"",INDEX('×入力'!$A$1:$L$1300,651+AG$3,1)&lt;&gt;""),1,0),0)</f>
        <v/>
      </c>
      <c r="AH33">
        <f>IF(AH$4=1,IF(OR(INDEX('×入力'!$A$1:$L$1300,651+AH$3,2+AH$2)&lt;&gt;"",INDEX('×入力'!$A$1:$L$1300,650,2+AH$2)&lt;&gt;"",INDEX('×入力'!$A$1:$L$1300,651+AH$3,1)&lt;&gt;""),1,0),0)</f>
        <v/>
      </c>
      <c r="AI33">
        <f>IF(AI$4=1,IF(OR(INDEX('×入力'!$A$1:$L$1300,651+AI$3,2+AI$2)&lt;&gt;"",INDEX('×入力'!$A$1:$L$1300,650,2+AI$2)&lt;&gt;"",INDEX('×入力'!$A$1:$L$1300,651+AI$3,1)&lt;&gt;""),1,0),0)</f>
        <v/>
      </c>
      <c r="AJ33">
        <f>IF(AJ$4=1,IF(OR(INDEX('×入力'!$A$1:$L$1300,651+AJ$3,2+AJ$2)&lt;&gt;"",INDEX('×入力'!$A$1:$L$1300,650,2+AJ$2)&lt;&gt;"",INDEX('×入力'!$A$1:$L$1300,651+AJ$3,1)&lt;&gt;""),1,0),0)</f>
        <v/>
      </c>
      <c r="AK33">
        <f>IF(AK$4=1,IF(OR(INDEX('×入力'!$A$1:$L$1300,651+AK$3,2+AK$2)&lt;&gt;"",INDEX('×入力'!$A$1:$L$1300,650,2+AK$2)&lt;&gt;"",INDEX('×入力'!$A$1:$L$1300,651+AK$3,1)&lt;&gt;""),1,0),0)</f>
        <v/>
      </c>
      <c r="AL33">
        <f>IF(AL$4=1,IF(OR(INDEX('×入力'!$A$1:$L$1300,651+AL$3,2+AL$2)&lt;&gt;"",INDEX('×入力'!$A$1:$L$1300,650,2+AL$2)&lt;&gt;"",INDEX('×入力'!$A$1:$L$1300,651+AL$3,1)&lt;&gt;""),1,0),0)</f>
        <v/>
      </c>
      <c r="AM33">
        <f>IF(AM$4=1,IF(OR(INDEX('×入力'!$A$1:$L$1300,651+AM$3,2+AM$2)&lt;&gt;"",INDEX('×入力'!$A$1:$L$1300,650,2+AM$2)&lt;&gt;"",INDEX('×入力'!$A$1:$L$1300,651+AM$3,1)&lt;&gt;""),1,0),0)</f>
        <v/>
      </c>
      <c r="AN33">
        <f>IF(AN$4=1,IF(OR(INDEX('×入力'!$A$1:$L$1300,651+AN$3,2+AN$2)&lt;&gt;"",INDEX('×入力'!$A$1:$L$1300,650,2+AN$2)&lt;&gt;"",INDEX('×入力'!$A$1:$L$1300,651+AN$3,1)&lt;&gt;""),1,0),0)</f>
        <v/>
      </c>
      <c r="AO33">
        <f>IF(AO$4=1,IF(OR(INDEX('×入力'!$A$1:$L$1300,651+AO$3,2+AO$2)&lt;&gt;"",INDEX('×入力'!$A$1:$L$1300,650,2+AO$2)&lt;&gt;"",INDEX('×入力'!$A$1:$L$1300,651+AO$3,1)&lt;&gt;""),1,0),0)</f>
        <v/>
      </c>
      <c r="AP33">
        <f>IF(AP$4=1,IF(OR(INDEX('×入力'!$A$1:$L$1300,651+AP$3,2+AP$2)&lt;&gt;"",INDEX('×入力'!$A$1:$L$1300,650,2+AP$2)&lt;&gt;"",INDEX('×入力'!$A$1:$L$1300,651+AP$3,1)&lt;&gt;""),1,0),0)</f>
        <v/>
      </c>
      <c r="AQ33">
        <f>IF(AQ$4=1,IF(OR(INDEX('×入力'!$A$1:$L$1300,651+AQ$3,2+AQ$2)&lt;&gt;"",INDEX('×入力'!$A$1:$L$1300,650,2+AQ$2)&lt;&gt;"",INDEX('×入力'!$A$1:$L$1300,651+AQ$3,1)&lt;&gt;""),1,0),0)</f>
        <v/>
      </c>
      <c r="AR33">
        <f>IF(AR$4=1,IF(OR(INDEX('×入力'!$A$1:$L$1300,651+AR$3,2+AR$2)&lt;&gt;"",INDEX('×入力'!$A$1:$L$1300,650,2+AR$2)&lt;&gt;"",INDEX('×入力'!$A$1:$L$1300,651+AR$3,1)&lt;&gt;""),1,0),0)</f>
        <v/>
      </c>
      <c r="AS33">
        <f>IF(AS$4=1,IF(OR(INDEX('×入力'!$A$1:$L$1300,651+AS$3,2+AS$2)&lt;&gt;"",INDEX('×入力'!$A$1:$L$1300,650,2+AS$2)&lt;&gt;"",INDEX('×入力'!$A$1:$L$1300,651+AS$3,1)&lt;&gt;""),1,0),0)</f>
        <v/>
      </c>
      <c r="AT33">
        <f>IF(AT$4=1,IF(OR(INDEX('×入力'!$A$1:$L$1300,651+AT$3,2+AT$2)&lt;&gt;"",INDEX('×入力'!$A$1:$L$1300,650,2+AT$2)&lt;&gt;"",INDEX('×入力'!$A$1:$L$1300,651+AT$3,1)&lt;&gt;""),1,0),0)</f>
        <v/>
      </c>
      <c r="AU33">
        <f>IF(AU$4=1,IF(OR(INDEX('×入力'!$A$1:$L$1300,651+AU$3,2+AU$2)&lt;&gt;"",INDEX('×入力'!$A$1:$L$1300,650,2+AU$2)&lt;&gt;"",INDEX('×入力'!$A$1:$L$1300,651+AU$3,1)&lt;&gt;""),1,0),0)</f>
        <v/>
      </c>
      <c r="AV33">
        <f>IF(AV$4=1,IF(OR(INDEX('×入力'!$A$1:$L$1300,651+AV$3,2+AV$2)&lt;&gt;"",INDEX('×入力'!$A$1:$L$1300,650,2+AV$2)&lt;&gt;"",INDEX('×入力'!$A$1:$L$1300,651+AV$3,1)&lt;&gt;""),1,0),0)</f>
        <v/>
      </c>
      <c r="AW33">
        <f>IF(AW$4=1,IF(OR(INDEX('×入力'!$A$1:$L$1300,651+AW$3,2+AW$2)&lt;&gt;"",INDEX('×入力'!$A$1:$L$1300,650,2+AW$2)&lt;&gt;"",INDEX('×入力'!$A$1:$L$1300,651+AW$3,1)&lt;&gt;""),1,0),0)</f>
        <v/>
      </c>
      <c r="AX33">
        <f>IF(AX$4=1,IF(OR(INDEX('×入力'!$A$1:$L$1300,651+AX$3,2+AX$2)&lt;&gt;"",INDEX('×入力'!$A$1:$L$1300,650,2+AX$2)&lt;&gt;"",INDEX('×入力'!$A$1:$L$1300,651+AX$3,1)&lt;&gt;""),1,0),0)</f>
        <v/>
      </c>
      <c r="AY33">
        <f>IF(AY$4=1,IF(OR(INDEX('×入力'!$A$1:$L$1300,651+AY$3,2+AY$2)&lt;&gt;"",INDEX('×入力'!$A$1:$L$1300,650,2+AY$2)&lt;&gt;"",INDEX('×入力'!$A$1:$L$1300,651+AY$3,1)&lt;&gt;""),1,0),0)</f>
        <v/>
      </c>
      <c r="AZ33">
        <f>IF(AZ$4=1,IF(OR(INDEX('×入力'!$A$1:$L$1300,651+AZ$3,2+AZ$2)&lt;&gt;"",INDEX('×入力'!$A$1:$L$1300,650,2+AZ$2)&lt;&gt;"",INDEX('×入力'!$A$1:$L$1300,651+AZ$3,1)&lt;&gt;""),1,0),0)</f>
        <v/>
      </c>
      <c r="BA33">
        <f>IF(BA$4=1,IF(OR(INDEX('×入力'!$A$1:$L$1300,651+BA$3,2+BA$2)&lt;&gt;"",INDEX('×入力'!$A$1:$L$1300,650,2+BA$2)&lt;&gt;"",INDEX('×入力'!$A$1:$L$1300,651+BA$3,1)&lt;&gt;""),1,0),0)</f>
        <v/>
      </c>
      <c r="BB33">
        <f>IF(BB$4=1,IF(OR(INDEX('×入力'!$A$1:$L$1300,651+BB$3,2+BB$2)&lt;&gt;"",INDEX('×入力'!$A$1:$L$1300,650,2+BB$2)&lt;&gt;"",INDEX('×入力'!$A$1:$L$1300,651+BB$3,1)&lt;&gt;""),1,0),0)</f>
        <v/>
      </c>
      <c r="BC33">
        <f>IF(BC$4=1,IF(OR(INDEX('×入力'!$A$1:$L$1300,651+BC$3,2+BC$2)&lt;&gt;"",INDEX('×入力'!$A$1:$L$1300,650,2+BC$2)&lt;&gt;"",INDEX('×入力'!$A$1:$L$1300,651+BC$3,1)&lt;&gt;""),1,0),0)</f>
        <v/>
      </c>
      <c r="BD33">
        <f>IF(BD$4=1,IF(OR(INDEX('×入力'!$A$1:$L$1300,651+BD$3,2+BD$2)&lt;&gt;"",INDEX('×入力'!$A$1:$L$1300,650,2+BD$2)&lt;&gt;"",INDEX('×入力'!$A$1:$L$1300,651+BD$3,1)&lt;&gt;""),1,0),0)</f>
        <v/>
      </c>
      <c r="BE33">
        <f>IF(BE$4=1,IF(OR(INDEX('×入力'!$A$1:$L$1300,651+BE$3,2+BE$2)&lt;&gt;"",INDEX('×入力'!$A$1:$L$1300,650,2+BE$2)&lt;&gt;"",INDEX('×入力'!$A$1:$L$1300,651+BE$3,1)&lt;&gt;""),1,0),0)</f>
        <v/>
      </c>
      <c r="BF33">
        <f>IF(BF$4=1,IF(OR(INDEX('×入力'!$A$1:$L$1300,651+BF$3,2+BF$2)&lt;&gt;"",INDEX('×入力'!$A$1:$L$1300,650,2+BF$2)&lt;&gt;"",INDEX('×入力'!$A$1:$L$1300,651+BF$3,1)&lt;&gt;""),1,0),0)</f>
        <v/>
      </c>
      <c r="BG33">
        <f>IF(BG$4=1,IF(OR(INDEX('×入力'!$A$1:$L$1300,651+BG$3,2+BG$2)&lt;&gt;"",INDEX('×入力'!$A$1:$L$1300,650,2+BG$2)&lt;&gt;"",INDEX('×入力'!$A$1:$L$1300,651+BG$3,1)&lt;&gt;""),1,0),0)</f>
        <v/>
      </c>
      <c r="BH33">
        <f>IF(BH$4=1,IF(OR(INDEX('×入力'!$A$1:$L$1300,651+BH$3,2+BH$2)&lt;&gt;"",INDEX('×入力'!$A$1:$L$1300,650,2+BH$2)&lt;&gt;"",INDEX('×入力'!$A$1:$L$1300,651+BH$3,1)&lt;&gt;""),1,0),0)</f>
        <v/>
      </c>
      <c r="BI33">
        <f>IF(BI$4=1,IF(OR(INDEX('×入力'!$A$1:$L$1300,651+BI$3,2+BI$2)&lt;&gt;"",INDEX('×入力'!$A$1:$L$1300,650,2+BI$2)&lt;&gt;"",INDEX('×入力'!$A$1:$L$1300,651+BI$3,1)&lt;&gt;""),1,0),0)</f>
        <v/>
      </c>
      <c r="BJ33">
        <f>IF(BJ$4=1,IF(OR(INDEX('×入力'!$A$1:$L$1300,651+BJ$3,2+BJ$2)&lt;&gt;"",INDEX('×入力'!$A$1:$L$1300,650,2+BJ$2)&lt;&gt;"",INDEX('×入力'!$A$1:$L$1300,651+BJ$3,1)&lt;&gt;""),1,0),0)</f>
        <v/>
      </c>
      <c r="BK33">
        <f>IF(BK$4=1,IF(OR(INDEX('×入力'!$A$1:$L$1300,651+BK$3,2+BK$2)&lt;&gt;"",INDEX('×入力'!$A$1:$L$1300,650,2+BK$2)&lt;&gt;"",INDEX('×入力'!$A$1:$L$1300,651+BK$3,1)&lt;&gt;""),1,0),0)</f>
        <v/>
      </c>
      <c r="BL33">
        <f>IF(BL$4=1,IF(OR(INDEX('×入力'!$A$1:$L$1300,651+BL$3,2+BL$2)&lt;&gt;"",INDEX('×入力'!$A$1:$L$1300,650,2+BL$2)&lt;&gt;"",INDEX('×入力'!$A$1:$L$1300,651+BL$3,1)&lt;&gt;""),1,0),0)</f>
        <v/>
      </c>
      <c r="BM33">
        <f>IF(BM$4=1,IF(OR(INDEX('×入力'!$A$1:$L$1300,651+BM$3,2+BM$2)&lt;&gt;"",INDEX('×入力'!$A$1:$L$1300,650,2+BM$2)&lt;&gt;"",INDEX('×入力'!$A$1:$L$1300,651+BM$3,1)&lt;&gt;""),1,0),0)</f>
        <v/>
      </c>
      <c r="BN33">
        <f>IF(BN$4=1,IF(OR(INDEX('×入力'!$A$1:$L$1300,651+BN$3,2+BN$2)&lt;&gt;"",INDEX('×入力'!$A$1:$L$1300,650,2+BN$2)&lt;&gt;"",INDEX('×入力'!$A$1:$L$1300,651+BN$3,1)&lt;&gt;""),1,0),0)</f>
        <v/>
      </c>
      <c r="BO33">
        <f>IF(BO$4=1,IF(OR(INDEX('×入力'!$A$1:$L$1300,651+BO$3,2+BO$2)&lt;&gt;"",INDEX('×入力'!$A$1:$L$1300,650,2+BO$2)&lt;&gt;"",INDEX('×入力'!$A$1:$L$1300,651+BO$3,1)&lt;&gt;""),1,0),0)</f>
        <v/>
      </c>
      <c r="BP33">
        <f>IF(BP$4=1,IF(OR(INDEX('×入力'!$A$1:$L$1300,651+BP$3,2+BP$2)&lt;&gt;"",INDEX('×入力'!$A$1:$L$1300,650,2+BP$2)&lt;&gt;"",INDEX('×入力'!$A$1:$L$1300,651+BP$3,1)&lt;&gt;""),1,0),0)</f>
        <v/>
      </c>
      <c r="BQ33">
        <f>IF(BQ$4=1,IF(OR(INDEX('×入力'!$A$1:$L$1300,651+BQ$3,2+BQ$2)&lt;&gt;"",INDEX('×入力'!$A$1:$L$1300,650,2+BQ$2)&lt;&gt;"",INDEX('×入力'!$A$1:$L$1300,651+BQ$3,1)&lt;&gt;""),1,0),0)</f>
        <v/>
      </c>
      <c r="BR33">
        <f>IF(BR$4=1,IF(OR(INDEX('×入力'!$A$1:$L$1300,651+BR$3,2+BR$2)&lt;&gt;"",INDEX('×入力'!$A$1:$L$1300,650,2+BR$2)&lt;&gt;"",INDEX('×入力'!$A$1:$L$1300,651+BR$3,1)&lt;&gt;""),1,0),0)</f>
        <v/>
      </c>
      <c r="BS33">
        <f>IF(BS$4=1,IF(OR(INDEX('×入力'!$A$1:$L$1300,651+BS$3,2+BS$2)&lt;&gt;"",INDEX('×入力'!$A$1:$L$1300,650,2+BS$2)&lt;&gt;"",INDEX('×入力'!$A$1:$L$1300,651+BS$3,1)&lt;&gt;""),1,0),0)</f>
        <v/>
      </c>
      <c r="BT33">
        <f>IF(BT$4=1,IF(OR(INDEX('×入力'!$A$1:$L$1300,651+BT$3,2+BT$2)&lt;&gt;"",INDEX('×入力'!$A$1:$L$1300,650,2+BT$2)&lt;&gt;"",INDEX('×入力'!$A$1:$L$1300,651+BT$3,1)&lt;&gt;""),1,0),0)</f>
        <v/>
      </c>
      <c r="BU33">
        <f>IF(BU$4=1,IF(OR(INDEX('×入力'!$A$1:$L$1300,651+BU$3,2+BU$2)&lt;&gt;"",INDEX('×入力'!$A$1:$L$1300,650,2+BU$2)&lt;&gt;"",INDEX('×入力'!$A$1:$L$1300,651+BU$3,1)&lt;&gt;""),1,0),0)</f>
        <v/>
      </c>
      <c r="BV33">
        <f>IF(BV$4=1,IF(OR(INDEX('×入力'!$A$1:$L$1300,651+BV$3,2+BV$2)&lt;&gt;"",INDEX('×入力'!$A$1:$L$1300,650,2+BV$2)&lt;&gt;"",INDEX('×入力'!$A$1:$L$1300,651+BV$3,1)&lt;&gt;""),1,0),0)</f>
        <v/>
      </c>
      <c r="BW33">
        <f>IF(BW$4=1,IF(OR(INDEX('×入力'!$A$1:$L$1300,651+BW$3,2+BW$2)&lt;&gt;"",INDEX('×入力'!$A$1:$L$1300,650,2+BW$2)&lt;&gt;"",INDEX('×入力'!$A$1:$L$1300,651+BW$3,1)&lt;&gt;""),1,0),0)</f>
        <v/>
      </c>
      <c r="BX33">
        <f>IF(BX$4=1,IF(OR(INDEX('×入力'!$A$1:$L$1300,651+BX$3,2+BX$2)&lt;&gt;"",INDEX('×入力'!$A$1:$L$1300,650,2+BX$2)&lt;&gt;"",INDEX('×入力'!$A$1:$L$1300,651+BX$3,1)&lt;&gt;""),1,0),0)</f>
        <v/>
      </c>
      <c r="BY33">
        <f>IF(BY$4=1,IF(OR(INDEX('×入力'!$A$1:$L$1300,651+BY$3,2+BY$2)&lt;&gt;"",INDEX('×入力'!$A$1:$L$1300,650,2+BY$2)&lt;&gt;"",INDEX('×入力'!$A$1:$L$1300,651+BY$3,1)&lt;&gt;""),1,0),0)</f>
        <v/>
      </c>
      <c r="BZ33">
        <f>IF(BZ$4=1,IF(OR(INDEX('×入力'!$A$1:$L$1300,651+BZ$3,2+BZ$2)&lt;&gt;"",INDEX('×入力'!$A$1:$L$1300,650,2+BZ$2)&lt;&gt;"",INDEX('×入力'!$A$1:$L$1300,651+BZ$3,1)&lt;&gt;""),1,0),0)</f>
        <v/>
      </c>
      <c r="CA33">
        <f>IF(CA$4=1,IF(OR(INDEX('×入力'!$A$1:$L$1300,651+CA$3,2+CA$2)&lt;&gt;"",INDEX('×入力'!$A$1:$L$1300,650,2+CA$2)&lt;&gt;"",INDEX('×入力'!$A$1:$L$1300,651+CA$3,1)&lt;&gt;""),1,0),0)</f>
        <v/>
      </c>
      <c r="CB33">
        <f>IF(CB$4=1,IF(OR(INDEX('×入力'!$A$1:$L$1300,651+CB$3,2+CB$2)&lt;&gt;"",INDEX('×入力'!$A$1:$L$1300,650,2+CB$2)&lt;&gt;"",INDEX('×入力'!$A$1:$L$1300,651+CB$3,1)&lt;&gt;""),1,0),0)</f>
        <v/>
      </c>
      <c r="CC33">
        <f>IF(CC$4=1,IF(OR(INDEX('×入力'!$A$1:$L$1300,651+CC$3,2+CC$2)&lt;&gt;"",INDEX('×入力'!$A$1:$L$1300,650,2+CC$2)&lt;&gt;"",INDEX('×入力'!$A$1:$L$1300,651+CC$3,1)&lt;&gt;""),1,0),0)</f>
        <v/>
      </c>
      <c r="CD33">
        <f>IF(CD$4=1,IF(OR(INDEX('×入力'!$A$1:$L$1300,651+CD$3,2+CD$2)&lt;&gt;"",INDEX('×入力'!$A$1:$L$1300,650,2+CD$2)&lt;&gt;"",INDEX('×入力'!$A$1:$L$1300,651+CD$3,1)&lt;&gt;""),1,0),0)</f>
        <v/>
      </c>
      <c r="CE33">
        <f>IF(CE$4=1,IF(OR(INDEX('×入力'!$A$1:$L$1300,651+CE$3,2+CE$2)&lt;&gt;"",INDEX('×入力'!$A$1:$L$1300,650,2+CE$2)&lt;&gt;"",INDEX('×入力'!$A$1:$L$1300,651+CE$3,1)&lt;&gt;""),1,0),0)</f>
        <v/>
      </c>
      <c r="CF33">
        <f>IF(CF$4=1,IF(OR(INDEX('×入力'!$A$1:$L$1300,651+CF$3,2+CF$2)&lt;&gt;"",INDEX('×入力'!$A$1:$L$1300,650,2+CF$2)&lt;&gt;"",INDEX('×入力'!$A$1:$L$1300,651+CF$3,1)&lt;&gt;""),1,0),0)</f>
        <v/>
      </c>
      <c r="CG33">
        <f>IF(CG$4=1,IF(OR(INDEX('×入力'!$A$1:$L$1300,651+CG$3,2+CG$2)&lt;&gt;"",INDEX('×入力'!$A$1:$L$1300,650,2+CG$2)&lt;&gt;"",INDEX('×入力'!$A$1:$L$1300,651+CG$3,1)&lt;&gt;""),1,0),0)</f>
        <v/>
      </c>
      <c r="CH33">
        <f>IF(CH$4=1,IF(OR(INDEX('×入力'!$A$1:$L$1300,651+CH$3,2+CH$2)&lt;&gt;"",INDEX('×入力'!$A$1:$L$1300,650,2+CH$2)&lt;&gt;"",INDEX('×入力'!$A$1:$L$1300,651+CH$3,1)&lt;&gt;""),1,0),0)</f>
        <v/>
      </c>
      <c r="CI33">
        <f>IF(CI$4=1,IF(OR(INDEX('×入力'!$A$1:$L$1300,651+CI$3,2+CI$2)&lt;&gt;"",INDEX('×入力'!$A$1:$L$1300,650,2+CI$2)&lt;&gt;"",INDEX('×入力'!$A$1:$L$1300,651+CI$3,1)&lt;&gt;""),1,0),0)</f>
        <v/>
      </c>
      <c r="CJ33">
        <f>IF(CJ$4=1,IF(OR(INDEX('×入力'!$A$1:$L$1300,651+CJ$3,2+CJ$2)&lt;&gt;"",INDEX('×入力'!$A$1:$L$1300,650,2+CJ$2)&lt;&gt;"",INDEX('×入力'!$A$1:$L$1300,651+CJ$3,1)&lt;&gt;""),1,0),0)</f>
        <v/>
      </c>
      <c r="CK33">
        <f>IF(CK$4=1,IF(OR(INDEX('×入力'!$A$1:$L$1300,651+CK$3,2+CK$2)&lt;&gt;"",INDEX('×入力'!$A$1:$L$1300,650,2+CK$2)&lt;&gt;"",INDEX('×入力'!$A$1:$L$1300,651+CK$3,1)&lt;&gt;""),1,0),0)</f>
        <v/>
      </c>
      <c r="CL33">
        <f>IF(CL$4=1,IF(OR(INDEX('×入力'!$A$1:$L$1300,651+CL$3,2+CL$2)&lt;&gt;"",INDEX('×入力'!$A$1:$L$1300,650,2+CL$2)&lt;&gt;"",INDEX('×入力'!$A$1:$L$1300,651+CL$3,1)&lt;&gt;""),1,0),0)</f>
        <v/>
      </c>
      <c r="CM33">
        <f>IF(CM$4=1,IF(OR(INDEX('×入力'!$A$1:$L$1300,651+CM$3,2+CM$2)&lt;&gt;"",INDEX('×入力'!$A$1:$L$1300,650,2+CM$2)&lt;&gt;"",INDEX('×入力'!$A$1:$L$1300,651+CM$3,1)&lt;&gt;""),1,0),0)</f>
        <v/>
      </c>
      <c r="CN33">
        <f>IF(CN$4=1,IF(OR(INDEX('×入力'!$A$1:$L$1300,651+CN$3,2+CN$2)&lt;&gt;"",INDEX('×入力'!$A$1:$L$1300,650,2+CN$2)&lt;&gt;"",INDEX('×入力'!$A$1:$L$1300,651+CN$3,1)&lt;&gt;""),1,0),0)</f>
        <v/>
      </c>
      <c r="CO33">
        <f>IF(CO$4=1,IF(OR(INDEX('×入力'!$A$1:$L$1300,651+CO$3,2+CO$2)&lt;&gt;"",INDEX('×入力'!$A$1:$L$1300,650,2+CO$2)&lt;&gt;"",INDEX('×入力'!$A$1:$L$1300,651+CO$3,1)&lt;&gt;""),1,0),0)</f>
        <v/>
      </c>
      <c r="CP33">
        <f>IF(CP$4=1,IF(OR(INDEX('×入力'!$A$1:$L$1300,651+CP$3,2+CP$2)&lt;&gt;"",INDEX('×入力'!$A$1:$L$1300,650,2+CP$2)&lt;&gt;"",INDEX('×入力'!$A$1:$L$1300,651+CP$3,1)&lt;&gt;""),1,0),0)</f>
        <v/>
      </c>
      <c r="CQ33">
        <f>IF(CQ$4=1,IF(OR(INDEX('×入力'!$A$1:$L$1300,651+CQ$3,2+CQ$2)&lt;&gt;"",INDEX('×入力'!$A$1:$L$1300,650,2+CQ$2)&lt;&gt;"",INDEX('×入力'!$A$1:$L$1300,651+CQ$3,1)&lt;&gt;""),1,0),0)</f>
        <v/>
      </c>
      <c r="CR33">
        <f>IF(CR$4=1,IF(OR(INDEX('×入力'!$A$1:$L$1300,651+CR$3,2+CR$2)&lt;&gt;"",INDEX('×入力'!$A$1:$L$1300,650,2+CR$2)&lt;&gt;"",INDEX('×入力'!$A$1:$L$1300,651+CR$3,1)&lt;&gt;""),1,0),0)</f>
        <v/>
      </c>
      <c r="CS33">
        <f>IF(CS$4=1,IF(OR(INDEX('×入力'!$A$1:$L$1300,651+CS$3,2+CS$2)&lt;&gt;"",INDEX('×入力'!$A$1:$L$1300,650,2+CS$2)&lt;&gt;"",INDEX('×入力'!$A$1:$L$1300,651+CS$3,1)&lt;&gt;""),1,0),0)</f>
        <v/>
      </c>
      <c r="CT33">
        <f>IF(CT$4=1,IF(OR(INDEX('×入力'!$A$1:$L$1300,651+CT$3,2+CT$2)&lt;&gt;"",INDEX('×入力'!$A$1:$L$1300,650,2+CT$2)&lt;&gt;"",INDEX('×入力'!$A$1:$L$1300,651+CT$3,1)&lt;&gt;""),1,0),0)</f>
        <v/>
      </c>
      <c r="CU33">
        <f>IF(CU$4=1,IF(OR(INDEX('×入力'!$A$1:$L$1300,651+CU$3,2+CU$2)&lt;&gt;"",INDEX('×入力'!$A$1:$L$1300,650,2+CU$2)&lt;&gt;"",INDEX('×入力'!$A$1:$L$1300,651+CU$3,1)&lt;&gt;""),1,0),0)</f>
        <v/>
      </c>
      <c r="CV33">
        <f>IF(CV$4=1,IF(OR(INDEX('×入力'!$A$1:$L$1300,651+CV$3,2+CV$2)&lt;&gt;"",INDEX('×入力'!$A$1:$L$1300,650,2+CV$2)&lt;&gt;"",INDEX('×入力'!$A$1:$L$1300,651+CV$3,1)&lt;&gt;""),1,0),0)</f>
        <v/>
      </c>
      <c r="CW33">
        <f>IF(CW$4=1,IF(OR(INDEX('×入力'!$A$1:$L$1300,651+CW$3,2+CW$2)&lt;&gt;"",INDEX('×入力'!$A$1:$L$1300,650,2+CW$2)&lt;&gt;"",INDEX('×入力'!$A$1:$L$1300,651+CW$3,1)&lt;&gt;""),1,0),0)</f>
        <v/>
      </c>
      <c r="CX33">
        <f>IF(CX$4=1,IF(OR(INDEX('×入力'!$A$1:$L$1300,651+CX$3,2+CX$2)&lt;&gt;"",INDEX('×入力'!$A$1:$L$1300,650,2+CX$2)&lt;&gt;"",INDEX('×入力'!$A$1:$L$1300,651+CX$3,1)&lt;&gt;""),1,0),0)</f>
        <v/>
      </c>
      <c r="CY33">
        <f>IF(CY$4=1,IF(OR(INDEX('×入力'!$A$1:$L$1300,651+CY$3,2+CY$2)&lt;&gt;"",INDEX('×入力'!$A$1:$L$1300,650,2+CY$2)&lt;&gt;"",INDEX('×入力'!$A$1:$L$1300,651+CY$3,1)&lt;&gt;""),1,0),0)</f>
        <v/>
      </c>
      <c r="CZ33">
        <f>IF(CZ$4=1,IF(OR(INDEX('×入力'!$A$1:$L$1300,651+CZ$3,2+CZ$2)&lt;&gt;"",INDEX('×入力'!$A$1:$L$1300,650,2+CZ$2)&lt;&gt;"",INDEX('×入力'!$A$1:$L$1300,651+CZ$3,1)&lt;&gt;""),1,0),0)</f>
        <v/>
      </c>
      <c r="DA33">
        <f>IF(DA$4=1,IF(OR(INDEX('×入力'!$A$1:$L$1300,651+DA$3,2+DA$2)&lt;&gt;"",INDEX('×入力'!$A$1:$L$1300,650,2+DA$2)&lt;&gt;"",INDEX('×入力'!$A$1:$L$1300,651+DA$3,1)&lt;&gt;""),1,0),0)</f>
        <v/>
      </c>
      <c r="DB33">
        <f>IF(DB$4=1,IF(OR(INDEX('×入力'!$A$1:$L$1300,651+DB$3,2+DB$2)&lt;&gt;"",INDEX('×入力'!$A$1:$L$1300,650,2+DB$2)&lt;&gt;"",INDEX('×入力'!$A$1:$L$1300,651+DB$3,1)&lt;&gt;""),1,0),0)</f>
        <v/>
      </c>
      <c r="DC33">
        <f>IF(DC$4=1,IF(OR(INDEX('×入力'!$A$1:$L$1300,651+DC$3,2+DC$2)&lt;&gt;"",INDEX('×入力'!$A$1:$L$1300,650,2+DC$2)&lt;&gt;"",INDEX('×入力'!$A$1:$L$1300,651+DC$3,1)&lt;&gt;""),1,0),0)</f>
        <v/>
      </c>
      <c r="DD33">
        <f>IF(DD$4=1,IF(OR(INDEX('×入力'!$A$1:$L$1300,651+DD$3,2+DD$2)&lt;&gt;"",INDEX('×入力'!$A$1:$L$1300,650,2+DD$2)&lt;&gt;"",INDEX('×入力'!$A$1:$L$1300,651+DD$3,1)&lt;&gt;""),1,0),0)</f>
        <v/>
      </c>
      <c r="DE33">
        <f>IF(DE$4=1,IF(OR(INDEX('×入力'!$A$1:$L$1300,651+DE$3,2+DE$2)&lt;&gt;"",INDEX('×入力'!$A$1:$L$1300,650,2+DE$2)&lt;&gt;"",INDEX('×入力'!$A$1:$L$1300,651+DE$3,1)&lt;&gt;""),1,0),0)</f>
        <v/>
      </c>
      <c r="DF33">
        <f>IF(DF$4=1,IF(OR(INDEX('×入力'!$A$1:$L$1300,651+DF$3,2+DF$2)&lt;&gt;"",INDEX('×入力'!$A$1:$L$1300,650,2+DF$2)&lt;&gt;"",INDEX('×入力'!$A$1:$L$1300,651+DF$3,1)&lt;&gt;""),1,0),0)</f>
        <v/>
      </c>
      <c r="DG33">
        <f>IF(DG$4=1,IF(OR(INDEX('×入力'!$A$1:$L$1300,651+DG$3,2+DG$2)&lt;&gt;"",INDEX('×入力'!$A$1:$L$1300,650,2+DG$2)&lt;&gt;"",INDEX('×入力'!$A$1:$L$1300,651+DG$3,1)&lt;&gt;""),1,0),0)</f>
        <v/>
      </c>
      <c r="DH33">
        <f>IF(DH$4=1,IF(OR(INDEX('×入力'!$A$1:$L$1300,651+DH$3,2+DH$2)&lt;&gt;"",INDEX('×入力'!$A$1:$L$1300,650,2+DH$2)&lt;&gt;"",INDEX('×入力'!$A$1:$L$1300,651+DH$3,1)&lt;&gt;""),1,0),0)</f>
        <v/>
      </c>
      <c r="DI33">
        <f>IF(DI$4=1,IF(OR(INDEX('×入力'!$A$1:$L$1300,651+DI$3,2+DI$2)&lt;&gt;"",INDEX('×入力'!$A$1:$L$1300,650,2+DI$2)&lt;&gt;"",INDEX('×入力'!$A$1:$L$1300,651+DI$3,1)&lt;&gt;""),1,0),0)</f>
        <v/>
      </c>
      <c r="DJ33">
        <f>IF(DJ$4=1,IF(OR(INDEX('×入力'!$A$1:$L$1300,651+DJ$3,2+DJ$2)&lt;&gt;"",INDEX('×入力'!$A$1:$L$1300,650,2+DJ$2)&lt;&gt;"",INDEX('×入力'!$A$1:$L$1300,651+DJ$3,1)&lt;&gt;""),1,0),0)</f>
        <v/>
      </c>
      <c r="DK33">
        <f>IF(DK$4=1,IF(OR(INDEX('×入力'!$A$1:$L$1300,651+DK$3,2+DK$2)&lt;&gt;"",INDEX('×入力'!$A$1:$L$1300,650,2+DK$2)&lt;&gt;"",INDEX('×入力'!$A$1:$L$1300,651+DK$3,1)&lt;&gt;""),1,0),0)</f>
        <v/>
      </c>
      <c r="DL33">
        <f>IF(DL$4=1,IF(OR(INDEX('×入力'!$A$1:$L$1300,651+DL$3,2+DL$2)&lt;&gt;"",INDEX('×入力'!$A$1:$L$1300,650,2+DL$2)&lt;&gt;"",INDEX('×入力'!$A$1:$L$1300,651+DL$3,1)&lt;&gt;""),1,0),0)</f>
        <v/>
      </c>
      <c r="DM33">
        <f>IF(DM$4=1,IF(OR(INDEX('×入力'!$A$1:$L$1300,651+DM$3,2+DM$2)&lt;&gt;"",INDEX('×入力'!$A$1:$L$1300,650,2+DM$2)&lt;&gt;"",INDEX('×入力'!$A$1:$L$1300,651+DM$3,1)&lt;&gt;""),1,0),0)</f>
        <v/>
      </c>
      <c r="DN33">
        <f>IF(DN$4=1,IF(OR(INDEX('×入力'!$A$1:$L$1300,651+DN$3,2+DN$2)&lt;&gt;"",INDEX('×入力'!$A$1:$L$1300,650,2+DN$2)&lt;&gt;"",INDEX('×入力'!$A$1:$L$1300,651+DN$3,1)&lt;&gt;""),1,0),0)</f>
        <v/>
      </c>
      <c r="DO33">
        <f>IF(DO$4=1,IF(OR(INDEX('×入力'!$A$1:$L$1300,651+DO$3,2+DO$2)&lt;&gt;"",INDEX('×入力'!$A$1:$L$1300,650,2+DO$2)&lt;&gt;"",INDEX('×入力'!$A$1:$L$1300,651+DO$3,1)&lt;&gt;""),1,0),0)</f>
        <v/>
      </c>
      <c r="DP33">
        <f>IF(DP$4=1,IF(OR(INDEX('×入力'!$A$1:$L$1300,651+DP$3,2+DP$2)&lt;&gt;"",INDEX('×入力'!$A$1:$L$1300,650,2+DP$2)&lt;&gt;"",INDEX('×入力'!$A$1:$L$1300,651+DP$3,1)&lt;&gt;""),1,0),0)</f>
        <v/>
      </c>
      <c r="DQ33">
        <f>IF(DQ$4=1,IF(OR(INDEX('×入力'!$A$1:$L$1300,651+DQ$3,2+DQ$2)&lt;&gt;"",INDEX('×入力'!$A$1:$L$1300,650,2+DQ$2)&lt;&gt;"",INDEX('×入力'!$A$1:$L$1300,651+DQ$3,1)&lt;&gt;""),1,0),0)</f>
        <v/>
      </c>
      <c r="DR33">
        <f>IF(DR$4=1,IF(OR(INDEX('×入力'!$A$1:$L$1300,651+DR$3,2+DR$2)&lt;&gt;"",INDEX('×入力'!$A$1:$L$1300,650,2+DR$2)&lt;&gt;"",INDEX('×入力'!$A$1:$L$1300,651+DR$3,1)&lt;&gt;""),1,0),0)</f>
        <v/>
      </c>
      <c r="DS33">
        <f>IF(DS$4=1,IF(OR(INDEX('×入力'!$A$1:$L$1300,651+DS$3,2+DS$2)&lt;&gt;"",INDEX('×入力'!$A$1:$L$1300,650,2+DS$2)&lt;&gt;"",INDEX('×入力'!$A$1:$L$1300,651+DS$3,1)&lt;&gt;""),1,0),0)</f>
        <v/>
      </c>
      <c r="DT33">
        <f>IF(DT$4=1,IF(OR(INDEX('×入力'!$A$1:$L$1300,651+DT$3,2+DT$2)&lt;&gt;"",INDEX('×入力'!$A$1:$L$1300,650,2+DT$2)&lt;&gt;"",INDEX('×入力'!$A$1:$L$1300,651+DT$3,1)&lt;&gt;""),1,0),0)</f>
        <v/>
      </c>
      <c r="DU33">
        <f>IF(DU$4=1,IF(OR(INDEX('×入力'!$A$1:$L$1300,651+DU$3,2+DU$2)&lt;&gt;"",INDEX('×入力'!$A$1:$L$1300,650,2+DU$2)&lt;&gt;"",INDEX('×入力'!$A$1:$L$1300,651+DU$3,1)&lt;&gt;""),1,0),0)</f>
        <v/>
      </c>
      <c r="DV33">
        <f>IF(DV$4=1,IF(OR(INDEX('×入力'!$A$1:$L$1300,651+DV$3,2+DV$2)&lt;&gt;"",INDEX('×入力'!$A$1:$L$1300,650,2+DV$2)&lt;&gt;"",INDEX('×入力'!$A$1:$L$1300,651+DV$3,1)&lt;&gt;""),1,0),0)</f>
        <v/>
      </c>
      <c r="DW33">
        <f>IF(DW$4=1,IF(OR(INDEX('×入力'!$A$1:$L$1300,651+DW$3,2+DW$2)&lt;&gt;"",INDEX('×入力'!$A$1:$L$1300,650,2+DW$2)&lt;&gt;"",INDEX('×入力'!$A$1:$L$1300,651+DW$3,1)&lt;&gt;""),1,0),0)</f>
        <v/>
      </c>
      <c r="DX33">
        <f>IF(DX$4=1,IF(OR(INDEX('×入力'!$A$1:$L$1300,651+DX$3,2+DX$2)&lt;&gt;"",INDEX('×入力'!$A$1:$L$1300,650,2+DX$2)&lt;&gt;"",INDEX('×入力'!$A$1:$L$1300,651+DX$3,1)&lt;&gt;""),1,0),0)</f>
        <v/>
      </c>
      <c r="DY33">
        <f>IF(DY$4=1,IF(OR(INDEX('×入力'!$A$1:$L$1300,651+DY$3,2+DY$2)&lt;&gt;"",INDEX('×入力'!$A$1:$L$1300,650,2+DY$2)&lt;&gt;"",INDEX('×入力'!$A$1:$L$1300,651+DY$3,1)&lt;&gt;""),1,0),0)</f>
        <v/>
      </c>
      <c r="DZ33">
        <f>IF(DZ$4=1,IF(OR(INDEX('×入力'!$A$1:$L$1300,651+DZ$3,2+DZ$2)&lt;&gt;"",INDEX('×入力'!$A$1:$L$1300,650,2+DZ$2)&lt;&gt;"",INDEX('×入力'!$A$1:$L$1300,651+DZ$3,1)&lt;&gt;""),1,0),0)</f>
        <v/>
      </c>
      <c r="EA33">
        <f>IF(EA$4=1,IF(OR(INDEX('×入力'!$A$1:$L$1300,651+EA$3,2+EA$2)&lt;&gt;"",INDEX('×入力'!$A$1:$L$1300,650,2+EA$2)&lt;&gt;"",INDEX('×入力'!$A$1:$L$1300,651+EA$3,1)&lt;&gt;""),1,0),0)</f>
        <v/>
      </c>
      <c r="EB33">
        <f>IF(EB$4=1,IF(OR(INDEX('×入力'!$A$1:$L$1300,651+EB$3,2+EB$2)&lt;&gt;"",INDEX('×入力'!$A$1:$L$1300,650,2+EB$2)&lt;&gt;"",INDEX('×入力'!$A$1:$L$1300,651+EB$3,1)&lt;&gt;""),1,0),0)</f>
        <v/>
      </c>
      <c r="EC33">
        <f>IF(EC$4=1,IF(OR(INDEX('×入力'!$A$1:$L$1300,651+EC$3,2+EC$2)&lt;&gt;"",INDEX('×入力'!$A$1:$L$1300,650,2+EC$2)&lt;&gt;"",INDEX('×入力'!$A$1:$L$1300,651+EC$3,1)&lt;&gt;""),1,0),0)</f>
        <v/>
      </c>
      <c r="ED33">
        <f>IF(ED$4=1,IF(OR(INDEX('×入力'!$A$1:$L$1300,651+ED$3,2+ED$2)&lt;&gt;"",INDEX('×入力'!$A$1:$L$1300,650,2+ED$2)&lt;&gt;"",INDEX('×入力'!$A$1:$L$1300,651+ED$3,1)&lt;&gt;""),1,0),0)</f>
        <v/>
      </c>
      <c r="EE33">
        <f>IF(EE$4=1,IF(OR(INDEX('×入力'!$A$1:$L$1300,651+EE$3,2+EE$2)&lt;&gt;"",INDEX('×入力'!$A$1:$L$1300,650,2+EE$2)&lt;&gt;"",INDEX('×入力'!$A$1:$L$1300,651+EE$3,1)&lt;&gt;""),1,0),0)</f>
        <v/>
      </c>
      <c r="EF33">
        <f>IF(EF$4=1,IF(OR(INDEX('×入力'!$A$1:$L$1300,651+EF$3,2+EF$2)&lt;&gt;"",INDEX('×入力'!$A$1:$L$1300,650,2+EF$2)&lt;&gt;"",INDEX('×入力'!$A$1:$L$1300,651+EF$3,1)&lt;&gt;""),1,0),0)</f>
        <v/>
      </c>
      <c r="EG33">
        <f>IF(EG$4=1,IF(OR(INDEX('×入力'!$A$1:$L$1300,651+EG$3,2+EG$2)&lt;&gt;"",INDEX('×入力'!$A$1:$L$1300,650,2+EG$2)&lt;&gt;"",INDEX('×入力'!$A$1:$L$1300,651+EG$3,1)&lt;&gt;""),1,0),0)</f>
        <v/>
      </c>
      <c r="EH33">
        <f>IF(EH$4=1,IF(OR(INDEX('×入力'!$A$1:$L$1300,651+EH$3,2+EH$2)&lt;&gt;"",INDEX('×入力'!$A$1:$L$1300,650,2+EH$2)&lt;&gt;"",INDEX('×入力'!$A$1:$L$1300,651+EH$3,1)&lt;&gt;""),1,0),0)</f>
        <v/>
      </c>
      <c r="EI33">
        <f>IF(EI$4=1,IF(OR(INDEX('×入力'!$A$1:$L$1300,651+EI$3,2+EI$2)&lt;&gt;"",INDEX('×入力'!$A$1:$L$1300,650,2+EI$2)&lt;&gt;"",INDEX('×入力'!$A$1:$L$1300,651+EI$3,1)&lt;&gt;""),1,0),0)</f>
        <v/>
      </c>
      <c r="EJ33">
        <f>IF(EJ$4=1,IF(OR(INDEX('×入力'!$A$1:$L$1300,651+EJ$3,2+EJ$2)&lt;&gt;"",INDEX('×入力'!$A$1:$L$1300,650,2+EJ$2)&lt;&gt;"",INDEX('×入力'!$A$1:$L$1300,651+EJ$3,1)&lt;&gt;""),1,0),0)</f>
        <v/>
      </c>
      <c r="EK33">
        <f>IF(EK$4=1,IF(OR(INDEX('×入力'!$A$1:$L$1300,651+EK$3,2+EK$2)&lt;&gt;"",INDEX('×入力'!$A$1:$L$1300,650,2+EK$2)&lt;&gt;"",INDEX('×入力'!$A$1:$L$1300,651+EK$3,1)&lt;&gt;""),1,0),0)</f>
        <v/>
      </c>
      <c r="EL33">
        <f>IF(EL$4=1,IF(OR(INDEX('×入力'!$A$1:$L$1300,651+EL$3,2+EL$2)&lt;&gt;"",INDEX('×入力'!$A$1:$L$1300,650,2+EL$2)&lt;&gt;"",INDEX('×入力'!$A$1:$L$1300,651+EL$3,1)&lt;&gt;""),1,0),0)</f>
        <v/>
      </c>
      <c r="EM33">
        <f>IF(EM$4=1,IF(OR(INDEX('×入力'!$A$1:$L$1300,651+EM$3,2+EM$2)&lt;&gt;"",INDEX('×入力'!$A$1:$L$1300,650,2+EM$2)&lt;&gt;"",INDEX('×入力'!$A$1:$L$1300,651+EM$3,1)&lt;&gt;""),1,0),0)</f>
        <v/>
      </c>
      <c r="EN33">
        <f>IF(EN$4=1,IF(OR(INDEX('×入力'!$A$1:$L$1300,651+EN$3,2+EN$2)&lt;&gt;"",INDEX('×入力'!$A$1:$L$1300,650,2+EN$2)&lt;&gt;"",INDEX('×入力'!$A$1:$L$1300,651+EN$3,1)&lt;&gt;""),1,0),0)</f>
        <v/>
      </c>
      <c r="EO33">
        <f>IF(EO$4=1,IF(OR(INDEX('×入力'!$A$1:$L$1300,651+EO$3,2+EO$2)&lt;&gt;"",INDEX('×入力'!$A$1:$L$1300,650,2+EO$2)&lt;&gt;"",INDEX('×入力'!$A$1:$L$1300,651+EO$3,1)&lt;&gt;""),1,0),0)</f>
        <v/>
      </c>
      <c r="EP33">
        <f>IF(EP$4=1,IF(OR(INDEX('×入力'!$A$1:$L$1300,651+EP$3,2+EP$2)&lt;&gt;"",INDEX('×入力'!$A$1:$L$1300,650,2+EP$2)&lt;&gt;"",INDEX('×入力'!$A$1:$L$1300,651+EP$3,1)&lt;&gt;""),1,0),0)</f>
        <v/>
      </c>
      <c r="EQ33">
        <f>IF(EQ$4=1,IF(OR(INDEX('×入力'!$A$1:$L$1300,651+EQ$3,2+EQ$2)&lt;&gt;"",INDEX('×入力'!$A$1:$L$1300,650,2+EQ$2)&lt;&gt;"",INDEX('×入力'!$A$1:$L$1300,651+EQ$3,1)&lt;&gt;""),1,0),0)</f>
        <v/>
      </c>
      <c r="HA33">
        <f>MAX(0,IT33)</f>
        <v/>
      </c>
      <c r="HB33">
        <f>IF(HA33=0,0,INDEX($D$2:$EQ$2,HA33))</f>
        <v/>
      </c>
      <c r="HC33">
        <f>IF(HA33=0,0,INDEX($D$3:$EQ$3,HA33))</f>
        <v/>
      </c>
      <c r="HD33">
        <f>MAX(0,IY33)</f>
        <v/>
      </c>
      <c r="HE33">
        <f>IF(HD33=0,0,INDEX($D$2:$EQ$2,HD33))</f>
        <v/>
      </c>
      <c r="HF33">
        <f>IF(HD33=0,0,INDEX($D$3:$EQ$3,HD33))</f>
        <v/>
      </c>
      <c r="HG33">
        <f>MAX(0,IZ33)</f>
        <v/>
      </c>
      <c r="HH33">
        <f>IF(HG33=0,0,INDEX($D$2:$EQ$2,HG33))</f>
        <v/>
      </c>
      <c r="HI33">
        <f>IF(HG33=0,0,INDEX($D$3:$EQ$3,HG33))</f>
        <v/>
      </c>
      <c r="HJ33">
        <f>IF(AND(HA33&gt;0,HC33&gt;1,OR(HC33-1&lt;&gt;$A$3,$A$4=0)),HA33-1,-1)</f>
        <v/>
      </c>
      <c r="HK33">
        <f>IF(AND(HA33&gt;0,HC33&lt;24,OR(HC33&lt;&gt;$A$3,$A$4=0)),HA33+1,-1)</f>
        <v/>
      </c>
      <c r="HL33">
        <f>IF(AND(HD33&gt;0,HF33&gt;1,OR(HF33-1&lt;&gt;$A$3,$A$4=0)),HD33-1,-1)</f>
        <v/>
      </c>
      <c r="HM33">
        <f>IF(AND(HD33&gt;0,HF33&lt;24,OR(HF33&lt;&gt;$A$3,$A$4=0)),HD33+1,-1)</f>
        <v/>
      </c>
      <c r="HN33">
        <f>IF(AND(HG33&gt;0,HI33&gt;1,OR(HI33-1&lt;&gt;$A$3,$A$4=0)),HG33-1,-1)</f>
        <v/>
      </c>
      <c r="HO33">
        <f>IF(AND(HG33&gt;0,HI33&lt;24,OR(HI33&lt;&gt;$A$3,$A$4=0)),HG33+1,-1)</f>
        <v/>
      </c>
      <c r="IK33">
        <f>IFERROR(INDEX('calcB'!$C$3:$C$47,MATCH(A33,'calcB'!$B$3:$B$47,0)),0)</f>
        <v/>
      </c>
      <c r="IL33">
        <f>IF(AND(C33=1,IK33=0,calcA!$A$6&gt;0),1,0)</f>
        <v/>
      </c>
      <c r="IM33">
        <f>SUMPRODUCT(D83:EQ83*(1-$D$7:$EQ$7))</f>
        <v/>
      </c>
      <c r="IN33">
        <f>SUM(D33:EQ33)</f>
        <v/>
      </c>
      <c r="IO33">
        <f>IF(B33="",0,IF(COUNTIF('調整・決定'!$C$6:$H$29,B33)=1,SUMPRODUCT(('調整・決定'!$C$6:$H$29=B33)*((COLUMN('調整・決定'!$C$6:$H$29)-3)*24+ROW('調整・決定'!$C$6:$H$29)-5)),0))</f>
        <v/>
      </c>
      <c r="IP33">
        <f>IFERROR(MATCH('名簿'!C28,{"早い時刻","遅い時刻","早い日","遅い日"},0),0)</f>
        <v/>
      </c>
      <c r="IQ33">
        <f>IF('名簿'!D28="必ず空けたい",2,IF('名簿'!D28="出来れば空けたい",1,0))</f>
        <v/>
      </c>
      <c r="IR33">
        <f>IFERROR(INDEX('calcC'!$C$3:$C$47,MATCH(A33,'calcC'!$B$3:$B$47,0)),0)</f>
        <v/>
      </c>
      <c r="IS33">
        <f>IF(AND(C33=1,IR33=0,calcA!$A$6&gt;0),1,0)</f>
        <v/>
      </c>
      <c r="IT33">
        <f>IF(OR('名簿'!G28="",'名簿'!H28=""),0,IFERROR((MATCH('名簿'!G28,'設定'!$E$11:$E$16,0)-1)*24+MATCH('名簿'!H28,'設定'!$I$11:$I$34,0),-1))</f>
        <v/>
      </c>
      <c r="IV33">
        <f>IF(OR(JF33=0,IO33=0),1,IF(OR(IF(IT33&gt;0,AND(INDEX($D$2:$EQ$2,IO33)=INDEX($D$2:$EQ$2,IT33),OR(AND(IO33=IT33+1,OR(INDEX($D$3:$EQ$3,IT33)&lt;&gt;$A$3,$A$4=0)),AND(IO33=IT33-1,OR(INDEX($D$3:$EQ$3,IO33)&lt;&gt;$A$3,$A$4=0)))),FALSE),IF(IY33&gt;0,AND(INDEX($D$2:$EQ$2,IO33)=INDEX($D$2:$EQ$2,IY33),OR(AND(IO33=IY33+1,OR(INDEX($D$3:$EQ$3,IY33)&lt;&gt;$A$3,$A$4=0)),AND(IO33=IY33-1,OR(INDEX($D$3:$EQ$3,IO33)&lt;&gt;$A$3,$A$4=0)))),FALSE),IF(IZ33&gt;0,AND(INDEX($D$2:$EQ$2,IO33)=INDEX($D$2:$EQ$2,IZ33),OR(AND(IO33=IZ33+1,OR(INDEX($D$3:$EQ$3,IZ33)&lt;&gt;$A$3,$A$4=0)),AND(IO33=IZ33-1,OR(INDEX($D$3:$EQ$3,IO33)&lt;&gt;$A$3,$A$4=0)))),FALSE)),1,0))</f>
        <v/>
      </c>
      <c r="IW33">
        <f>IF(AND('名簿'!E28&lt;&gt;"",JF33=0),1,0)</f>
        <v/>
      </c>
      <c r="IX33">
        <f>IF('名簿'!D28="空けない",1,0)</f>
        <v/>
      </c>
      <c r="IY33">
        <f>IF(OR('名簿'!J28="",'名簿'!K28=""),0,IFERROR((MATCH('名簿'!J28,'設定'!$E$11:$E$16,0)-1)*24+MATCH('名簿'!K28,'設定'!$I$11:$I$34,0),-1))</f>
        <v/>
      </c>
      <c r="IZ33">
        <f>IF(OR('名簿'!M28="",'名簿'!N28=""),0,IFERROR((MATCH('名簿'!M28,'設定'!$E$11:$E$16,0)-1)*24+MATCH('名簿'!N28,'設定'!$I$11:$I$34,0),-1))</f>
        <v/>
      </c>
      <c r="JC33">
        <f>IF(RIGHT('名簿'!I28,2)="の前",1,IF(RIGHT('名簿'!I28,2)="の後",2,0))</f>
        <v/>
      </c>
      <c r="JD33">
        <f>IF(RIGHT('名簿'!L28,2)="の前",1,IF(RIGHT('名簿'!L28,2)="の後",2,0))</f>
        <v/>
      </c>
      <c r="JE33">
        <f>IF(RIGHT('名簿'!O28,2)="の前",1,IF(RIGHT('名簿'!O28,2)="の後",2,0))</f>
        <v/>
      </c>
      <c r="JF33">
        <f>IF(OR(IT33&gt;0,IY33&gt;0,IZ33&gt;0),1,0)</f>
        <v/>
      </c>
      <c r="JG33">
        <f>IF(OR(IT33&lt;0,IY33&lt;0,IZ33&lt;0),1,0)</f>
        <v/>
      </c>
    </row>
    <row r="34">
      <c r="A34" t="n">
        <v>25</v>
      </c>
      <c r="B34">
        <f>'名簿'!P29</f>
        <v/>
      </c>
      <c r="C34">
        <f>IF(AND(B34&lt;&gt;"",OR('名簿'!Q29="入力済み",'名簿'!Q29="×なし"),IO34=0,COUNTIF('調整・決定'!$C$6:$H$29,B34)=0),1,0)</f>
        <v/>
      </c>
      <c r="D34">
        <f>IF(D$4=1,IF(OR(INDEX('×入力'!$A$1:$L$1300,679+D$3,2+D$2)&lt;&gt;"",INDEX('×入力'!$A$1:$L$1300,678,2+D$2)&lt;&gt;"",INDEX('×入力'!$A$1:$L$1300,679+D$3,1)&lt;&gt;""),1,0),0)</f>
        <v/>
      </c>
      <c r="E34">
        <f>IF(E$4=1,IF(OR(INDEX('×入力'!$A$1:$L$1300,679+E$3,2+E$2)&lt;&gt;"",INDEX('×入力'!$A$1:$L$1300,678,2+E$2)&lt;&gt;"",INDEX('×入力'!$A$1:$L$1300,679+E$3,1)&lt;&gt;""),1,0),0)</f>
        <v/>
      </c>
      <c r="F34">
        <f>IF(F$4=1,IF(OR(INDEX('×入力'!$A$1:$L$1300,679+F$3,2+F$2)&lt;&gt;"",INDEX('×入力'!$A$1:$L$1300,678,2+F$2)&lt;&gt;"",INDEX('×入力'!$A$1:$L$1300,679+F$3,1)&lt;&gt;""),1,0),0)</f>
        <v/>
      </c>
      <c r="G34">
        <f>IF(G$4=1,IF(OR(INDEX('×入力'!$A$1:$L$1300,679+G$3,2+G$2)&lt;&gt;"",INDEX('×入力'!$A$1:$L$1300,678,2+G$2)&lt;&gt;"",INDEX('×入力'!$A$1:$L$1300,679+G$3,1)&lt;&gt;""),1,0),0)</f>
        <v/>
      </c>
      <c r="H34">
        <f>IF(H$4=1,IF(OR(INDEX('×入力'!$A$1:$L$1300,679+H$3,2+H$2)&lt;&gt;"",INDEX('×入力'!$A$1:$L$1300,678,2+H$2)&lt;&gt;"",INDEX('×入力'!$A$1:$L$1300,679+H$3,1)&lt;&gt;""),1,0),0)</f>
        <v/>
      </c>
      <c r="I34">
        <f>IF(I$4=1,IF(OR(INDEX('×入力'!$A$1:$L$1300,679+I$3,2+I$2)&lt;&gt;"",INDEX('×入力'!$A$1:$L$1300,678,2+I$2)&lt;&gt;"",INDEX('×入力'!$A$1:$L$1300,679+I$3,1)&lt;&gt;""),1,0),0)</f>
        <v/>
      </c>
      <c r="J34">
        <f>IF(J$4=1,IF(OR(INDEX('×入力'!$A$1:$L$1300,679+J$3,2+J$2)&lt;&gt;"",INDEX('×入力'!$A$1:$L$1300,678,2+J$2)&lt;&gt;"",INDEX('×入力'!$A$1:$L$1300,679+J$3,1)&lt;&gt;""),1,0),0)</f>
        <v/>
      </c>
      <c r="K34">
        <f>IF(K$4=1,IF(OR(INDEX('×入力'!$A$1:$L$1300,679+K$3,2+K$2)&lt;&gt;"",INDEX('×入力'!$A$1:$L$1300,678,2+K$2)&lt;&gt;"",INDEX('×入力'!$A$1:$L$1300,679+K$3,1)&lt;&gt;""),1,0),0)</f>
        <v/>
      </c>
      <c r="L34">
        <f>IF(L$4=1,IF(OR(INDEX('×入力'!$A$1:$L$1300,679+L$3,2+L$2)&lt;&gt;"",INDEX('×入力'!$A$1:$L$1300,678,2+L$2)&lt;&gt;"",INDEX('×入力'!$A$1:$L$1300,679+L$3,1)&lt;&gt;""),1,0),0)</f>
        <v/>
      </c>
      <c r="M34">
        <f>IF(M$4=1,IF(OR(INDEX('×入力'!$A$1:$L$1300,679+M$3,2+M$2)&lt;&gt;"",INDEX('×入力'!$A$1:$L$1300,678,2+M$2)&lt;&gt;"",INDEX('×入力'!$A$1:$L$1300,679+M$3,1)&lt;&gt;""),1,0),0)</f>
        <v/>
      </c>
      <c r="N34">
        <f>IF(N$4=1,IF(OR(INDEX('×入力'!$A$1:$L$1300,679+N$3,2+N$2)&lt;&gt;"",INDEX('×入力'!$A$1:$L$1300,678,2+N$2)&lt;&gt;"",INDEX('×入力'!$A$1:$L$1300,679+N$3,1)&lt;&gt;""),1,0),0)</f>
        <v/>
      </c>
      <c r="O34">
        <f>IF(O$4=1,IF(OR(INDEX('×入力'!$A$1:$L$1300,679+O$3,2+O$2)&lt;&gt;"",INDEX('×入力'!$A$1:$L$1300,678,2+O$2)&lt;&gt;"",INDEX('×入力'!$A$1:$L$1300,679+O$3,1)&lt;&gt;""),1,0),0)</f>
        <v/>
      </c>
      <c r="P34">
        <f>IF(P$4=1,IF(OR(INDEX('×入力'!$A$1:$L$1300,679+P$3,2+P$2)&lt;&gt;"",INDEX('×入力'!$A$1:$L$1300,678,2+P$2)&lt;&gt;"",INDEX('×入力'!$A$1:$L$1300,679+P$3,1)&lt;&gt;""),1,0),0)</f>
        <v/>
      </c>
      <c r="Q34">
        <f>IF(Q$4=1,IF(OR(INDEX('×入力'!$A$1:$L$1300,679+Q$3,2+Q$2)&lt;&gt;"",INDEX('×入力'!$A$1:$L$1300,678,2+Q$2)&lt;&gt;"",INDEX('×入力'!$A$1:$L$1300,679+Q$3,1)&lt;&gt;""),1,0),0)</f>
        <v/>
      </c>
      <c r="R34">
        <f>IF(R$4=1,IF(OR(INDEX('×入力'!$A$1:$L$1300,679+R$3,2+R$2)&lt;&gt;"",INDEX('×入力'!$A$1:$L$1300,678,2+R$2)&lt;&gt;"",INDEX('×入力'!$A$1:$L$1300,679+R$3,1)&lt;&gt;""),1,0),0)</f>
        <v/>
      </c>
      <c r="S34">
        <f>IF(S$4=1,IF(OR(INDEX('×入力'!$A$1:$L$1300,679+S$3,2+S$2)&lt;&gt;"",INDEX('×入力'!$A$1:$L$1300,678,2+S$2)&lt;&gt;"",INDEX('×入力'!$A$1:$L$1300,679+S$3,1)&lt;&gt;""),1,0),0)</f>
        <v/>
      </c>
      <c r="T34">
        <f>IF(T$4=1,IF(OR(INDEX('×入力'!$A$1:$L$1300,679+T$3,2+T$2)&lt;&gt;"",INDEX('×入力'!$A$1:$L$1300,678,2+T$2)&lt;&gt;"",INDEX('×入力'!$A$1:$L$1300,679+T$3,1)&lt;&gt;""),1,0),0)</f>
        <v/>
      </c>
      <c r="U34">
        <f>IF(U$4=1,IF(OR(INDEX('×入力'!$A$1:$L$1300,679+U$3,2+U$2)&lt;&gt;"",INDEX('×入力'!$A$1:$L$1300,678,2+U$2)&lt;&gt;"",INDEX('×入力'!$A$1:$L$1300,679+U$3,1)&lt;&gt;""),1,0),0)</f>
        <v/>
      </c>
      <c r="V34">
        <f>IF(V$4=1,IF(OR(INDEX('×入力'!$A$1:$L$1300,679+V$3,2+V$2)&lt;&gt;"",INDEX('×入力'!$A$1:$L$1300,678,2+V$2)&lt;&gt;"",INDEX('×入力'!$A$1:$L$1300,679+V$3,1)&lt;&gt;""),1,0),0)</f>
        <v/>
      </c>
      <c r="W34">
        <f>IF(W$4=1,IF(OR(INDEX('×入力'!$A$1:$L$1300,679+W$3,2+W$2)&lt;&gt;"",INDEX('×入力'!$A$1:$L$1300,678,2+W$2)&lt;&gt;"",INDEX('×入力'!$A$1:$L$1300,679+W$3,1)&lt;&gt;""),1,0),0)</f>
        <v/>
      </c>
      <c r="X34">
        <f>IF(X$4=1,IF(OR(INDEX('×入力'!$A$1:$L$1300,679+X$3,2+X$2)&lt;&gt;"",INDEX('×入力'!$A$1:$L$1300,678,2+X$2)&lt;&gt;"",INDEX('×入力'!$A$1:$L$1300,679+X$3,1)&lt;&gt;""),1,0),0)</f>
        <v/>
      </c>
      <c r="Y34">
        <f>IF(Y$4=1,IF(OR(INDEX('×入力'!$A$1:$L$1300,679+Y$3,2+Y$2)&lt;&gt;"",INDEX('×入力'!$A$1:$L$1300,678,2+Y$2)&lt;&gt;"",INDEX('×入力'!$A$1:$L$1300,679+Y$3,1)&lt;&gt;""),1,0),0)</f>
        <v/>
      </c>
      <c r="Z34">
        <f>IF(Z$4=1,IF(OR(INDEX('×入力'!$A$1:$L$1300,679+Z$3,2+Z$2)&lt;&gt;"",INDEX('×入力'!$A$1:$L$1300,678,2+Z$2)&lt;&gt;"",INDEX('×入力'!$A$1:$L$1300,679+Z$3,1)&lt;&gt;""),1,0),0)</f>
        <v/>
      </c>
      <c r="AA34">
        <f>IF(AA$4=1,IF(OR(INDEX('×入力'!$A$1:$L$1300,679+AA$3,2+AA$2)&lt;&gt;"",INDEX('×入力'!$A$1:$L$1300,678,2+AA$2)&lt;&gt;"",INDEX('×入力'!$A$1:$L$1300,679+AA$3,1)&lt;&gt;""),1,0),0)</f>
        <v/>
      </c>
      <c r="AB34">
        <f>IF(AB$4=1,IF(OR(INDEX('×入力'!$A$1:$L$1300,679+AB$3,2+AB$2)&lt;&gt;"",INDEX('×入力'!$A$1:$L$1300,678,2+AB$2)&lt;&gt;"",INDEX('×入力'!$A$1:$L$1300,679+AB$3,1)&lt;&gt;""),1,0),0)</f>
        <v/>
      </c>
      <c r="AC34">
        <f>IF(AC$4=1,IF(OR(INDEX('×入力'!$A$1:$L$1300,679+AC$3,2+AC$2)&lt;&gt;"",INDEX('×入力'!$A$1:$L$1300,678,2+AC$2)&lt;&gt;"",INDEX('×入力'!$A$1:$L$1300,679+AC$3,1)&lt;&gt;""),1,0),0)</f>
        <v/>
      </c>
      <c r="AD34">
        <f>IF(AD$4=1,IF(OR(INDEX('×入力'!$A$1:$L$1300,679+AD$3,2+AD$2)&lt;&gt;"",INDEX('×入力'!$A$1:$L$1300,678,2+AD$2)&lt;&gt;"",INDEX('×入力'!$A$1:$L$1300,679+AD$3,1)&lt;&gt;""),1,0),0)</f>
        <v/>
      </c>
      <c r="AE34">
        <f>IF(AE$4=1,IF(OR(INDEX('×入力'!$A$1:$L$1300,679+AE$3,2+AE$2)&lt;&gt;"",INDEX('×入力'!$A$1:$L$1300,678,2+AE$2)&lt;&gt;"",INDEX('×入力'!$A$1:$L$1300,679+AE$3,1)&lt;&gt;""),1,0),0)</f>
        <v/>
      </c>
      <c r="AF34">
        <f>IF(AF$4=1,IF(OR(INDEX('×入力'!$A$1:$L$1300,679+AF$3,2+AF$2)&lt;&gt;"",INDEX('×入力'!$A$1:$L$1300,678,2+AF$2)&lt;&gt;"",INDEX('×入力'!$A$1:$L$1300,679+AF$3,1)&lt;&gt;""),1,0),0)</f>
        <v/>
      </c>
      <c r="AG34">
        <f>IF(AG$4=1,IF(OR(INDEX('×入力'!$A$1:$L$1300,679+AG$3,2+AG$2)&lt;&gt;"",INDEX('×入力'!$A$1:$L$1300,678,2+AG$2)&lt;&gt;"",INDEX('×入力'!$A$1:$L$1300,679+AG$3,1)&lt;&gt;""),1,0),0)</f>
        <v/>
      </c>
      <c r="AH34">
        <f>IF(AH$4=1,IF(OR(INDEX('×入力'!$A$1:$L$1300,679+AH$3,2+AH$2)&lt;&gt;"",INDEX('×入力'!$A$1:$L$1300,678,2+AH$2)&lt;&gt;"",INDEX('×入力'!$A$1:$L$1300,679+AH$3,1)&lt;&gt;""),1,0),0)</f>
        <v/>
      </c>
      <c r="AI34">
        <f>IF(AI$4=1,IF(OR(INDEX('×入力'!$A$1:$L$1300,679+AI$3,2+AI$2)&lt;&gt;"",INDEX('×入力'!$A$1:$L$1300,678,2+AI$2)&lt;&gt;"",INDEX('×入力'!$A$1:$L$1300,679+AI$3,1)&lt;&gt;""),1,0),0)</f>
        <v/>
      </c>
      <c r="AJ34">
        <f>IF(AJ$4=1,IF(OR(INDEX('×入力'!$A$1:$L$1300,679+AJ$3,2+AJ$2)&lt;&gt;"",INDEX('×入力'!$A$1:$L$1300,678,2+AJ$2)&lt;&gt;"",INDEX('×入力'!$A$1:$L$1300,679+AJ$3,1)&lt;&gt;""),1,0),0)</f>
        <v/>
      </c>
      <c r="AK34">
        <f>IF(AK$4=1,IF(OR(INDEX('×入力'!$A$1:$L$1300,679+AK$3,2+AK$2)&lt;&gt;"",INDEX('×入力'!$A$1:$L$1300,678,2+AK$2)&lt;&gt;"",INDEX('×入力'!$A$1:$L$1300,679+AK$3,1)&lt;&gt;""),1,0),0)</f>
        <v/>
      </c>
      <c r="AL34">
        <f>IF(AL$4=1,IF(OR(INDEX('×入力'!$A$1:$L$1300,679+AL$3,2+AL$2)&lt;&gt;"",INDEX('×入力'!$A$1:$L$1300,678,2+AL$2)&lt;&gt;"",INDEX('×入力'!$A$1:$L$1300,679+AL$3,1)&lt;&gt;""),1,0),0)</f>
        <v/>
      </c>
      <c r="AM34">
        <f>IF(AM$4=1,IF(OR(INDEX('×入力'!$A$1:$L$1300,679+AM$3,2+AM$2)&lt;&gt;"",INDEX('×入力'!$A$1:$L$1300,678,2+AM$2)&lt;&gt;"",INDEX('×入力'!$A$1:$L$1300,679+AM$3,1)&lt;&gt;""),1,0),0)</f>
        <v/>
      </c>
      <c r="AN34">
        <f>IF(AN$4=1,IF(OR(INDEX('×入力'!$A$1:$L$1300,679+AN$3,2+AN$2)&lt;&gt;"",INDEX('×入力'!$A$1:$L$1300,678,2+AN$2)&lt;&gt;"",INDEX('×入力'!$A$1:$L$1300,679+AN$3,1)&lt;&gt;""),1,0),0)</f>
        <v/>
      </c>
      <c r="AO34">
        <f>IF(AO$4=1,IF(OR(INDEX('×入力'!$A$1:$L$1300,679+AO$3,2+AO$2)&lt;&gt;"",INDEX('×入力'!$A$1:$L$1300,678,2+AO$2)&lt;&gt;"",INDEX('×入力'!$A$1:$L$1300,679+AO$3,1)&lt;&gt;""),1,0),0)</f>
        <v/>
      </c>
      <c r="AP34">
        <f>IF(AP$4=1,IF(OR(INDEX('×入力'!$A$1:$L$1300,679+AP$3,2+AP$2)&lt;&gt;"",INDEX('×入力'!$A$1:$L$1300,678,2+AP$2)&lt;&gt;"",INDEX('×入力'!$A$1:$L$1300,679+AP$3,1)&lt;&gt;""),1,0),0)</f>
        <v/>
      </c>
      <c r="AQ34">
        <f>IF(AQ$4=1,IF(OR(INDEX('×入力'!$A$1:$L$1300,679+AQ$3,2+AQ$2)&lt;&gt;"",INDEX('×入力'!$A$1:$L$1300,678,2+AQ$2)&lt;&gt;"",INDEX('×入力'!$A$1:$L$1300,679+AQ$3,1)&lt;&gt;""),1,0),0)</f>
        <v/>
      </c>
      <c r="AR34">
        <f>IF(AR$4=1,IF(OR(INDEX('×入力'!$A$1:$L$1300,679+AR$3,2+AR$2)&lt;&gt;"",INDEX('×入力'!$A$1:$L$1300,678,2+AR$2)&lt;&gt;"",INDEX('×入力'!$A$1:$L$1300,679+AR$3,1)&lt;&gt;""),1,0),0)</f>
        <v/>
      </c>
      <c r="AS34">
        <f>IF(AS$4=1,IF(OR(INDEX('×入力'!$A$1:$L$1300,679+AS$3,2+AS$2)&lt;&gt;"",INDEX('×入力'!$A$1:$L$1300,678,2+AS$2)&lt;&gt;"",INDEX('×入力'!$A$1:$L$1300,679+AS$3,1)&lt;&gt;""),1,0),0)</f>
        <v/>
      </c>
      <c r="AT34">
        <f>IF(AT$4=1,IF(OR(INDEX('×入力'!$A$1:$L$1300,679+AT$3,2+AT$2)&lt;&gt;"",INDEX('×入力'!$A$1:$L$1300,678,2+AT$2)&lt;&gt;"",INDEX('×入力'!$A$1:$L$1300,679+AT$3,1)&lt;&gt;""),1,0),0)</f>
        <v/>
      </c>
      <c r="AU34">
        <f>IF(AU$4=1,IF(OR(INDEX('×入力'!$A$1:$L$1300,679+AU$3,2+AU$2)&lt;&gt;"",INDEX('×入力'!$A$1:$L$1300,678,2+AU$2)&lt;&gt;"",INDEX('×入力'!$A$1:$L$1300,679+AU$3,1)&lt;&gt;""),1,0),0)</f>
        <v/>
      </c>
      <c r="AV34">
        <f>IF(AV$4=1,IF(OR(INDEX('×入力'!$A$1:$L$1300,679+AV$3,2+AV$2)&lt;&gt;"",INDEX('×入力'!$A$1:$L$1300,678,2+AV$2)&lt;&gt;"",INDEX('×入力'!$A$1:$L$1300,679+AV$3,1)&lt;&gt;""),1,0),0)</f>
        <v/>
      </c>
      <c r="AW34">
        <f>IF(AW$4=1,IF(OR(INDEX('×入力'!$A$1:$L$1300,679+AW$3,2+AW$2)&lt;&gt;"",INDEX('×入力'!$A$1:$L$1300,678,2+AW$2)&lt;&gt;"",INDEX('×入力'!$A$1:$L$1300,679+AW$3,1)&lt;&gt;""),1,0),0)</f>
        <v/>
      </c>
      <c r="AX34">
        <f>IF(AX$4=1,IF(OR(INDEX('×入力'!$A$1:$L$1300,679+AX$3,2+AX$2)&lt;&gt;"",INDEX('×入力'!$A$1:$L$1300,678,2+AX$2)&lt;&gt;"",INDEX('×入力'!$A$1:$L$1300,679+AX$3,1)&lt;&gt;""),1,0),0)</f>
        <v/>
      </c>
      <c r="AY34">
        <f>IF(AY$4=1,IF(OR(INDEX('×入力'!$A$1:$L$1300,679+AY$3,2+AY$2)&lt;&gt;"",INDEX('×入力'!$A$1:$L$1300,678,2+AY$2)&lt;&gt;"",INDEX('×入力'!$A$1:$L$1300,679+AY$3,1)&lt;&gt;""),1,0),0)</f>
        <v/>
      </c>
      <c r="AZ34">
        <f>IF(AZ$4=1,IF(OR(INDEX('×入力'!$A$1:$L$1300,679+AZ$3,2+AZ$2)&lt;&gt;"",INDEX('×入力'!$A$1:$L$1300,678,2+AZ$2)&lt;&gt;"",INDEX('×入力'!$A$1:$L$1300,679+AZ$3,1)&lt;&gt;""),1,0),0)</f>
        <v/>
      </c>
      <c r="BA34">
        <f>IF(BA$4=1,IF(OR(INDEX('×入力'!$A$1:$L$1300,679+BA$3,2+BA$2)&lt;&gt;"",INDEX('×入力'!$A$1:$L$1300,678,2+BA$2)&lt;&gt;"",INDEX('×入力'!$A$1:$L$1300,679+BA$3,1)&lt;&gt;""),1,0),0)</f>
        <v/>
      </c>
      <c r="BB34">
        <f>IF(BB$4=1,IF(OR(INDEX('×入力'!$A$1:$L$1300,679+BB$3,2+BB$2)&lt;&gt;"",INDEX('×入力'!$A$1:$L$1300,678,2+BB$2)&lt;&gt;"",INDEX('×入力'!$A$1:$L$1300,679+BB$3,1)&lt;&gt;""),1,0),0)</f>
        <v/>
      </c>
      <c r="BC34">
        <f>IF(BC$4=1,IF(OR(INDEX('×入力'!$A$1:$L$1300,679+BC$3,2+BC$2)&lt;&gt;"",INDEX('×入力'!$A$1:$L$1300,678,2+BC$2)&lt;&gt;"",INDEX('×入力'!$A$1:$L$1300,679+BC$3,1)&lt;&gt;""),1,0),0)</f>
        <v/>
      </c>
      <c r="BD34">
        <f>IF(BD$4=1,IF(OR(INDEX('×入力'!$A$1:$L$1300,679+BD$3,2+BD$2)&lt;&gt;"",INDEX('×入力'!$A$1:$L$1300,678,2+BD$2)&lt;&gt;"",INDEX('×入力'!$A$1:$L$1300,679+BD$3,1)&lt;&gt;""),1,0),0)</f>
        <v/>
      </c>
      <c r="BE34">
        <f>IF(BE$4=1,IF(OR(INDEX('×入力'!$A$1:$L$1300,679+BE$3,2+BE$2)&lt;&gt;"",INDEX('×入力'!$A$1:$L$1300,678,2+BE$2)&lt;&gt;"",INDEX('×入力'!$A$1:$L$1300,679+BE$3,1)&lt;&gt;""),1,0),0)</f>
        <v/>
      </c>
      <c r="BF34">
        <f>IF(BF$4=1,IF(OR(INDEX('×入力'!$A$1:$L$1300,679+BF$3,2+BF$2)&lt;&gt;"",INDEX('×入力'!$A$1:$L$1300,678,2+BF$2)&lt;&gt;"",INDEX('×入力'!$A$1:$L$1300,679+BF$3,1)&lt;&gt;""),1,0),0)</f>
        <v/>
      </c>
      <c r="BG34">
        <f>IF(BG$4=1,IF(OR(INDEX('×入力'!$A$1:$L$1300,679+BG$3,2+BG$2)&lt;&gt;"",INDEX('×入力'!$A$1:$L$1300,678,2+BG$2)&lt;&gt;"",INDEX('×入力'!$A$1:$L$1300,679+BG$3,1)&lt;&gt;""),1,0),0)</f>
        <v/>
      </c>
      <c r="BH34">
        <f>IF(BH$4=1,IF(OR(INDEX('×入力'!$A$1:$L$1300,679+BH$3,2+BH$2)&lt;&gt;"",INDEX('×入力'!$A$1:$L$1300,678,2+BH$2)&lt;&gt;"",INDEX('×入力'!$A$1:$L$1300,679+BH$3,1)&lt;&gt;""),1,0),0)</f>
        <v/>
      </c>
      <c r="BI34">
        <f>IF(BI$4=1,IF(OR(INDEX('×入力'!$A$1:$L$1300,679+BI$3,2+BI$2)&lt;&gt;"",INDEX('×入力'!$A$1:$L$1300,678,2+BI$2)&lt;&gt;"",INDEX('×入力'!$A$1:$L$1300,679+BI$3,1)&lt;&gt;""),1,0),0)</f>
        <v/>
      </c>
      <c r="BJ34">
        <f>IF(BJ$4=1,IF(OR(INDEX('×入力'!$A$1:$L$1300,679+BJ$3,2+BJ$2)&lt;&gt;"",INDEX('×入力'!$A$1:$L$1300,678,2+BJ$2)&lt;&gt;"",INDEX('×入力'!$A$1:$L$1300,679+BJ$3,1)&lt;&gt;""),1,0),0)</f>
        <v/>
      </c>
      <c r="BK34">
        <f>IF(BK$4=1,IF(OR(INDEX('×入力'!$A$1:$L$1300,679+BK$3,2+BK$2)&lt;&gt;"",INDEX('×入力'!$A$1:$L$1300,678,2+BK$2)&lt;&gt;"",INDEX('×入力'!$A$1:$L$1300,679+BK$3,1)&lt;&gt;""),1,0),0)</f>
        <v/>
      </c>
      <c r="BL34">
        <f>IF(BL$4=1,IF(OR(INDEX('×入力'!$A$1:$L$1300,679+BL$3,2+BL$2)&lt;&gt;"",INDEX('×入力'!$A$1:$L$1300,678,2+BL$2)&lt;&gt;"",INDEX('×入力'!$A$1:$L$1300,679+BL$3,1)&lt;&gt;""),1,0),0)</f>
        <v/>
      </c>
      <c r="BM34">
        <f>IF(BM$4=1,IF(OR(INDEX('×入力'!$A$1:$L$1300,679+BM$3,2+BM$2)&lt;&gt;"",INDEX('×入力'!$A$1:$L$1300,678,2+BM$2)&lt;&gt;"",INDEX('×入力'!$A$1:$L$1300,679+BM$3,1)&lt;&gt;""),1,0),0)</f>
        <v/>
      </c>
      <c r="BN34">
        <f>IF(BN$4=1,IF(OR(INDEX('×入力'!$A$1:$L$1300,679+BN$3,2+BN$2)&lt;&gt;"",INDEX('×入力'!$A$1:$L$1300,678,2+BN$2)&lt;&gt;"",INDEX('×入力'!$A$1:$L$1300,679+BN$3,1)&lt;&gt;""),1,0),0)</f>
        <v/>
      </c>
      <c r="BO34">
        <f>IF(BO$4=1,IF(OR(INDEX('×入力'!$A$1:$L$1300,679+BO$3,2+BO$2)&lt;&gt;"",INDEX('×入力'!$A$1:$L$1300,678,2+BO$2)&lt;&gt;"",INDEX('×入力'!$A$1:$L$1300,679+BO$3,1)&lt;&gt;""),1,0),0)</f>
        <v/>
      </c>
      <c r="BP34">
        <f>IF(BP$4=1,IF(OR(INDEX('×入力'!$A$1:$L$1300,679+BP$3,2+BP$2)&lt;&gt;"",INDEX('×入力'!$A$1:$L$1300,678,2+BP$2)&lt;&gt;"",INDEX('×入力'!$A$1:$L$1300,679+BP$3,1)&lt;&gt;""),1,0),0)</f>
        <v/>
      </c>
      <c r="BQ34">
        <f>IF(BQ$4=1,IF(OR(INDEX('×入力'!$A$1:$L$1300,679+BQ$3,2+BQ$2)&lt;&gt;"",INDEX('×入力'!$A$1:$L$1300,678,2+BQ$2)&lt;&gt;"",INDEX('×入力'!$A$1:$L$1300,679+BQ$3,1)&lt;&gt;""),1,0),0)</f>
        <v/>
      </c>
      <c r="BR34">
        <f>IF(BR$4=1,IF(OR(INDEX('×入力'!$A$1:$L$1300,679+BR$3,2+BR$2)&lt;&gt;"",INDEX('×入力'!$A$1:$L$1300,678,2+BR$2)&lt;&gt;"",INDEX('×入力'!$A$1:$L$1300,679+BR$3,1)&lt;&gt;""),1,0),0)</f>
        <v/>
      </c>
      <c r="BS34">
        <f>IF(BS$4=1,IF(OR(INDEX('×入力'!$A$1:$L$1300,679+BS$3,2+BS$2)&lt;&gt;"",INDEX('×入力'!$A$1:$L$1300,678,2+BS$2)&lt;&gt;"",INDEX('×入力'!$A$1:$L$1300,679+BS$3,1)&lt;&gt;""),1,0),0)</f>
        <v/>
      </c>
      <c r="BT34">
        <f>IF(BT$4=1,IF(OR(INDEX('×入力'!$A$1:$L$1300,679+BT$3,2+BT$2)&lt;&gt;"",INDEX('×入力'!$A$1:$L$1300,678,2+BT$2)&lt;&gt;"",INDEX('×入力'!$A$1:$L$1300,679+BT$3,1)&lt;&gt;""),1,0),0)</f>
        <v/>
      </c>
      <c r="BU34">
        <f>IF(BU$4=1,IF(OR(INDEX('×入力'!$A$1:$L$1300,679+BU$3,2+BU$2)&lt;&gt;"",INDEX('×入力'!$A$1:$L$1300,678,2+BU$2)&lt;&gt;"",INDEX('×入力'!$A$1:$L$1300,679+BU$3,1)&lt;&gt;""),1,0),0)</f>
        <v/>
      </c>
      <c r="BV34">
        <f>IF(BV$4=1,IF(OR(INDEX('×入力'!$A$1:$L$1300,679+BV$3,2+BV$2)&lt;&gt;"",INDEX('×入力'!$A$1:$L$1300,678,2+BV$2)&lt;&gt;"",INDEX('×入力'!$A$1:$L$1300,679+BV$3,1)&lt;&gt;""),1,0),0)</f>
        <v/>
      </c>
      <c r="BW34">
        <f>IF(BW$4=1,IF(OR(INDEX('×入力'!$A$1:$L$1300,679+BW$3,2+BW$2)&lt;&gt;"",INDEX('×入力'!$A$1:$L$1300,678,2+BW$2)&lt;&gt;"",INDEX('×入力'!$A$1:$L$1300,679+BW$3,1)&lt;&gt;""),1,0),0)</f>
        <v/>
      </c>
      <c r="BX34">
        <f>IF(BX$4=1,IF(OR(INDEX('×入力'!$A$1:$L$1300,679+BX$3,2+BX$2)&lt;&gt;"",INDEX('×入力'!$A$1:$L$1300,678,2+BX$2)&lt;&gt;"",INDEX('×入力'!$A$1:$L$1300,679+BX$3,1)&lt;&gt;""),1,0),0)</f>
        <v/>
      </c>
      <c r="BY34">
        <f>IF(BY$4=1,IF(OR(INDEX('×入力'!$A$1:$L$1300,679+BY$3,2+BY$2)&lt;&gt;"",INDEX('×入力'!$A$1:$L$1300,678,2+BY$2)&lt;&gt;"",INDEX('×入力'!$A$1:$L$1300,679+BY$3,1)&lt;&gt;""),1,0),0)</f>
        <v/>
      </c>
      <c r="BZ34">
        <f>IF(BZ$4=1,IF(OR(INDEX('×入力'!$A$1:$L$1300,679+BZ$3,2+BZ$2)&lt;&gt;"",INDEX('×入力'!$A$1:$L$1300,678,2+BZ$2)&lt;&gt;"",INDEX('×入力'!$A$1:$L$1300,679+BZ$3,1)&lt;&gt;""),1,0),0)</f>
        <v/>
      </c>
      <c r="CA34">
        <f>IF(CA$4=1,IF(OR(INDEX('×入力'!$A$1:$L$1300,679+CA$3,2+CA$2)&lt;&gt;"",INDEX('×入力'!$A$1:$L$1300,678,2+CA$2)&lt;&gt;"",INDEX('×入力'!$A$1:$L$1300,679+CA$3,1)&lt;&gt;""),1,0),0)</f>
        <v/>
      </c>
      <c r="CB34">
        <f>IF(CB$4=1,IF(OR(INDEX('×入力'!$A$1:$L$1300,679+CB$3,2+CB$2)&lt;&gt;"",INDEX('×入力'!$A$1:$L$1300,678,2+CB$2)&lt;&gt;"",INDEX('×入力'!$A$1:$L$1300,679+CB$3,1)&lt;&gt;""),1,0),0)</f>
        <v/>
      </c>
      <c r="CC34">
        <f>IF(CC$4=1,IF(OR(INDEX('×入力'!$A$1:$L$1300,679+CC$3,2+CC$2)&lt;&gt;"",INDEX('×入力'!$A$1:$L$1300,678,2+CC$2)&lt;&gt;"",INDEX('×入力'!$A$1:$L$1300,679+CC$3,1)&lt;&gt;""),1,0),0)</f>
        <v/>
      </c>
      <c r="CD34">
        <f>IF(CD$4=1,IF(OR(INDEX('×入力'!$A$1:$L$1300,679+CD$3,2+CD$2)&lt;&gt;"",INDEX('×入力'!$A$1:$L$1300,678,2+CD$2)&lt;&gt;"",INDEX('×入力'!$A$1:$L$1300,679+CD$3,1)&lt;&gt;""),1,0),0)</f>
        <v/>
      </c>
      <c r="CE34">
        <f>IF(CE$4=1,IF(OR(INDEX('×入力'!$A$1:$L$1300,679+CE$3,2+CE$2)&lt;&gt;"",INDEX('×入力'!$A$1:$L$1300,678,2+CE$2)&lt;&gt;"",INDEX('×入力'!$A$1:$L$1300,679+CE$3,1)&lt;&gt;""),1,0),0)</f>
        <v/>
      </c>
      <c r="CF34">
        <f>IF(CF$4=1,IF(OR(INDEX('×入力'!$A$1:$L$1300,679+CF$3,2+CF$2)&lt;&gt;"",INDEX('×入力'!$A$1:$L$1300,678,2+CF$2)&lt;&gt;"",INDEX('×入力'!$A$1:$L$1300,679+CF$3,1)&lt;&gt;""),1,0),0)</f>
        <v/>
      </c>
      <c r="CG34">
        <f>IF(CG$4=1,IF(OR(INDEX('×入力'!$A$1:$L$1300,679+CG$3,2+CG$2)&lt;&gt;"",INDEX('×入力'!$A$1:$L$1300,678,2+CG$2)&lt;&gt;"",INDEX('×入力'!$A$1:$L$1300,679+CG$3,1)&lt;&gt;""),1,0),0)</f>
        <v/>
      </c>
      <c r="CH34">
        <f>IF(CH$4=1,IF(OR(INDEX('×入力'!$A$1:$L$1300,679+CH$3,2+CH$2)&lt;&gt;"",INDEX('×入力'!$A$1:$L$1300,678,2+CH$2)&lt;&gt;"",INDEX('×入力'!$A$1:$L$1300,679+CH$3,1)&lt;&gt;""),1,0),0)</f>
        <v/>
      </c>
      <c r="CI34">
        <f>IF(CI$4=1,IF(OR(INDEX('×入力'!$A$1:$L$1300,679+CI$3,2+CI$2)&lt;&gt;"",INDEX('×入力'!$A$1:$L$1300,678,2+CI$2)&lt;&gt;"",INDEX('×入力'!$A$1:$L$1300,679+CI$3,1)&lt;&gt;""),1,0),0)</f>
        <v/>
      </c>
      <c r="CJ34">
        <f>IF(CJ$4=1,IF(OR(INDEX('×入力'!$A$1:$L$1300,679+CJ$3,2+CJ$2)&lt;&gt;"",INDEX('×入力'!$A$1:$L$1300,678,2+CJ$2)&lt;&gt;"",INDEX('×入力'!$A$1:$L$1300,679+CJ$3,1)&lt;&gt;""),1,0),0)</f>
        <v/>
      </c>
      <c r="CK34">
        <f>IF(CK$4=1,IF(OR(INDEX('×入力'!$A$1:$L$1300,679+CK$3,2+CK$2)&lt;&gt;"",INDEX('×入力'!$A$1:$L$1300,678,2+CK$2)&lt;&gt;"",INDEX('×入力'!$A$1:$L$1300,679+CK$3,1)&lt;&gt;""),1,0),0)</f>
        <v/>
      </c>
      <c r="CL34">
        <f>IF(CL$4=1,IF(OR(INDEX('×入力'!$A$1:$L$1300,679+CL$3,2+CL$2)&lt;&gt;"",INDEX('×入力'!$A$1:$L$1300,678,2+CL$2)&lt;&gt;"",INDEX('×入力'!$A$1:$L$1300,679+CL$3,1)&lt;&gt;""),1,0),0)</f>
        <v/>
      </c>
      <c r="CM34">
        <f>IF(CM$4=1,IF(OR(INDEX('×入力'!$A$1:$L$1300,679+CM$3,2+CM$2)&lt;&gt;"",INDEX('×入力'!$A$1:$L$1300,678,2+CM$2)&lt;&gt;"",INDEX('×入力'!$A$1:$L$1300,679+CM$3,1)&lt;&gt;""),1,0),0)</f>
        <v/>
      </c>
      <c r="CN34">
        <f>IF(CN$4=1,IF(OR(INDEX('×入力'!$A$1:$L$1300,679+CN$3,2+CN$2)&lt;&gt;"",INDEX('×入力'!$A$1:$L$1300,678,2+CN$2)&lt;&gt;"",INDEX('×入力'!$A$1:$L$1300,679+CN$3,1)&lt;&gt;""),1,0),0)</f>
        <v/>
      </c>
      <c r="CO34">
        <f>IF(CO$4=1,IF(OR(INDEX('×入力'!$A$1:$L$1300,679+CO$3,2+CO$2)&lt;&gt;"",INDEX('×入力'!$A$1:$L$1300,678,2+CO$2)&lt;&gt;"",INDEX('×入力'!$A$1:$L$1300,679+CO$3,1)&lt;&gt;""),1,0),0)</f>
        <v/>
      </c>
      <c r="CP34">
        <f>IF(CP$4=1,IF(OR(INDEX('×入力'!$A$1:$L$1300,679+CP$3,2+CP$2)&lt;&gt;"",INDEX('×入力'!$A$1:$L$1300,678,2+CP$2)&lt;&gt;"",INDEX('×入力'!$A$1:$L$1300,679+CP$3,1)&lt;&gt;""),1,0),0)</f>
        <v/>
      </c>
      <c r="CQ34">
        <f>IF(CQ$4=1,IF(OR(INDEX('×入力'!$A$1:$L$1300,679+CQ$3,2+CQ$2)&lt;&gt;"",INDEX('×入力'!$A$1:$L$1300,678,2+CQ$2)&lt;&gt;"",INDEX('×入力'!$A$1:$L$1300,679+CQ$3,1)&lt;&gt;""),1,0),0)</f>
        <v/>
      </c>
      <c r="CR34">
        <f>IF(CR$4=1,IF(OR(INDEX('×入力'!$A$1:$L$1300,679+CR$3,2+CR$2)&lt;&gt;"",INDEX('×入力'!$A$1:$L$1300,678,2+CR$2)&lt;&gt;"",INDEX('×入力'!$A$1:$L$1300,679+CR$3,1)&lt;&gt;""),1,0),0)</f>
        <v/>
      </c>
      <c r="CS34">
        <f>IF(CS$4=1,IF(OR(INDEX('×入力'!$A$1:$L$1300,679+CS$3,2+CS$2)&lt;&gt;"",INDEX('×入力'!$A$1:$L$1300,678,2+CS$2)&lt;&gt;"",INDEX('×入力'!$A$1:$L$1300,679+CS$3,1)&lt;&gt;""),1,0),0)</f>
        <v/>
      </c>
      <c r="CT34">
        <f>IF(CT$4=1,IF(OR(INDEX('×入力'!$A$1:$L$1300,679+CT$3,2+CT$2)&lt;&gt;"",INDEX('×入力'!$A$1:$L$1300,678,2+CT$2)&lt;&gt;"",INDEX('×入力'!$A$1:$L$1300,679+CT$3,1)&lt;&gt;""),1,0),0)</f>
        <v/>
      </c>
      <c r="CU34">
        <f>IF(CU$4=1,IF(OR(INDEX('×入力'!$A$1:$L$1300,679+CU$3,2+CU$2)&lt;&gt;"",INDEX('×入力'!$A$1:$L$1300,678,2+CU$2)&lt;&gt;"",INDEX('×入力'!$A$1:$L$1300,679+CU$3,1)&lt;&gt;""),1,0),0)</f>
        <v/>
      </c>
      <c r="CV34">
        <f>IF(CV$4=1,IF(OR(INDEX('×入力'!$A$1:$L$1300,679+CV$3,2+CV$2)&lt;&gt;"",INDEX('×入力'!$A$1:$L$1300,678,2+CV$2)&lt;&gt;"",INDEX('×入力'!$A$1:$L$1300,679+CV$3,1)&lt;&gt;""),1,0),0)</f>
        <v/>
      </c>
      <c r="CW34">
        <f>IF(CW$4=1,IF(OR(INDEX('×入力'!$A$1:$L$1300,679+CW$3,2+CW$2)&lt;&gt;"",INDEX('×入力'!$A$1:$L$1300,678,2+CW$2)&lt;&gt;"",INDEX('×入力'!$A$1:$L$1300,679+CW$3,1)&lt;&gt;""),1,0),0)</f>
        <v/>
      </c>
      <c r="CX34">
        <f>IF(CX$4=1,IF(OR(INDEX('×入力'!$A$1:$L$1300,679+CX$3,2+CX$2)&lt;&gt;"",INDEX('×入力'!$A$1:$L$1300,678,2+CX$2)&lt;&gt;"",INDEX('×入力'!$A$1:$L$1300,679+CX$3,1)&lt;&gt;""),1,0),0)</f>
        <v/>
      </c>
      <c r="CY34">
        <f>IF(CY$4=1,IF(OR(INDEX('×入力'!$A$1:$L$1300,679+CY$3,2+CY$2)&lt;&gt;"",INDEX('×入力'!$A$1:$L$1300,678,2+CY$2)&lt;&gt;"",INDEX('×入力'!$A$1:$L$1300,679+CY$3,1)&lt;&gt;""),1,0),0)</f>
        <v/>
      </c>
      <c r="CZ34">
        <f>IF(CZ$4=1,IF(OR(INDEX('×入力'!$A$1:$L$1300,679+CZ$3,2+CZ$2)&lt;&gt;"",INDEX('×入力'!$A$1:$L$1300,678,2+CZ$2)&lt;&gt;"",INDEX('×入力'!$A$1:$L$1300,679+CZ$3,1)&lt;&gt;""),1,0),0)</f>
        <v/>
      </c>
      <c r="DA34">
        <f>IF(DA$4=1,IF(OR(INDEX('×入力'!$A$1:$L$1300,679+DA$3,2+DA$2)&lt;&gt;"",INDEX('×入力'!$A$1:$L$1300,678,2+DA$2)&lt;&gt;"",INDEX('×入力'!$A$1:$L$1300,679+DA$3,1)&lt;&gt;""),1,0),0)</f>
        <v/>
      </c>
      <c r="DB34">
        <f>IF(DB$4=1,IF(OR(INDEX('×入力'!$A$1:$L$1300,679+DB$3,2+DB$2)&lt;&gt;"",INDEX('×入力'!$A$1:$L$1300,678,2+DB$2)&lt;&gt;"",INDEX('×入力'!$A$1:$L$1300,679+DB$3,1)&lt;&gt;""),1,0),0)</f>
        <v/>
      </c>
      <c r="DC34">
        <f>IF(DC$4=1,IF(OR(INDEX('×入力'!$A$1:$L$1300,679+DC$3,2+DC$2)&lt;&gt;"",INDEX('×入力'!$A$1:$L$1300,678,2+DC$2)&lt;&gt;"",INDEX('×入力'!$A$1:$L$1300,679+DC$3,1)&lt;&gt;""),1,0),0)</f>
        <v/>
      </c>
      <c r="DD34">
        <f>IF(DD$4=1,IF(OR(INDEX('×入力'!$A$1:$L$1300,679+DD$3,2+DD$2)&lt;&gt;"",INDEX('×入力'!$A$1:$L$1300,678,2+DD$2)&lt;&gt;"",INDEX('×入力'!$A$1:$L$1300,679+DD$3,1)&lt;&gt;""),1,0),0)</f>
        <v/>
      </c>
      <c r="DE34">
        <f>IF(DE$4=1,IF(OR(INDEX('×入力'!$A$1:$L$1300,679+DE$3,2+DE$2)&lt;&gt;"",INDEX('×入力'!$A$1:$L$1300,678,2+DE$2)&lt;&gt;"",INDEX('×入力'!$A$1:$L$1300,679+DE$3,1)&lt;&gt;""),1,0),0)</f>
        <v/>
      </c>
      <c r="DF34">
        <f>IF(DF$4=1,IF(OR(INDEX('×入力'!$A$1:$L$1300,679+DF$3,2+DF$2)&lt;&gt;"",INDEX('×入力'!$A$1:$L$1300,678,2+DF$2)&lt;&gt;"",INDEX('×入力'!$A$1:$L$1300,679+DF$3,1)&lt;&gt;""),1,0),0)</f>
        <v/>
      </c>
      <c r="DG34">
        <f>IF(DG$4=1,IF(OR(INDEX('×入力'!$A$1:$L$1300,679+DG$3,2+DG$2)&lt;&gt;"",INDEX('×入力'!$A$1:$L$1300,678,2+DG$2)&lt;&gt;"",INDEX('×入力'!$A$1:$L$1300,679+DG$3,1)&lt;&gt;""),1,0),0)</f>
        <v/>
      </c>
      <c r="DH34">
        <f>IF(DH$4=1,IF(OR(INDEX('×入力'!$A$1:$L$1300,679+DH$3,2+DH$2)&lt;&gt;"",INDEX('×入力'!$A$1:$L$1300,678,2+DH$2)&lt;&gt;"",INDEX('×入力'!$A$1:$L$1300,679+DH$3,1)&lt;&gt;""),1,0),0)</f>
        <v/>
      </c>
      <c r="DI34">
        <f>IF(DI$4=1,IF(OR(INDEX('×入力'!$A$1:$L$1300,679+DI$3,2+DI$2)&lt;&gt;"",INDEX('×入力'!$A$1:$L$1300,678,2+DI$2)&lt;&gt;"",INDEX('×入力'!$A$1:$L$1300,679+DI$3,1)&lt;&gt;""),1,0),0)</f>
        <v/>
      </c>
      <c r="DJ34">
        <f>IF(DJ$4=1,IF(OR(INDEX('×入力'!$A$1:$L$1300,679+DJ$3,2+DJ$2)&lt;&gt;"",INDEX('×入力'!$A$1:$L$1300,678,2+DJ$2)&lt;&gt;"",INDEX('×入力'!$A$1:$L$1300,679+DJ$3,1)&lt;&gt;""),1,0),0)</f>
        <v/>
      </c>
      <c r="DK34">
        <f>IF(DK$4=1,IF(OR(INDEX('×入力'!$A$1:$L$1300,679+DK$3,2+DK$2)&lt;&gt;"",INDEX('×入力'!$A$1:$L$1300,678,2+DK$2)&lt;&gt;"",INDEX('×入力'!$A$1:$L$1300,679+DK$3,1)&lt;&gt;""),1,0),0)</f>
        <v/>
      </c>
      <c r="DL34">
        <f>IF(DL$4=1,IF(OR(INDEX('×入力'!$A$1:$L$1300,679+DL$3,2+DL$2)&lt;&gt;"",INDEX('×入力'!$A$1:$L$1300,678,2+DL$2)&lt;&gt;"",INDEX('×入力'!$A$1:$L$1300,679+DL$3,1)&lt;&gt;""),1,0),0)</f>
        <v/>
      </c>
      <c r="DM34">
        <f>IF(DM$4=1,IF(OR(INDEX('×入力'!$A$1:$L$1300,679+DM$3,2+DM$2)&lt;&gt;"",INDEX('×入力'!$A$1:$L$1300,678,2+DM$2)&lt;&gt;"",INDEX('×入力'!$A$1:$L$1300,679+DM$3,1)&lt;&gt;""),1,0),0)</f>
        <v/>
      </c>
      <c r="DN34">
        <f>IF(DN$4=1,IF(OR(INDEX('×入力'!$A$1:$L$1300,679+DN$3,2+DN$2)&lt;&gt;"",INDEX('×入力'!$A$1:$L$1300,678,2+DN$2)&lt;&gt;"",INDEX('×入力'!$A$1:$L$1300,679+DN$3,1)&lt;&gt;""),1,0),0)</f>
        <v/>
      </c>
      <c r="DO34">
        <f>IF(DO$4=1,IF(OR(INDEX('×入力'!$A$1:$L$1300,679+DO$3,2+DO$2)&lt;&gt;"",INDEX('×入力'!$A$1:$L$1300,678,2+DO$2)&lt;&gt;"",INDEX('×入力'!$A$1:$L$1300,679+DO$3,1)&lt;&gt;""),1,0),0)</f>
        <v/>
      </c>
      <c r="DP34">
        <f>IF(DP$4=1,IF(OR(INDEX('×入力'!$A$1:$L$1300,679+DP$3,2+DP$2)&lt;&gt;"",INDEX('×入力'!$A$1:$L$1300,678,2+DP$2)&lt;&gt;"",INDEX('×入力'!$A$1:$L$1300,679+DP$3,1)&lt;&gt;""),1,0),0)</f>
        <v/>
      </c>
      <c r="DQ34">
        <f>IF(DQ$4=1,IF(OR(INDEX('×入力'!$A$1:$L$1300,679+DQ$3,2+DQ$2)&lt;&gt;"",INDEX('×入力'!$A$1:$L$1300,678,2+DQ$2)&lt;&gt;"",INDEX('×入力'!$A$1:$L$1300,679+DQ$3,1)&lt;&gt;""),1,0),0)</f>
        <v/>
      </c>
      <c r="DR34">
        <f>IF(DR$4=1,IF(OR(INDEX('×入力'!$A$1:$L$1300,679+DR$3,2+DR$2)&lt;&gt;"",INDEX('×入力'!$A$1:$L$1300,678,2+DR$2)&lt;&gt;"",INDEX('×入力'!$A$1:$L$1300,679+DR$3,1)&lt;&gt;""),1,0),0)</f>
        <v/>
      </c>
      <c r="DS34">
        <f>IF(DS$4=1,IF(OR(INDEX('×入力'!$A$1:$L$1300,679+DS$3,2+DS$2)&lt;&gt;"",INDEX('×入力'!$A$1:$L$1300,678,2+DS$2)&lt;&gt;"",INDEX('×入力'!$A$1:$L$1300,679+DS$3,1)&lt;&gt;""),1,0),0)</f>
        <v/>
      </c>
      <c r="DT34">
        <f>IF(DT$4=1,IF(OR(INDEX('×入力'!$A$1:$L$1300,679+DT$3,2+DT$2)&lt;&gt;"",INDEX('×入力'!$A$1:$L$1300,678,2+DT$2)&lt;&gt;"",INDEX('×入力'!$A$1:$L$1300,679+DT$3,1)&lt;&gt;""),1,0),0)</f>
        <v/>
      </c>
      <c r="DU34">
        <f>IF(DU$4=1,IF(OR(INDEX('×入力'!$A$1:$L$1300,679+DU$3,2+DU$2)&lt;&gt;"",INDEX('×入力'!$A$1:$L$1300,678,2+DU$2)&lt;&gt;"",INDEX('×入力'!$A$1:$L$1300,679+DU$3,1)&lt;&gt;""),1,0),0)</f>
        <v/>
      </c>
      <c r="DV34">
        <f>IF(DV$4=1,IF(OR(INDEX('×入力'!$A$1:$L$1300,679+DV$3,2+DV$2)&lt;&gt;"",INDEX('×入力'!$A$1:$L$1300,678,2+DV$2)&lt;&gt;"",INDEX('×入力'!$A$1:$L$1300,679+DV$3,1)&lt;&gt;""),1,0),0)</f>
        <v/>
      </c>
      <c r="DW34">
        <f>IF(DW$4=1,IF(OR(INDEX('×入力'!$A$1:$L$1300,679+DW$3,2+DW$2)&lt;&gt;"",INDEX('×入力'!$A$1:$L$1300,678,2+DW$2)&lt;&gt;"",INDEX('×入力'!$A$1:$L$1300,679+DW$3,1)&lt;&gt;""),1,0),0)</f>
        <v/>
      </c>
      <c r="DX34">
        <f>IF(DX$4=1,IF(OR(INDEX('×入力'!$A$1:$L$1300,679+DX$3,2+DX$2)&lt;&gt;"",INDEX('×入力'!$A$1:$L$1300,678,2+DX$2)&lt;&gt;"",INDEX('×入力'!$A$1:$L$1300,679+DX$3,1)&lt;&gt;""),1,0),0)</f>
        <v/>
      </c>
      <c r="DY34">
        <f>IF(DY$4=1,IF(OR(INDEX('×入力'!$A$1:$L$1300,679+DY$3,2+DY$2)&lt;&gt;"",INDEX('×入力'!$A$1:$L$1300,678,2+DY$2)&lt;&gt;"",INDEX('×入力'!$A$1:$L$1300,679+DY$3,1)&lt;&gt;""),1,0),0)</f>
        <v/>
      </c>
      <c r="DZ34">
        <f>IF(DZ$4=1,IF(OR(INDEX('×入力'!$A$1:$L$1300,679+DZ$3,2+DZ$2)&lt;&gt;"",INDEX('×入力'!$A$1:$L$1300,678,2+DZ$2)&lt;&gt;"",INDEX('×入力'!$A$1:$L$1300,679+DZ$3,1)&lt;&gt;""),1,0),0)</f>
        <v/>
      </c>
      <c r="EA34">
        <f>IF(EA$4=1,IF(OR(INDEX('×入力'!$A$1:$L$1300,679+EA$3,2+EA$2)&lt;&gt;"",INDEX('×入力'!$A$1:$L$1300,678,2+EA$2)&lt;&gt;"",INDEX('×入力'!$A$1:$L$1300,679+EA$3,1)&lt;&gt;""),1,0),0)</f>
        <v/>
      </c>
      <c r="EB34">
        <f>IF(EB$4=1,IF(OR(INDEX('×入力'!$A$1:$L$1300,679+EB$3,2+EB$2)&lt;&gt;"",INDEX('×入力'!$A$1:$L$1300,678,2+EB$2)&lt;&gt;"",INDEX('×入力'!$A$1:$L$1300,679+EB$3,1)&lt;&gt;""),1,0),0)</f>
        <v/>
      </c>
      <c r="EC34">
        <f>IF(EC$4=1,IF(OR(INDEX('×入力'!$A$1:$L$1300,679+EC$3,2+EC$2)&lt;&gt;"",INDEX('×入力'!$A$1:$L$1300,678,2+EC$2)&lt;&gt;"",INDEX('×入力'!$A$1:$L$1300,679+EC$3,1)&lt;&gt;""),1,0),0)</f>
        <v/>
      </c>
      <c r="ED34">
        <f>IF(ED$4=1,IF(OR(INDEX('×入力'!$A$1:$L$1300,679+ED$3,2+ED$2)&lt;&gt;"",INDEX('×入力'!$A$1:$L$1300,678,2+ED$2)&lt;&gt;"",INDEX('×入力'!$A$1:$L$1300,679+ED$3,1)&lt;&gt;""),1,0),0)</f>
        <v/>
      </c>
      <c r="EE34">
        <f>IF(EE$4=1,IF(OR(INDEX('×入力'!$A$1:$L$1300,679+EE$3,2+EE$2)&lt;&gt;"",INDEX('×入力'!$A$1:$L$1300,678,2+EE$2)&lt;&gt;"",INDEX('×入力'!$A$1:$L$1300,679+EE$3,1)&lt;&gt;""),1,0),0)</f>
        <v/>
      </c>
      <c r="EF34">
        <f>IF(EF$4=1,IF(OR(INDEX('×入力'!$A$1:$L$1300,679+EF$3,2+EF$2)&lt;&gt;"",INDEX('×入力'!$A$1:$L$1300,678,2+EF$2)&lt;&gt;"",INDEX('×入力'!$A$1:$L$1300,679+EF$3,1)&lt;&gt;""),1,0),0)</f>
        <v/>
      </c>
      <c r="EG34">
        <f>IF(EG$4=1,IF(OR(INDEX('×入力'!$A$1:$L$1300,679+EG$3,2+EG$2)&lt;&gt;"",INDEX('×入力'!$A$1:$L$1300,678,2+EG$2)&lt;&gt;"",INDEX('×入力'!$A$1:$L$1300,679+EG$3,1)&lt;&gt;""),1,0),0)</f>
        <v/>
      </c>
      <c r="EH34">
        <f>IF(EH$4=1,IF(OR(INDEX('×入力'!$A$1:$L$1300,679+EH$3,2+EH$2)&lt;&gt;"",INDEX('×入力'!$A$1:$L$1300,678,2+EH$2)&lt;&gt;"",INDEX('×入力'!$A$1:$L$1300,679+EH$3,1)&lt;&gt;""),1,0),0)</f>
        <v/>
      </c>
      <c r="EI34">
        <f>IF(EI$4=1,IF(OR(INDEX('×入力'!$A$1:$L$1300,679+EI$3,2+EI$2)&lt;&gt;"",INDEX('×入力'!$A$1:$L$1300,678,2+EI$2)&lt;&gt;"",INDEX('×入力'!$A$1:$L$1300,679+EI$3,1)&lt;&gt;""),1,0),0)</f>
        <v/>
      </c>
      <c r="EJ34">
        <f>IF(EJ$4=1,IF(OR(INDEX('×入力'!$A$1:$L$1300,679+EJ$3,2+EJ$2)&lt;&gt;"",INDEX('×入力'!$A$1:$L$1300,678,2+EJ$2)&lt;&gt;"",INDEX('×入力'!$A$1:$L$1300,679+EJ$3,1)&lt;&gt;""),1,0),0)</f>
        <v/>
      </c>
      <c r="EK34">
        <f>IF(EK$4=1,IF(OR(INDEX('×入力'!$A$1:$L$1300,679+EK$3,2+EK$2)&lt;&gt;"",INDEX('×入力'!$A$1:$L$1300,678,2+EK$2)&lt;&gt;"",INDEX('×入力'!$A$1:$L$1300,679+EK$3,1)&lt;&gt;""),1,0),0)</f>
        <v/>
      </c>
      <c r="EL34">
        <f>IF(EL$4=1,IF(OR(INDEX('×入力'!$A$1:$L$1300,679+EL$3,2+EL$2)&lt;&gt;"",INDEX('×入力'!$A$1:$L$1300,678,2+EL$2)&lt;&gt;"",INDEX('×入力'!$A$1:$L$1300,679+EL$3,1)&lt;&gt;""),1,0),0)</f>
        <v/>
      </c>
      <c r="EM34">
        <f>IF(EM$4=1,IF(OR(INDEX('×入力'!$A$1:$L$1300,679+EM$3,2+EM$2)&lt;&gt;"",INDEX('×入力'!$A$1:$L$1300,678,2+EM$2)&lt;&gt;"",INDEX('×入力'!$A$1:$L$1300,679+EM$3,1)&lt;&gt;""),1,0),0)</f>
        <v/>
      </c>
      <c r="EN34">
        <f>IF(EN$4=1,IF(OR(INDEX('×入力'!$A$1:$L$1300,679+EN$3,2+EN$2)&lt;&gt;"",INDEX('×入力'!$A$1:$L$1300,678,2+EN$2)&lt;&gt;"",INDEX('×入力'!$A$1:$L$1300,679+EN$3,1)&lt;&gt;""),1,0),0)</f>
        <v/>
      </c>
      <c r="EO34">
        <f>IF(EO$4=1,IF(OR(INDEX('×入力'!$A$1:$L$1300,679+EO$3,2+EO$2)&lt;&gt;"",INDEX('×入力'!$A$1:$L$1300,678,2+EO$2)&lt;&gt;"",INDEX('×入力'!$A$1:$L$1300,679+EO$3,1)&lt;&gt;""),1,0),0)</f>
        <v/>
      </c>
      <c r="EP34">
        <f>IF(EP$4=1,IF(OR(INDEX('×入力'!$A$1:$L$1300,679+EP$3,2+EP$2)&lt;&gt;"",INDEX('×入力'!$A$1:$L$1300,678,2+EP$2)&lt;&gt;"",INDEX('×入力'!$A$1:$L$1300,679+EP$3,1)&lt;&gt;""),1,0),0)</f>
        <v/>
      </c>
      <c r="EQ34">
        <f>IF(EQ$4=1,IF(OR(INDEX('×入力'!$A$1:$L$1300,679+EQ$3,2+EQ$2)&lt;&gt;"",INDEX('×入力'!$A$1:$L$1300,678,2+EQ$2)&lt;&gt;"",INDEX('×入力'!$A$1:$L$1300,679+EQ$3,1)&lt;&gt;""),1,0),0)</f>
        <v/>
      </c>
      <c r="HA34">
        <f>MAX(0,IT34)</f>
        <v/>
      </c>
      <c r="HB34">
        <f>IF(HA34=0,0,INDEX($D$2:$EQ$2,HA34))</f>
        <v/>
      </c>
      <c r="HC34">
        <f>IF(HA34=0,0,INDEX($D$3:$EQ$3,HA34))</f>
        <v/>
      </c>
      <c r="HD34">
        <f>MAX(0,IY34)</f>
        <v/>
      </c>
      <c r="HE34">
        <f>IF(HD34=0,0,INDEX($D$2:$EQ$2,HD34))</f>
        <v/>
      </c>
      <c r="HF34">
        <f>IF(HD34=0,0,INDEX($D$3:$EQ$3,HD34))</f>
        <v/>
      </c>
      <c r="HG34">
        <f>MAX(0,IZ34)</f>
        <v/>
      </c>
      <c r="HH34">
        <f>IF(HG34=0,0,INDEX($D$2:$EQ$2,HG34))</f>
        <v/>
      </c>
      <c r="HI34">
        <f>IF(HG34=0,0,INDEX($D$3:$EQ$3,HG34))</f>
        <v/>
      </c>
      <c r="HJ34">
        <f>IF(AND(HA34&gt;0,HC34&gt;1,OR(HC34-1&lt;&gt;$A$3,$A$4=0)),HA34-1,-1)</f>
        <v/>
      </c>
      <c r="HK34">
        <f>IF(AND(HA34&gt;0,HC34&lt;24,OR(HC34&lt;&gt;$A$3,$A$4=0)),HA34+1,-1)</f>
        <v/>
      </c>
      <c r="HL34">
        <f>IF(AND(HD34&gt;0,HF34&gt;1,OR(HF34-1&lt;&gt;$A$3,$A$4=0)),HD34-1,-1)</f>
        <v/>
      </c>
      <c r="HM34">
        <f>IF(AND(HD34&gt;0,HF34&lt;24,OR(HF34&lt;&gt;$A$3,$A$4=0)),HD34+1,-1)</f>
        <v/>
      </c>
      <c r="HN34">
        <f>IF(AND(HG34&gt;0,HI34&gt;1,OR(HI34-1&lt;&gt;$A$3,$A$4=0)),HG34-1,-1)</f>
        <v/>
      </c>
      <c r="HO34">
        <f>IF(AND(HG34&gt;0,HI34&lt;24,OR(HI34&lt;&gt;$A$3,$A$4=0)),HG34+1,-1)</f>
        <v/>
      </c>
      <c r="IK34">
        <f>IFERROR(INDEX('calcB'!$C$3:$C$47,MATCH(A34,'calcB'!$B$3:$B$47,0)),0)</f>
        <v/>
      </c>
      <c r="IL34">
        <f>IF(AND(C34=1,IK34=0,calcA!$A$6&gt;0),1,0)</f>
        <v/>
      </c>
      <c r="IM34">
        <f>SUMPRODUCT(D84:EQ84*(1-$D$7:$EQ$7))</f>
        <v/>
      </c>
      <c r="IN34">
        <f>SUM(D34:EQ34)</f>
        <v/>
      </c>
      <c r="IO34">
        <f>IF(B34="",0,IF(COUNTIF('調整・決定'!$C$6:$H$29,B34)=1,SUMPRODUCT(('調整・決定'!$C$6:$H$29=B34)*((COLUMN('調整・決定'!$C$6:$H$29)-3)*24+ROW('調整・決定'!$C$6:$H$29)-5)),0))</f>
        <v/>
      </c>
      <c r="IP34">
        <f>IFERROR(MATCH('名簿'!C29,{"早い時刻","遅い時刻","早い日","遅い日"},0),0)</f>
        <v/>
      </c>
      <c r="IQ34">
        <f>IF('名簿'!D29="必ず空けたい",2,IF('名簿'!D29="出来れば空けたい",1,0))</f>
        <v/>
      </c>
      <c r="IR34">
        <f>IFERROR(INDEX('calcC'!$C$3:$C$47,MATCH(A34,'calcC'!$B$3:$B$47,0)),0)</f>
        <v/>
      </c>
      <c r="IS34">
        <f>IF(AND(C34=1,IR34=0,calcA!$A$6&gt;0),1,0)</f>
        <v/>
      </c>
      <c r="IT34">
        <f>IF(OR('名簿'!G29="",'名簿'!H29=""),0,IFERROR((MATCH('名簿'!G29,'設定'!$E$11:$E$16,0)-1)*24+MATCH('名簿'!H29,'設定'!$I$11:$I$34,0),-1))</f>
        <v/>
      </c>
      <c r="IV34">
        <f>IF(OR(JF34=0,IO34=0),1,IF(OR(IF(IT34&gt;0,AND(INDEX($D$2:$EQ$2,IO34)=INDEX($D$2:$EQ$2,IT34),OR(AND(IO34=IT34+1,OR(INDEX($D$3:$EQ$3,IT34)&lt;&gt;$A$3,$A$4=0)),AND(IO34=IT34-1,OR(INDEX($D$3:$EQ$3,IO34)&lt;&gt;$A$3,$A$4=0)))),FALSE),IF(IY34&gt;0,AND(INDEX($D$2:$EQ$2,IO34)=INDEX($D$2:$EQ$2,IY34),OR(AND(IO34=IY34+1,OR(INDEX($D$3:$EQ$3,IY34)&lt;&gt;$A$3,$A$4=0)),AND(IO34=IY34-1,OR(INDEX($D$3:$EQ$3,IO34)&lt;&gt;$A$3,$A$4=0)))),FALSE),IF(IZ34&gt;0,AND(INDEX($D$2:$EQ$2,IO34)=INDEX($D$2:$EQ$2,IZ34),OR(AND(IO34=IZ34+1,OR(INDEX($D$3:$EQ$3,IZ34)&lt;&gt;$A$3,$A$4=0)),AND(IO34=IZ34-1,OR(INDEX($D$3:$EQ$3,IO34)&lt;&gt;$A$3,$A$4=0)))),FALSE)),1,0))</f>
        <v/>
      </c>
      <c r="IW34">
        <f>IF(AND('名簿'!E29&lt;&gt;"",JF34=0),1,0)</f>
        <v/>
      </c>
      <c r="IX34">
        <f>IF('名簿'!D29="空けない",1,0)</f>
        <v/>
      </c>
      <c r="IY34">
        <f>IF(OR('名簿'!J29="",'名簿'!K29=""),0,IFERROR((MATCH('名簿'!J29,'設定'!$E$11:$E$16,0)-1)*24+MATCH('名簿'!K29,'設定'!$I$11:$I$34,0),-1))</f>
        <v/>
      </c>
      <c r="IZ34">
        <f>IF(OR('名簿'!M29="",'名簿'!N29=""),0,IFERROR((MATCH('名簿'!M29,'設定'!$E$11:$E$16,0)-1)*24+MATCH('名簿'!N29,'設定'!$I$11:$I$34,0),-1))</f>
        <v/>
      </c>
      <c r="JC34">
        <f>IF(RIGHT('名簿'!I29,2)="の前",1,IF(RIGHT('名簿'!I29,2)="の後",2,0))</f>
        <v/>
      </c>
      <c r="JD34">
        <f>IF(RIGHT('名簿'!L29,2)="の前",1,IF(RIGHT('名簿'!L29,2)="の後",2,0))</f>
        <v/>
      </c>
      <c r="JE34">
        <f>IF(RIGHT('名簿'!O29,2)="の前",1,IF(RIGHT('名簿'!O29,2)="の後",2,0))</f>
        <v/>
      </c>
      <c r="JF34">
        <f>IF(OR(IT34&gt;0,IY34&gt;0,IZ34&gt;0),1,0)</f>
        <v/>
      </c>
      <c r="JG34">
        <f>IF(OR(IT34&lt;0,IY34&lt;0,IZ34&lt;0),1,0)</f>
        <v/>
      </c>
    </row>
    <row r="35">
      <c r="A35" t="n">
        <v>26</v>
      </c>
      <c r="B35">
        <f>'名簿'!P30</f>
        <v/>
      </c>
      <c r="C35">
        <f>IF(AND(B35&lt;&gt;"",OR('名簿'!Q30="入力済み",'名簿'!Q30="×なし"),IO35=0,COUNTIF('調整・決定'!$C$6:$H$29,B35)=0),1,0)</f>
        <v/>
      </c>
      <c r="D35">
        <f>IF(D$4=1,IF(OR(INDEX('×入力'!$A$1:$L$1300,707+D$3,2+D$2)&lt;&gt;"",INDEX('×入力'!$A$1:$L$1300,706,2+D$2)&lt;&gt;"",INDEX('×入力'!$A$1:$L$1300,707+D$3,1)&lt;&gt;""),1,0),0)</f>
        <v/>
      </c>
      <c r="E35">
        <f>IF(E$4=1,IF(OR(INDEX('×入力'!$A$1:$L$1300,707+E$3,2+E$2)&lt;&gt;"",INDEX('×入力'!$A$1:$L$1300,706,2+E$2)&lt;&gt;"",INDEX('×入力'!$A$1:$L$1300,707+E$3,1)&lt;&gt;""),1,0),0)</f>
        <v/>
      </c>
      <c r="F35">
        <f>IF(F$4=1,IF(OR(INDEX('×入力'!$A$1:$L$1300,707+F$3,2+F$2)&lt;&gt;"",INDEX('×入力'!$A$1:$L$1300,706,2+F$2)&lt;&gt;"",INDEX('×入力'!$A$1:$L$1300,707+F$3,1)&lt;&gt;""),1,0),0)</f>
        <v/>
      </c>
      <c r="G35">
        <f>IF(G$4=1,IF(OR(INDEX('×入力'!$A$1:$L$1300,707+G$3,2+G$2)&lt;&gt;"",INDEX('×入力'!$A$1:$L$1300,706,2+G$2)&lt;&gt;"",INDEX('×入力'!$A$1:$L$1300,707+G$3,1)&lt;&gt;""),1,0),0)</f>
        <v/>
      </c>
      <c r="H35">
        <f>IF(H$4=1,IF(OR(INDEX('×入力'!$A$1:$L$1300,707+H$3,2+H$2)&lt;&gt;"",INDEX('×入力'!$A$1:$L$1300,706,2+H$2)&lt;&gt;"",INDEX('×入力'!$A$1:$L$1300,707+H$3,1)&lt;&gt;""),1,0),0)</f>
        <v/>
      </c>
      <c r="I35">
        <f>IF(I$4=1,IF(OR(INDEX('×入力'!$A$1:$L$1300,707+I$3,2+I$2)&lt;&gt;"",INDEX('×入力'!$A$1:$L$1300,706,2+I$2)&lt;&gt;"",INDEX('×入力'!$A$1:$L$1300,707+I$3,1)&lt;&gt;""),1,0),0)</f>
        <v/>
      </c>
      <c r="J35">
        <f>IF(J$4=1,IF(OR(INDEX('×入力'!$A$1:$L$1300,707+J$3,2+J$2)&lt;&gt;"",INDEX('×入力'!$A$1:$L$1300,706,2+J$2)&lt;&gt;"",INDEX('×入力'!$A$1:$L$1300,707+J$3,1)&lt;&gt;""),1,0),0)</f>
        <v/>
      </c>
      <c r="K35">
        <f>IF(K$4=1,IF(OR(INDEX('×入力'!$A$1:$L$1300,707+K$3,2+K$2)&lt;&gt;"",INDEX('×入力'!$A$1:$L$1300,706,2+K$2)&lt;&gt;"",INDEX('×入力'!$A$1:$L$1300,707+K$3,1)&lt;&gt;""),1,0),0)</f>
        <v/>
      </c>
      <c r="L35">
        <f>IF(L$4=1,IF(OR(INDEX('×入力'!$A$1:$L$1300,707+L$3,2+L$2)&lt;&gt;"",INDEX('×入力'!$A$1:$L$1300,706,2+L$2)&lt;&gt;"",INDEX('×入力'!$A$1:$L$1300,707+L$3,1)&lt;&gt;""),1,0),0)</f>
        <v/>
      </c>
      <c r="M35">
        <f>IF(M$4=1,IF(OR(INDEX('×入力'!$A$1:$L$1300,707+M$3,2+M$2)&lt;&gt;"",INDEX('×入力'!$A$1:$L$1300,706,2+M$2)&lt;&gt;"",INDEX('×入力'!$A$1:$L$1300,707+M$3,1)&lt;&gt;""),1,0),0)</f>
        <v/>
      </c>
      <c r="N35">
        <f>IF(N$4=1,IF(OR(INDEX('×入力'!$A$1:$L$1300,707+N$3,2+N$2)&lt;&gt;"",INDEX('×入力'!$A$1:$L$1300,706,2+N$2)&lt;&gt;"",INDEX('×入力'!$A$1:$L$1300,707+N$3,1)&lt;&gt;""),1,0),0)</f>
        <v/>
      </c>
      <c r="O35">
        <f>IF(O$4=1,IF(OR(INDEX('×入力'!$A$1:$L$1300,707+O$3,2+O$2)&lt;&gt;"",INDEX('×入力'!$A$1:$L$1300,706,2+O$2)&lt;&gt;"",INDEX('×入力'!$A$1:$L$1300,707+O$3,1)&lt;&gt;""),1,0),0)</f>
        <v/>
      </c>
      <c r="P35">
        <f>IF(P$4=1,IF(OR(INDEX('×入力'!$A$1:$L$1300,707+P$3,2+P$2)&lt;&gt;"",INDEX('×入力'!$A$1:$L$1300,706,2+P$2)&lt;&gt;"",INDEX('×入力'!$A$1:$L$1300,707+P$3,1)&lt;&gt;""),1,0),0)</f>
        <v/>
      </c>
      <c r="Q35">
        <f>IF(Q$4=1,IF(OR(INDEX('×入力'!$A$1:$L$1300,707+Q$3,2+Q$2)&lt;&gt;"",INDEX('×入力'!$A$1:$L$1300,706,2+Q$2)&lt;&gt;"",INDEX('×入力'!$A$1:$L$1300,707+Q$3,1)&lt;&gt;""),1,0),0)</f>
        <v/>
      </c>
      <c r="R35">
        <f>IF(R$4=1,IF(OR(INDEX('×入力'!$A$1:$L$1300,707+R$3,2+R$2)&lt;&gt;"",INDEX('×入力'!$A$1:$L$1300,706,2+R$2)&lt;&gt;"",INDEX('×入力'!$A$1:$L$1300,707+R$3,1)&lt;&gt;""),1,0),0)</f>
        <v/>
      </c>
      <c r="S35">
        <f>IF(S$4=1,IF(OR(INDEX('×入力'!$A$1:$L$1300,707+S$3,2+S$2)&lt;&gt;"",INDEX('×入力'!$A$1:$L$1300,706,2+S$2)&lt;&gt;"",INDEX('×入力'!$A$1:$L$1300,707+S$3,1)&lt;&gt;""),1,0),0)</f>
        <v/>
      </c>
      <c r="T35">
        <f>IF(T$4=1,IF(OR(INDEX('×入力'!$A$1:$L$1300,707+T$3,2+T$2)&lt;&gt;"",INDEX('×入力'!$A$1:$L$1300,706,2+T$2)&lt;&gt;"",INDEX('×入力'!$A$1:$L$1300,707+T$3,1)&lt;&gt;""),1,0),0)</f>
        <v/>
      </c>
      <c r="U35">
        <f>IF(U$4=1,IF(OR(INDEX('×入力'!$A$1:$L$1300,707+U$3,2+U$2)&lt;&gt;"",INDEX('×入力'!$A$1:$L$1300,706,2+U$2)&lt;&gt;"",INDEX('×入力'!$A$1:$L$1300,707+U$3,1)&lt;&gt;""),1,0),0)</f>
        <v/>
      </c>
      <c r="V35">
        <f>IF(V$4=1,IF(OR(INDEX('×入力'!$A$1:$L$1300,707+V$3,2+V$2)&lt;&gt;"",INDEX('×入力'!$A$1:$L$1300,706,2+V$2)&lt;&gt;"",INDEX('×入力'!$A$1:$L$1300,707+V$3,1)&lt;&gt;""),1,0),0)</f>
        <v/>
      </c>
      <c r="W35">
        <f>IF(W$4=1,IF(OR(INDEX('×入力'!$A$1:$L$1300,707+W$3,2+W$2)&lt;&gt;"",INDEX('×入力'!$A$1:$L$1300,706,2+W$2)&lt;&gt;"",INDEX('×入力'!$A$1:$L$1300,707+W$3,1)&lt;&gt;""),1,0),0)</f>
        <v/>
      </c>
      <c r="X35">
        <f>IF(X$4=1,IF(OR(INDEX('×入力'!$A$1:$L$1300,707+X$3,2+X$2)&lt;&gt;"",INDEX('×入力'!$A$1:$L$1300,706,2+X$2)&lt;&gt;"",INDEX('×入力'!$A$1:$L$1300,707+X$3,1)&lt;&gt;""),1,0),0)</f>
        <v/>
      </c>
      <c r="Y35">
        <f>IF(Y$4=1,IF(OR(INDEX('×入力'!$A$1:$L$1300,707+Y$3,2+Y$2)&lt;&gt;"",INDEX('×入力'!$A$1:$L$1300,706,2+Y$2)&lt;&gt;"",INDEX('×入力'!$A$1:$L$1300,707+Y$3,1)&lt;&gt;""),1,0),0)</f>
        <v/>
      </c>
      <c r="Z35">
        <f>IF(Z$4=1,IF(OR(INDEX('×入力'!$A$1:$L$1300,707+Z$3,2+Z$2)&lt;&gt;"",INDEX('×入力'!$A$1:$L$1300,706,2+Z$2)&lt;&gt;"",INDEX('×入力'!$A$1:$L$1300,707+Z$3,1)&lt;&gt;""),1,0),0)</f>
        <v/>
      </c>
      <c r="AA35">
        <f>IF(AA$4=1,IF(OR(INDEX('×入力'!$A$1:$L$1300,707+AA$3,2+AA$2)&lt;&gt;"",INDEX('×入力'!$A$1:$L$1300,706,2+AA$2)&lt;&gt;"",INDEX('×入力'!$A$1:$L$1300,707+AA$3,1)&lt;&gt;""),1,0),0)</f>
        <v/>
      </c>
      <c r="AB35">
        <f>IF(AB$4=1,IF(OR(INDEX('×入力'!$A$1:$L$1300,707+AB$3,2+AB$2)&lt;&gt;"",INDEX('×入力'!$A$1:$L$1300,706,2+AB$2)&lt;&gt;"",INDEX('×入力'!$A$1:$L$1300,707+AB$3,1)&lt;&gt;""),1,0),0)</f>
        <v/>
      </c>
      <c r="AC35">
        <f>IF(AC$4=1,IF(OR(INDEX('×入力'!$A$1:$L$1300,707+AC$3,2+AC$2)&lt;&gt;"",INDEX('×入力'!$A$1:$L$1300,706,2+AC$2)&lt;&gt;"",INDEX('×入力'!$A$1:$L$1300,707+AC$3,1)&lt;&gt;""),1,0),0)</f>
        <v/>
      </c>
      <c r="AD35">
        <f>IF(AD$4=1,IF(OR(INDEX('×入力'!$A$1:$L$1300,707+AD$3,2+AD$2)&lt;&gt;"",INDEX('×入力'!$A$1:$L$1300,706,2+AD$2)&lt;&gt;"",INDEX('×入力'!$A$1:$L$1300,707+AD$3,1)&lt;&gt;""),1,0),0)</f>
        <v/>
      </c>
      <c r="AE35">
        <f>IF(AE$4=1,IF(OR(INDEX('×入力'!$A$1:$L$1300,707+AE$3,2+AE$2)&lt;&gt;"",INDEX('×入力'!$A$1:$L$1300,706,2+AE$2)&lt;&gt;"",INDEX('×入力'!$A$1:$L$1300,707+AE$3,1)&lt;&gt;""),1,0),0)</f>
        <v/>
      </c>
      <c r="AF35">
        <f>IF(AF$4=1,IF(OR(INDEX('×入力'!$A$1:$L$1300,707+AF$3,2+AF$2)&lt;&gt;"",INDEX('×入力'!$A$1:$L$1300,706,2+AF$2)&lt;&gt;"",INDEX('×入力'!$A$1:$L$1300,707+AF$3,1)&lt;&gt;""),1,0),0)</f>
        <v/>
      </c>
      <c r="AG35">
        <f>IF(AG$4=1,IF(OR(INDEX('×入力'!$A$1:$L$1300,707+AG$3,2+AG$2)&lt;&gt;"",INDEX('×入力'!$A$1:$L$1300,706,2+AG$2)&lt;&gt;"",INDEX('×入力'!$A$1:$L$1300,707+AG$3,1)&lt;&gt;""),1,0),0)</f>
        <v/>
      </c>
      <c r="AH35">
        <f>IF(AH$4=1,IF(OR(INDEX('×入力'!$A$1:$L$1300,707+AH$3,2+AH$2)&lt;&gt;"",INDEX('×入力'!$A$1:$L$1300,706,2+AH$2)&lt;&gt;"",INDEX('×入力'!$A$1:$L$1300,707+AH$3,1)&lt;&gt;""),1,0),0)</f>
        <v/>
      </c>
      <c r="AI35">
        <f>IF(AI$4=1,IF(OR(INDEX('×入力'!$A$1:$L$1300,707+AI$3,2+AI$2)&lt;&gt;"",INDEX('×入力'!$A$1:$L$1300,706,2+AI$2)&lt;&gt;"",INDEX('×入力'!$A$1:$L$1300,707+AI$3,1)&lt;&gt;""),1,0),0)</f>
        <v/>
      </c>
      <c r="AJ35">
        <f>IF(AJ$4=1,IF(OR(INDEX('×入力'!$A$1:$L$1300,707+AJ$3,2+AJ$2)&lt;&gt;"",INDEX('×入力'!$A$1:$L$1300,706,2+AJ$2)&lt;&gt;"",INDEX('×入力'!$A$1:$L$1300,707+AJ$3,1)&lt;&gt;""),1,0),0)</f>
        <v/>
      </c>
      <c r="AK35">
        <f>IF(AK$4=1,IF(OR(INDEX('×入力'!$A$1:$L$1300,707+AK$3,2+AK$2)&lt;&gt;"",INDEX('×入力'!$A$1:$L$1300,706,2+AK$2)&lt;&gt;"",INDEX('×入力'!$A$1:$L$1300,707+AK$3,1)&lt;&gt;""),1,0),0)</f>
        <v/>
      </c>
      <c r="AL35">
        <f>IF(AL$4=1,IF(OR(INDEX('×入力'!$A$1:$L$1300,707+AL$3,2+AL$2)&lt;&gt;"",INDEX('×入力'!$A$1:$L$1300,706,2+AL$2)&lt;&gt;"",INDEX('×入力'!$A$1:$L$1300,707+AL$3,1)&lt;&gt;""),1,0),0)</f>
        <v/>
      </c>
      <c r="AM35">
        <f>IF(AM$4=1,IF(OR(INDEX('×入力'!$A$1:$L$1300,707+AM$3,2+AM$2)&lt;&gt;"",INDEX('×入力'!$A$1:$L$1300,706,2+AM$2)&lt;&gt;"",INDEX('×入力'!$A$1:$L$1300,707+AM$3,1)&lt;&gt;""),1,0),0)</f>
        <v/>
      </c>
      <c r="AN35">
        <f>IF(AN$4=1,IF(OR(INDEX('×入力'!$A$1:$L$1300,707+AN$3,2+AN$2)&lt;&gt;"",INDEX('×入力'!$A$1:$L$1300,706,2+AN$2)&lt;&gt;"",INDEX('×入力'!$A$1:$L$1300,707+AN$3,1)&lt;&gt;""),1,0),0)</f>
        <v/>
      </c>
      <c r="AO35">
        <f>IF(AO$4=1,IF(OR(INDEX('×入力'!$A$1:$L$1300,707+AO$3,2+AO$2)&lt;&gt;"",INDEX('×入力'!$A$1:$L$1300,706,2+AO$2)&lt;&gt;"",INDEX('×入力'!$A$1:$L$1300,707+AO$3,1)&lt;&gt;""),1,0),0)</f>
        <v/>
      </c>
      <c r="AP35">
        <f>IF(AP$4=1,IF(OR(INDEX('×入力'!$A$1:$L$1300,707+AP$3,2+AP$2)&lt;&gt;"",INDEX('×入力'!$A$1:$L$1300,706,2+AP$2)&lt;&gt;"",INDEX('×入力'!$A$1:$L$1300,707+AP$3,1)&lt;&gt;""),1,0),0)</f>
        <v/>
      </c>
      <c r="AQ35">
        <f>IF(AQ$4=1,IF(OR(INDEX('×入力'!$A$1:$L$1300,707+AQ$3,2+AQ$2)&lt;&gt;"",INDEX('×入力'!$A$1:$L$1300,706,2+AQ$2)&lt;&gt;"",INDEX('×入力'!$A$1:$L$1300,707+AQ$3,1)&lt;&gt;""),1,0),0)</f>
        <v/>
      </c>
      <c r="AR35">
        <f>IF(AR$4=1,IF(OR(INDEX('×入力'!$A$1:$L$1300,707+AR$3,2+AR$2)&lt;&gt;"",INDEX('×入力'!$A$1:$L$1300,706,2+AR$2)&lt;&gt;"",INDEX('×入力'!$A$1:$L$1300,707+AR$3,1)&lt;&gt;""),1,0),0)</f>
        <v/>
      </c>
      <c r="AS35">
        <f>IF(AS$4=1,IF(OR(INDEX('×入力'!$A$1:$L$1300,707+AS$3,2+AS$2)&lt;&gt;"",INDEX('×入力'!$A$1:$L$1300,706,2+AS$2)&lt;&gt;"",INDEX('×入力'!$A$1:$L$1300,707+AS$3,1)&lt;&gt;""),1,0),0)</f>
        <v/>
      </c>
      <c r="AT35">
        <f>IF(AT$4=1,IF(OR(INDEX('×入力'!$A$1:$L$1300,707+AT$3,2+AT$2)&lt;&gt;"",INDEX('×入力'!$A$1:$L$1300,706,2+AT$2)&lt;&gt;"",INDEX('×入力'!$A$1:$L$1300,707+AT$3,1)&lt;&gt;""),1,0),0)</f>
        <v/>
      </c>
      <c r="AU35">
        <f>IF(AU$4=1,IF(OR(INDEX('×入力'!$A$1:$L$1300,707+AU$3,2+AU$2)&lt;&gt;"",INDEX('×入力'!$A$1:$L$1300,706,2+AU$2)&lt;&gt;"",INDEX('×入力'!$A$1:$L$1300,707+AU$3,1)&lt;&gt;""),1,0),0)</f>
        <v/>
      </c>
      <c r="AV35">
        <f>IF(AV$4=1,IF(OR(INDEX('×入力'!$A$1:$L$1300,707+AV$3,2+AV$2)&lt;&gt;"",INDEX('×入力'!$A$1:$L$1300,706,2+AV$2)&lt;&gt;"",INDEX('×入力'!$A$1:$L$1300,707+AV$3,1)&lt;&gt;""),1,0),0)</f>
        <v/>
      </c>
      <c r="AW35">
        <f>IF(AW$4=1,IF(OR(INDEX('×入力'!$A$1:$L$1300,707+AW$3,2+AW$2)&lt;&gt;"",INDEX('×入力'!$A$1:$L$1300,706,2+AW$2)&lt;&gt;"",INDEX('×入力'!$A$1:$L$1300,707+AW$3,1)&lt;&gt;""),1,0),0)</f>
        <v/>
      </c>
      <c r="AX35">
        <f>IF(AX$4=1,IF(OR(INDEX('×入力'!$A$1:$L$1300,707+AX$3,2+AX$2)&lt;&gt;"",INDEX('×入力'!$A$1:$L$1300,706,2+AX$2)&lt;&gt;"",INDEX('×入力'!$A$1:$L$1300,707+AX$3,1)&lt;&gt;""),1,0),0)</f>
        <v/>
      </c>
      <c r="AY35">
        <f>IF(AY$4=1,IF(OR(INDEX('×入力'!$A$1:$L$1300,707+AY$3,2+AY$2)&lt;&gt;"",INDEX('×入力'!$A$1:$L$1300,706,2+AY$2)&lt;&gt;"",INDEX('×入力'!$A$1:$L$1300,707+AY$3,1)&lt;&gt;""),1,0),0)</f>
        <v/>
      </c>
      <c r="AZ35">
        <f>IF(AZ$4=1,IF(OR(INDEX('×入力'!$A$1:$L$1300,707+AZ$3,2+AZ$2)&lt;&gt;"",INDEX('×入力'!$A$1:$L$1300,706,2+AZ$2)&lt;&gt;"",INDEX('×入力'!$A$1:$L$1300,707+AZ$3,1)&lt;&gt;""),1,0),0)</f>
        <v/>
      </c>
      <c r="BA35">
        <f>IF(BA$4=1,IF(OR(INDEX('×入力'!$A$1:$L$1300,707+BA$3,2+BA$2)&lt;&gt;"",INDEX('×入力'!$A$1:$L$1300,706,2+BA$2)&lt;&gt;"",INDEX('×入力'!$A$1:$L$1300,707+BA$3,1)&lt;&gt;""),1,0),0)</f>
        <v/>
      </c>
      <c r="BB35">
        <f>IF(BB$4=1,IF(OR(INDEX('×入力'!$A$1:$L$1300,707+BB$3,2+BB$2)&lt;&gt;"",INDEX('×入力'!$A$1:$L$1300,706,2+BB$2)&lt;&gt;"",INDEX('×入力'!$A$1:$L$1300,707+BB$3,1)&lt;&gt;""),1,0),0)</f>
        <v/>
      </c>
      <c r="BC35">
        <f>IF(BC$4=1,IF(OR(INDEX('×入力'!$A$1:$L$1300,707+BC$3,2+BC$2)&lt;&gt;"",INDEX('×入力'!$A$1:$L$1300,706,2+BC$2)&lt;&gt;"",INDEX('×入力'!$A$1:$L$1300,707+BC$3,1)&lt;&gt;""),1,0),0)</f>
        <v/>
      </c>
      <c r="BD35">
        <f>IF(BD$4=1,IF(OR(INDEX('×入力'!$A$1:$L$1300,707+BD$3,2+BD$2)&lt;&gt;"",INDEX('×入力'!$A$1:$L$1300,706,2+BD$2)&lt;&gt;"",INDEX('×入力'!$A$1:$L$1300,707+BD$3,1)&lt;&gt;""),1,0),0)</f>
        <v/>
      </c>
      <c r="BE35">
        <f>IF(BE$4=1,IF(OR(INDEX('×入力'!$A$1:$L$1300,707+BE$3,2+BE$2)&lt;&gt;"",INDEX('×入力'!$A$1:$L$1300,706,2+BE$2)&lt;&gt;"",INDEX('×入力'!$A$1:$L$1300,707+BE$3,1)&lt;&gt;""),1,0),0)</f>
        <v/>
      </c>
      <c r="BF35">
        <f>IF(BF$4=1,IF(OR(INDEX('×入力'!$A$1:$L$1300,707+BF$3,2+BF$2)&lt;&gt;"",INDEX('×入力'!$A$1:$L$1300,706,2+BF$2)&lt;&gt;"",INDEX('×入力'!$A$1:$L$1300,707+BF$3,1)&lt;&gt;""),1,0),0)</f>
        <v/>
      </c>
      <c r="BG35">
        <f>IF(BG$4=1,IF(OR(INDEX('×入力'!$A$1:$L$1300,707+BG$3,2+BG$2)&lt;&gt;"",INDEX('×入力'!$A$1:$L$1300,706,2+BG$2)&lt;&gt;"",INDEX('×入力'!$A$1:$L$1300,707+BG$3,1)&lt;&gt;""),1,0),0)</f>
        <v/>
      </c>
      <c r="BH35">
        <f>IF(BH$4=1,IF(OR(INDEX('×入力'!$A$1:$L$1300,707+BH$3,2+BH$2)&lt;&gt;"",INDEX('×入力'!$A$1:$L$1300,706,2+BH$2)&lt;&gt;"",INDEX('×入力'!$A$1:$L$1300,707+BH$3,1)&lt;&gt;""),1,0),0)</f>
        <v/>
      </c>
      <c r="BI35">
        <f>IF(BI$4=1,IF(OR(INDEX('×入力'!$A$1:$L$1300,707+BI$3,2+BI$2)&lt;&gt;"",INDEX('×入力'!$A$1:$L$1300,706,2+BI$2)&lt;&gt;"",INDEX('×入力'!$A$1:$L$1300,707+BI$3,1)&lt;&gt;""),1,0),0)</f>
        <v/>
      </c>
      <c r="BJ35">
        <f>IF(BJ$4=1,IF(OR(INDEX('×入力'!$A$1:$L$1300,707+BJ$3,2+BJ$2)&lt;&gt;"",INDEX('×入力'!$A$1:$L$1300,706,2+BJ$2)&lt;&gt;"",INDEX('×入力'!$A$1:$L$1300,707+BJ$3,1)&lt;&gt;""),1,0),0)</f>
        <v/>
      </c>
      <c r="BK35">
        <f>IF(BK$4=1,IF(OR(INDEX('×入力'!$A$1:$L$1300,707+BK$3,2+BK$2)&lt;&gt;"",INDEX('×入力'!$A$1:$L$1300,706,2+BK$2)&lt;&gt;"",INDEX('×入力'!$A$1:$L$1300,707+BK$3,1)&lt;&gt;""),1,0),0)</f>
        <v/>
      </c>
      <c r="BL35">
        <f>IF(BL$4=1,IF(OR(INDEX('×入力'!$A$1:$L$1300,707+BL$3,2+BL$2)&lt;&gt;"",INDEX('×入力'!$A$1:$L$1300,706,2+BL$2)&lt;&gt;"",INDEX('×入力'!$A$1:$L$1300,707+BL$3,1)&lt;&gt;""),1,0),0)</f>
        <v/>
      </c>
      <c r="BM35">
        <f>IF(BM$4=1,IF(OR(INDEX('×入力'!$A$1:$L$1300,707+BM$3,2+BM$2)&lt;&gt;"",INDEX('×入力'!$A$1:$L$1300,706,2+BM$2)&lt;&gt;"",INDEX('×入力'!$A$1:$L$1300,707+BM$3,1)&lt;&gt;""),1,0),0)</f>
        <v/>
      </c>
      <c r="BN35">
        <f>IF(BN$4=1,IF(OR(INDEX('×入力'!$A$1:$L$1300,707+BN$3,2+BN$2)&lt;&gt;"",INDEX('×入力'!$A$1:$L$1300,706,2+BN$2)&lt;&gt;"",INDEX('×入力'!$A$1:$L$1300,707+BN$3,1)&lt;&gt;""),1,0),0)</f>
        <v/>
      </c>
      <c r="BO35">
        <f>IF(BO$4=1,IF(OR(INDEX('×入力'!$A$1:$L$1300,707+BO$3,2+BO$2)&lt;&gt;"",INDEX('×入力'!$A$1:$L$1300,706,2+BO$2)&lt;&gt;"",INDEX('×入力'!$A$1:$L$1300,707+BO$3,1)&lt;&gt;""),1,0),0)</f>
        <v/>
      </c>
      <c r="BP35">
        <f>IF(BP$4=1,IF(OR(INDEX('×入力'!$A$1:$L$1300,707+BP$3,2+BP$2)&lt;&gt;"",INDEX('×入力'!$A$1:$L$1300,706,2+BP$2)&lt;&gt;"",INDEX('×入力'!$A$1:$L$1300,707+BP$3,1)&lt;&gt;""),1,0),0)</f>
        <v/>
      </c>
      <c r="BQ35">
        <f>IF(BQ$4=1,IF(OR(INDEX('×入力'!$A$1:$L$1300,707+BQ$3,2+BQ$2)&lt;&gt;"",INDEX('×入力'!$A$1:$L$1300,706,2+BQ$2)&lt;&gt;"",INDEX('×入力'!$A$1:$L$1300,707+BQ$3,1)&lt;&gt;""),1,0),0)</f>
        <v/>
      </c>
      <c r="BR35">
        <f>IF(BR$4=1,IF(OR(INDEX('×入力'!$A$1:$L$1300,707+BR$3,2+BR$2)&lt;&gt;"",INDEX('×入力'!$A$1:$L$1300,706,2+BR$2)&lt;&gt;"",INDEX('×入力'!$A$1:$L$1300,707+BR$3,1)&lt;&gt;""),1,0),0)</f>
        <v/>
      </c>
      <c r="BS35">
        <f>IF(BS$4=1,IF(OR(INDEX('×入力'!$A$1:$L$1300,707+BS$3,2+BS$2)&lt;&gt;"",INDEX('×入力'!$A$1:$L$1300,706,2+BS$2)&lt;&gt;"",INDEX('×入力'!$A$1:$L$1300,707+BS$3,1)&lt;&gt;""),1,0),0)</f>
        <v/>
      </c>
      <c r="BT35">
        <f>IF(BT$4=1,IF(OR(INDEX('×入力'!$A$1:$L$1300,707+BT$3,2+BT$2)&lt;&gt;"",INDEX('×入力'!$A$1:$L$1300,706,2+BT$2)&lt;&gt;"",INDEX('×入力'!$A$1:$L$1300,707+BT$3,1)&lt;&gt;""),1,0),0)</f>
        <v/>
      </c>
      <c r="BU35">
        <f>IF(BU$4=1,IF(OR(INDEX('×入力'!$A$1:$L$1300,707+BU$3,2+BU$2)&lt;&gt;"",INDEX('×入力'!$A$1:$L$1300,706,2+BU$2)&lt;&gt;"",INDEX('×入力'!$A$1:$L$1300,707+BU$3,1)&lt;&gt;""),1,0),0)</f>
        <v/>
      </c>
      <c r="BV35">
        <f>IF(BV$4=1,IF(OR(INDEX('×入力'!$A$1:$L$1300,707+BV$3,2+BV$2)&lt;&gt;"",INDEX('×入力'!$A$1:$L$1300,706,2+BV$2)&lt;&gt;"",INDEX('×入力'!$A$1:$L$1300,707+BV$3,1)&lt;&gt;""),1,0),0)</f>
        <v/>
      </c>
      <c r="BW35">
        <f>IF(BW$4=1,IF(OR(INDEX('×入力'!$A$1:$L$1300,707+BW$3,2+BW$2)&lt;&gt;"",INDEX('×入力'!$A$1:$L$1300,706,2+BW$2)&lt;&gt;"",INDEX('×入力'!$A$1:$L$1300,707+BW$3,1)&lt;&gt;""),1,0),0)</f>
        <v/>
      </c>
      <c r="BX35">
        <f>IF(BX$4=1,IF(OR(INDEX('×入力'!$A$1:$L$1300,707+BX$3,2+BX$2)&lt;&gt;"",INDEX('×入力'!$A$1:$L$1300,706,2+BX$2)&lt;&gt;"",INDEX('×入力'!$A$1:$L$1300,707+BX$3,1)&lt;&gt;""),1,0),0)</f>
        <v/>
      </c>
      <c r="BY35">
        <f>IF(BY$4=1,IF(OR(INDEX('×入力'!$A$1:$L$1300,707+BY$3,2+BY$2)&lt;&gt;"",INDEX('×入力'!$A$1:$L$1300,706,2+BY$2)&lt;&gt;"",INDEX('×入力'!$A$1:$L$1300,707+BY$3,1)&lt;&gt;""),1,0),0)</f>
        <v/>
      </c>
      <c r="BZ35">
        <f>IF(BZ$4=1,IF(OR(INDEX('×入力'!$A$1:$L$1300,707+BZ$3,2+BZ$2)&lt;&gt;"",INDEX('×入力'!$A$1:$L$1300,706,2+BZ$2)&lt;&gt;"",INDEX('×入力'!$A$1:$L$1300,707+BZ$3,1)&lt;&gt;""),1,0),0)</f>
        <v/>
      </c>
      <c r="CA35">
        <f>IF(CA$4=1,IF(OR(INDEX('×入力'!$A$1:$L$1300,707+CA$3,2+CA$2)&lt;&gt;"",INDEX('×入力'!$A$1:$L$1300,706,2+CA$2)&lt;&gt;"",INDEX('×入力'!$A$1:$L$1300,707+CA$3,1)&lt;&gt;""),1,0),0)</f>
        <v/>
      </c>
      <c r="CB35">
        <f>IF(CB$4=1,IF(OR(INDEX('×入力'!$A$1:$L$1300,707+CB$3,2+CB$2)&lt;&gt;"",INDEX('×入力'!$A$1:$L$1300,706,2+CB$2)&lt;&gt;"",INDEX('×入力'!$A$1:$L$1300,707+CB$3,1)&lt;&gt;""),1,0),0)</f>
        <v/>
      </c>
      <c r="CC35">
        <f>IF(CC$4=1,IF(OR(INDEX('×入力'!$A$1:$L$1300,707+CC$3,2+CC$2)&lt;&gt;"",INDEX('×入力'!$A$1:$L$1300,706,2+CC$2)&lt;&gt;"",INDEX('×入力'!$A$1:$L$1300,707+CC$3,1)&lt;&gt;""),1,0),0)</f>
        <v/>
      </c>
      <c r="CD35">
        <f>IF(CD$4=1,IF(OR(INDEX('×入力'!$A$1:$L$1300,707+CD$3,2+CD$2)&lt;&gt;"",INDEX('×入力'!$A$1:$L$1300,706,2+CD$2)&lt;&gt;"",INDEX('×入力'!$A$1:$L$1300,707+CD$3,1)&lt;&gt;""),1,0),0)</f>
        <v/>
      </c>
      <c r="CE35">
        <f>IF(CE$4=1,IF(OR(INDEX('×入力'!$A$1:$L$1300,707+CE$3,2+CE$2)&lt;&gt;"",INDEX('×入力'!$A$1:$L$1300,706,2+CE$2)&lt;&gt;"",INDEX('×入力'!$A$1:$L$1300,707+CE$3,1)&lt;&gt;""),1,0),0)</f>
        <v/>
      </c>
      <c r="CF35">
        <f>IF(CF$4=1,IF(OR(INDEX('×入力'!$A$1:$L$1300,707+CF$3,2+CF$2)&lt;&gt;"",INDEX('×入力'!$A$1:$L$1300,706,2+CF$2)&lt;&gt;"",INDEX('×入力'!$A$1:$L$1300,707+CF$3,1)&lt;&gt;""),1,0),0)</f>
        <v/>
      </c>
      <c r="CG35">
        <f>IF(CG$4=1,IF(OR(INDEX('×入力'!$A$1:$L$1300,707+CG$3,2+CG$2)&lt;&gt;"",INDEX('×入力'!$A$1:$L$1300,706,2+CG$2)&lt;&gt;"",INDEX('×入力'!$A$1:$L$1300,707+CG$3,1)&lt;&gt;""),1,0),0)</f>
        <v/>
      </c>
      <c r="CH35">
        <f>IF(CH$4=1,IF(OR(INDEX('×入力'!$A$1:$L$1300,707+CH$3,2+CH$2)&lt;&gt;"",INDEX('×入力'!$A$1:$L$1300,706,2+CH$2)&lt;&gt;"",INDEX('×入力'!$A$1:$L$1300,707+CH$3,1)&lt;&gt;""),1,0),0)</f>
        <v/>
      </c>
      <c r="CI35">
        <f>IF(CI$4=1,IF(OR(INDEX('×入力'!$A$1:$L$1300,707+CI$3,2+CI$2)&lt;&gt;"",INDEX('×入力'!$A$1:$L$1300,706,2+CI$2)&lt;&gt;"",INDEX('×入力'!$A$1:$L$1300,707+CI$3,1)&lt;&gt;""),1,0),0)</f>
        <v/>
      </c>
      <c r="CJ35">
        <f>IF(CJ$4=1,IF(OR(INDEX('×入力'!$A$1:$L$1300,707+CJ$3,2+CJ$2)&lt;&gt;"",INDEX('×入力'!$A$1:$L$1300,706,2+CJ$2)&lt;&gt;"",INDEX('×入力'!$A$1:$L$1300,707+CJ$3,1)&lt;&gt;""),1,0),0)</f>
        <v/>
      </c>
      <c r="CK35">
        <f>IF(CK$4=1,IF(OR(INDEX('×入力'!$A$1:$L$1300,707+CK$3,2+CK$2)&lt;&gt;"",INDEX('×入力'!$A$1:$L$1300,706,2+CK$2)&lt;&gt;"",INDEX('×入力'!$A$1:$L$1300,707+CK$3,1)&lt;&gt;""),1,0),0)</f>
        <v/>
      </c>
      <c r="CL35">
        <f>IF(CL$4=1,IF(OR(INDEX('×入力'!$A$1:$L$1300,707+CL$3,2+CL$2)&lt;&gt;"",INDEX('×入力'!$A$1:$L$1300,706,2+CL$2)&lt;&gt;"",INDEX('×入力'!$A$1:$L$1300,707+CL$3,1)&lt;&gt;""),1,0),0)</f>
        <v/>
      </c>
      <c r="CM35">
        <f>IF(CM$4=1,IF(OR(INDEX('×入力'!$A$1:$L$1300,707+CM$3,2+CM$2)&lt;&gt;"",INDEX('×入力'!$A$1:$L$1300,706,2+CM$2)&lt;&gt;"",INDEX('×入力'!$A$1:$L$1300,707+CM$3,1)&lt;&gt;""),1,0),0)</f>
        <v/>
      </c>
      <c r="CN35">
        <f>IF(CN$4=1,IF(OR(INDEX('×入力'!$A$1:$L$1300,707+CN$3,2+CN$2)&lt;&gt;"",INDEX('×入力'!$A$1:$L$1300,706,2+CN$2)&lt;&gt;"",INDEX('×入力'!$A$1:$L$1300,707+CN$3,1)&lt;&gt;""),1,0),0)</f>
        <v/>
      </c>
      <c r="CO35">
        <f>IF(CO$4=1,IF(OR(INDEX('×入力'!$A$1:$L$1300,707+CO$3,2+CO$2)&lt;&gt;"",INDEX('×入力'!$A$1:$L$1300,706,2+CO$2)&lt;&gt;"",INDEX('×入力'!$A$1:$L$1300,707+CO$3,1)&lt;&gt;""),1,0),0)</f>
        <v/>
      </c>
      <c r="CP35">
        <f>IF(CP$4=1,IF(OR(INDEX('×入力'!$A$1:$L$1300,707+CP$3,2+CP$2)&lt;&gt;"",INDEX('×入力'!$A$1:$L$1300,706,2+CP$2)&lt;&gt;"",INDEX('×入力'!$A$1:$L$1300,707+CP$3,1)&lt;&gt;""),1,0),0)</f>
        <v/>
      </c>
      <c r="CQ35">
        <f>IF(CQ$4=1,IF(OR(INDEX('×入力'!$A$1:$L$1300,707+CQ$3,2+CQ$2)&lt;&gt;"",INDEX('×入力'!$A$1:$L$1300,706,2+CQ$2)&lt;&gt;"",INDEX('×入力'!$A$1:$L$1300,707+CQ$3,1)&lt;&gt;""),1,0),0)</f>
        <v/>
      </c>
      <c r="CR35">
        <f>IF(CR$4=1,IF(OR(INDEX('×入力'!$A$1:$L$1300,707+CR$3,2+CR$2)&lt;&gt;"",INDEX('×入力'!$A$1:$L$1300,706,2+CR$2)&lt;&gt;"",INDEX('×入力'!$A$1:$L$1300,707+CR$3,1)&lt;&gt;""),1,0),0)</f>
        <v/>
      </c>
      <c r="CS35">
        <f>IF(CS$4=1,IF(OR(INDEX('×入力'!$A$1:$L$1300,707+CS$3,2+CS$2)&lt;&gt;"",INDEX('×入力'!$A$1:$L$1300,706,2+CS$2)&lt;&gt;"",INDEX('×入力'!$A$1:$L$1300,707+CS$3,1)&lt;&gt;""),1,0),0)</f>
        <v/>
      </c>
      <c r="CT35">
        <f>IF(CT$4=1,IF(OR(INDEX('×入力'!$A$1:$L$1300,707+CT$3,2+CT$2)&lt;&gt;"",INDEX('×入力'!$A$1:$L$1300,706,2+CT$2)&lt;&gt;"",INDEX('×入力'!$A$1:$L$1300,707+CT$3,1)&lt;&gt;""),1,0),0)</f>
        <v/>
      </c>
      <c r="CU35">
        <f>IF(CU$4=1,IF(OR(INDEX('×入力'!$A$1:$L$1300,707+CU$3,2+CU$2)&lt;&gt;"",INDEX('×入力'!$A$1:$L$1300,706,2+CU$2)&lt;&gt;"",INDEX('×入力'!$A$1:$L$1300,707+CU$3,1)&lt;&gt;""),1,0),0)</f>
        <v/>
      </c>
      <c r="CV35">
        <f>IF(CV$4=1,IF(OR(INDEX('×入力'!$A$1:$L$1300,707+CV$3,2+CV$2)&lt;&gt;"",INDEX('×入力'!$A$1:$L$1300,706,2+CV$2)&lt;&gt;"",INDEX('×入力'!$A$1:$L$1300,707+CV$3,1)&lt;&gt;""),1,0),0)</f>
        <v/>
      </c>
      <c r="CW35">
        <f>IF(CW$4=1,IF(OR(INDEX('×入力'!$A$1:$L$1300,707+CW$3,2+CW$2)&lt;&gt;"",INDEX('×入力'!$A$1:$L$1300,706,2+CW$2)&lt;&gt;"",INDEX('×入力'!$A$1:$L$1300,707+CW$3,1)&lt;&gt;""),1,0),0)</f>
        <v/>
      </c>
      <c r="CX35">
        <f>IF(CX$4=1,IF(OR(INDEX('×入力'!$A$1:$L$1300,707+CX$3,2+CX$2)&lt;&gt;"",INDEX('×入力'!$A$1:$L$1300,706,2+CX$2)&lt;&gt;"",INDEX('×入力'!$A$1:$L$1300,707+CX$3,1)&lt;&gt;""),1,0),0)</f>
        <v/>
      </c>
      <c r="CY35">
        <f>IF(CY$4=1,IF(OR(INDEX('×入力'!$A$1:$L$1300,707+CY$3,2+CY$2)&lt;&gt;"",INDEX('×入力'!$A$1:$L$1300,706,2+CY$2)&lt;&gt;"",INDEX('×入力'!$A$1:$L$1300,707+CY$3,1)&lt;&gt;""),1,0),0)</f>
        <v/>
      </c>
      <c r="CZ35">
        <f>IF(CZ$4=1,IF(OR(INDEX('×入力'!$A$1:$L$1300,707+CZ$3,2+CZ$2)&lt;&gt;"",INDEX('×入力'!$A$1:$L$1300,706,2+CZ$2)&lt;&gt;"",INDEX('×入力'!$A$1:$L$1300,707+CZ$3,1)&lt;&gt;""),1,0),0)</f>
        <v/>
      </c>
      <c r="DA35">
        <f>IF(DA$4=1,IF(OR(INDEX('×入力'!$A$1:$L$1300,707+DA$3,2+DA$2)&lt;&gt;"",INDEX('×入力'!$A$1:$L$1300,706,2+DA$2)&lt;&gt;"",INDEX('×入力'!$A$1:$L$1300,707+DA$3,1)&lt;&gt;""),1,0),0)</f>
        <v/>
      </c>
      <c r="DB35">
        <f>IF(DB$4=1,IF(OR(INDEX('×入力'!$A$1:$L$1300,707+DB$3,2+DB$2)&lt;&gt;"",INDEX('×入力'!$A$1:$L$1300,706,2+DB$2)&lt;&gt;"",INDEX('×入力'!$A$1:$L$1300,707+DB$3,1)&lt;&gt;""),1,0),0)</f>
        <v/>
      </c>
      <c r="DC35">
        <f>IF(DC$4=1,IF(OR(INDEX('×入力'!$A$1:$L$1300,707+DC$3,2+DC$2)&lt;&gt;"",INDEX('×入力'!$A$1:$L$1300,706,2+DC$2)&lt;&gt;"",INDEX('×入力'!$A$1:$L$1300,707+DC$3,1)&lt;&gt;""),1,0),0)</f>
        <v/>
      </c>
      <c r="DD35">
        <f>IF(DD$4=1,IF(OR(INDEX('×入力'!$A$1:$L$1300,707+DD$3,2+DD$2)&lt;&gt;"",INDEX('×入力'!$A$1:$L$1300,706,2+DD$2)&lt;&gt;"",INDEX('×入力'!$A$1:$L$1300,707+DD$3,1)&lt;&gt;""),1,0),0)</f>
        <v/>
      </c>
      <c r="DE35">
        <f>IF(DE$4=1,IF(OR(INDEX('×入力'!$A$1:$L$1300,707+DE$3,2+DE$2)&lt;&gt;"",INDEX('×入力'!$A$1:$L$1300,706,2+DE$2)&lt;&gt;"",INDEX('×入力'!$A$1:$L$1300,707+DE$3,1)&lt;&gt;""),1,0),0)</f>
        <v/>
      </c>
      <c r="DF35">
        <f>IF(DF$4=1,IF(OR(INDEX('×入力'!$A$1:$L$1300,707+DF$3,2+DF$2)&lt;&gt;"",INDEX('×入力'!$A$1:$L$1300,706,2+DF$2)&lt;&gt;"",INDEX('×入力'!$A$1:$L$1300,707+DF$3,1)&lt;&gt;""),1,0),0)</f>
        <v/>
      </c>
      <c r="DG35">
        <f>IF(DG$4=1,IF(OR(INDEX('×入力'!$A$1:$L$1300,707+DG$3,2+DG$2)&lt;&gt;"",INDEX('×入力'!$A$1:$L$1300,706,2+DG$2)&lt;&gt;"",INDEX('×入力'!$A$1:$L$1300,707+DG$3,1)&lt;&gt;""),1,0),0)</f>
        <v/>
      </c>
      <c r="DH35">
        <f>IF(DH$4=1,IF(OR(INDEX('×入力'!$A$1:$L$1300,707+DH$3,2+DH$2)&lt;&gt;"",INDEX('×入力'!$A$1:$L$1300,706,2+DH$2)&lt;&gt;"",INDEX('×入力'!$A$1:$L$1300,707+DH$3,1)&lt;&gt;""),1,0),0)</f>
        <v/>
      </c>
      <c r="DI35">
        <f>IF(DI$4=1,IF(OR(INDEX('×入力'!$A$1:$L$1300,707+DI$3,2+DI$2)&lt;&gt;"",INDEX('×入力'!$A$1:$L$1300,706,2+DI$2)&lt;&gt;"",INDEX('×入力'!$A$1:$L$1300,707+DI$3,1)&lt;&gt;""),1,0),0)</f>
        <v/>
      </c>
      <c r="DJ35">
        <f>IF(DJ$4=1,IF(OR(INDEX('×入力'!$A$1:$L$1300,707+DJ$3,2+DJ$2)&lt;&gt;"",INDEX('×入力'!$A$1:$L$1300,706,2+DJ$2)&lt;&gt;"",INDEX('×入力'!$A$1:$L$1300,707+DJ$3,1)&lt;&gt;""),1,0),0)</f>
        <v/>
      </c>
      <c r="DK35">
        <f>IF(DK$4=1,IF(OR(INDEX('×入力'!$A$1:$L$1300,707+DK$3,2+DK$2)&lt;&gt;"",INDEX('×入力'!$A$1:$L$1300,706,2+DK$2)&lt;&gt;"",INDEX('×入力'!$A$1:$L$1300,707+DK$3,1)&lt;&gt;""),1,0),0)</f>
        <v/>
      </c>
      <c r="DL35">
        <f>IF(DL$4=1,IF(OR(INDEX('×入力'!$A$1:$L$1300,707+DL$3,2+DL$2)&lt;&gt;"",INDEX('×入力'!$A$1:$L$1300,706,2+DL$2)&lt;&gt;"",INDEX('×入力'!$A$1:$L$1300,707+DL$3,1)&lt;&gt;""),1,0),0)</f>
        <v/>
      </c>
      <c r="DM35">
        <f>IF(DM$4=1,IF(OR(INDEX('×入力'!$A$1:$L$1300,707+DM$3,2+DM$2)&lt;&gt;"",INDEX('×入力'!$A$1:$L$1300,706,2+DM$2)&lt;&gt;"",INDEX('×入力'!$A$1:$L$1300,707+DM$3,1)&lt;&gt;""),1,0),0)</f>
        <v/>
      </c>
      <c r="DN35">
        <f>IF(DN$4=1,IF(OR(INDEX('×入力'!$A$1:$L$1300,707+DN$3,2+DN$2)&lt;&gt;"",INDEX('×入力'!$A$1:$L$1300,706,2+DN$2)&lt;&gt;"",INDEX('×入力'!$A$1:$L$1300,707+DN$3,1)&lt;&gt;""),1,0),0)</f>
        <v/>
      </c>
      <c r="DO35">
        <f>IF(DO$4=1,IF(OR(INDEX('×入力'!$A$1:$L$1300,707+DO$3,2+DO$2)&lt;&gt;"",INDEX('×入力'!$A$1:$L$1300,706,2+DO$2)&lt;&gt;"",INDEX('×入力'!$A$1:$L$1300,707+DO$3,1)&lt;&gt;""),1,0),0)</f>
        <v/>
      </c>
      <c r="DP35">
        <f>IF(DP$4=1,IF(OR(INDEX('×入力'!$A$1:$L$1300,707+DP$3,2+DP$2)&lt;&gt;"",INDEX('×入力'!$A$1:$L$1300,706,2+DP$2)&lt;&gt;"",INDEX('×入力'!$A$1:$L$1300,707+DP$3,1)&lt;&gt;""),1,0),0)</f>
        <v/>
      </c>
      <c r="DQ35">
        <f>IF(DQ$4=1,IF(OR(INDEX('×入力'!$A$1:$L$1300,707+DQ$3,2+DQ$2)&lt;&gt;"",INDEX('×入力'!$A$1:$L$1300,706,2+DQ$2)&lt;&gt;"",INDEX('×入力'!$A$1:$L$1300,707+DQ$3,1)&lt;&gt;""),1,0),0)</f>
        <v/>
      </c>
      <c r="DR35">
        <f>IF(DR$4=1,IF(OR(INDEX('×入力'!$A$1:$L$1300,707+DR$3,2+DR$2)&lt;&gt;"",INDEX('×入力'!$A$1:$L$1300,706,2+DR$2)&lt;&gt;"",INDEX('×入力'!$A$1:$L$1300,707+DR$3,1)&lt;&gt;""),1,0),0)</f>
        <v/>
      </c>
      <c r="DS35">
        <f>IF(DS$4=1,IF(OR(INDEX('×入力'!$A$1:$L$1300,707+DS$3,2+DS$2)&lt;&gt;"",INDEX('×入力'!$A$1:$L$1300,706,2+DS$2)&lt;&gt;"",INDEX('×入力'!$A$1:$L$1300,707+DS$3,1)&lt;&gt;""),1,0),0)</f>
        <v/>
      </c>
      <c r="DT35">
        <f>IF(DT$4=1,IF(OR(INDEX('×入力'!$A$1:$L$1300,707+DT$3,2+DT$2)&lt;&gt;"",INDEX('×入力'!$A$1:$L$1300,706,2+DT$2)&lt;&gt;"",INDEX('×入力'!$A$1:$L$1300,707+DT$3,1)&lt;&gt;""),1,0),0)</f>
        <v/>
      </c>
      <c r="DU35">
        <f>IF(DU$4=1,IF(OR(INDEX('×入力'!$A$1:$L$1300,707+DU$3,2+DU$2)&lt;&gt;"",INDEX('×入力'!$A$1:$L$1300,706,2+DU$2)&lt;&gt;"",INDEX('×入力'!$A$1:$L$1300,707+DU$3,1)&lt;&gt;""),1,0),0)</f>
        <v/>
      </c>
      <c r="DV35">
        <f>IF(DV$4=1,IF(OR(INDEX('×入力'!$A$1:$L$1300,707+DV$3,2+DV$2)&lt;&gt;"",INDEX('×入力'!$A$1:$L$1300,706,2+DV$2)&lt;&gt;"",INDEX('×入力'!$A$1:$L$1300,707+DV$3,1)&lt;&gt;""),1,0),0)</f>
        <v/>
      </c>
      <c r="DW35">
        <f>IF(DW$4=1,IF(OR(INDEX('×入力'!$A$1:$L$1300,707+DW$3,2+DW$2)&lt;&gt;"",INDEX('×入力'!$A$1:$L$1300,706,2+DW$2)&lt;&gt;"",INDEX('×入力'!$A$1:$L$1300,707+DW$3,1)&lt;&gt;""),1,0),0)</f>
        <v/>
      </c>
      <c r="DX35">
        <f>IF(DX$4=1,IF(OR(INDEX('×入力'!$A$1:$L$1300,707+DX$3,2+DX$2)&lt;&gt;"",INDEX('×入力'!$A$1:$L$1300,706,2+DX$2)&lt;&gt;"",INDEX('×入力'!$A$1:$L$1300,707+DX$3,1)&lt;&gt;""),1,0),0)</f>
        <v/>
      </c>
      <c r="DY35">
        <f>IF(DY$4=1,IF(OR(INDEX('×入力'!$A$1:$L$1300,707+DY$3,2+DY$2)&lt;&gt;"",INDEX('×入力'!$A$1:$L$1300,706,2+DY$2)&lt;&gt;"",INDEX('×入力'!$A$1:$L$1300,707+DY$3,1)&lt;&gt;""),1,0),0)</f>
        <v/>
      </c>
      <c r="DZ35">
        <f>IF(DZ$4=1,IF(OR(INDEX('×入力'!$A$1:$L$1300,707+DZ$3,2+DZ$2)&lt;&gt;"",INDEX('×入力'!$A$1:$L$1300,706,2+DZ$2)&lt;&gt;"",INDEX('×入力'!$A$1:$L$1300,707+DZ$3,1)&lt;&gt;""),1,0),0)</f>
        <v/>
      </c>
      <c r="EA35">
        <f>IF(EA$4=1,IF(OR(INDEX('×入力'!$A$1:$L$1300,707+EA$3,2+EA$2)&lt;&gt;"",INDEX('×入力'!$A$1:$L$1300,706,2+EA$2)&lt;&gt;"",INDEX('×入力'!$A$1:$L$1300,707+EA$3,1)&lt;&gt;""),1,0),0)</f>
        <v/>
      </c>
      <c r="EB35">
        <f>IF(EB$4=1,IF(OR(INDEX('×入力'!$A$1:$L$1300,707+EB$3,2+EB$2)&lt;&gt;"",INDEX('×入力'!$A$1:$L$1300,706,2+EB$2)&lt;&gt;"",INDEX('×入力'!$A$1:$L$1300,707+EB$3,1)&lt;&gt;""),1,0),0)</f>
        <v/>
      </c>
      <c r="EC35">
        <f>IF(EC$4=1,IF(OR(INDEX('×入力'!$A$1:$L$1300,707+EC$3,2+EC$2)&lt;&gt;"",INDEX('×入力'!$A$1:$L$1300,706,2+EC$2)&lt;&gt;"",INDEX('×入力'!$A$1:$L$1300,707+EC$3,1)&lt;&gt;""),1,0),0)</f>
        <v/>
      </c>
      <c r="ED35">
        <f>IF(ED$4=1,IF(OR(INDEX('×入力'!$A$1:$L$1300,707+ED$3,2+ED$2)&lt;&gt;"",INDEX('×入力'!$A$1:$L$1300,706,2+ED$2)&lt;&gt;"",INDEX('×入力'!$A$1:$L$1300,707+ED$3,1)&lt;&gt;""),1,0),0)</f>
        <v/>
      </c>
      <c r="EE35">
        <f>IF(EE$4=1,IF(OR(INDEX('×入力'!$A$1:$L$1300,707+EE$3,2+EE$2)&lt;&gt;"",INDEX('×入力'!$A$1:$L$1300,706,2+EE$2)&lt;&gt;"",INDEX('×入力'!$A$1:$L$1300,707+EE$3,1)&lt;&gt;""),1,0),0)</f>
        <v/>
      </c>
      <c r="EF35">
        <f>IF(EF$4=1,IF(OR(INDEX('×入力'!$A$1:$L$1300,707+EF$3,2+EF$2)&lt;&gt;"",INDEX('×入力'!$A$1:$L$1300,706,2+EF$2)&lt;&gt;"",INDEX('×入力'!$A$1:$L$1300,707+EF$3,1)&lt;&gt;""),1,0),0)</f>
        <v/>
      </c>
      <c r="EG35">
        <f>IF(EG$4=1,IF(OR(INDEX('×入力'!$A$1:$L$1300,707+EG$3,2+EG$2)&lt;&gt;"",INDEX('×入力'!$A$1:$L$1300,706,2+EG$2)&lt;&gt;"",INDEX('×入力'!$A$1:$L$1300,707+EG$3,1)&lt;&gt;""),1,0),0)</f>
        <v/>
      </c>
      <c r="EH35">
        <f>IF(EH$4=1,IF(OR(INDEX('×入力'!$A$1:$L$1300,707+EH$3,2+EH$2)&lt;&gt;"",INDEX('×入力'!$A$1:$L$1300,706,2+EH$2)&lt;&gt;"",INDEX('×入力'!$A$1:$L$1300,707+EH$3,1)&lt;&gt;""),1,0),0)</f>
        <v/>
      </c>
      <c r="EI35">
        <f>IF(EI$4=1,IF(OR(INDEX('×入力'!$A$1:$L$1300,707+EI$3,2+EI$2)&lt;&gt;"",INDEX('×入力'!$A$1:$L$1300,706,2+EI$2)&lt;&gt;"",INDEX('×入力'!$A$1:$L$1300,707+EI$3,1)&lt;&gt;""),1,0),0)</f>
        <v/>
      </c>
      <c r="EJ35">
        <f>IF(EJ$4=1,IF(OR(INDEX('×入力'!$A$1:$L$1300,707+EJ$3,2+EJ$2)&lt;&gt;"",INDEX('×入力'!$A$1:$L$1300,706,2+EJ$2)&lt;&gt;"",INDEX('×入力'!$A$1:$L$1300,707+EJ$3,1)&lt;&gt;""),1,0),0)</f>
        <v/>
      </c>
      <c r="EK35">
        <f>IF(EK$4=1,IF(OR(INDEX('×入力'!$A$1:$L$1300,707+EK$3,2+EK$2)&lt;&gt;"",INDEX('×入力'!$A$1:$L$1300,706,2+EK$2)&lt;&gt;"",INDEX('×入力'!$A$1:$L$1300,707+EK$3,1)&lt;&gt;""),1,0),0)</f>
        <v/>
      </c>
      <c r="EL35">
        <f>IF(EL$4=1,IF(OR(INDEX('×入力'!$A$1:$L$1300,707+EL$3,2+EL$2)&lt;&gt;"",INDEX('×入力'!$A$1:$L$1300,706,2+EL$2)&lt;&gt;"",INDEX('×入力'!$A$1:$L$1300,707+EL$3,1)&lt;&gt;""),1,0),0)</f>
        <v/>
      </c>
      <c r="EM35">
        <f>IF(EM$4=1,IF(OR(INDEX('×入力'!$A$1:$L$1300,707+EM$3,2+EM$2)&lt;&gt;"",INDEX('×入力'!$A$1:$L$1300,706,2+EM$2)&lt;&gt;"",INDEX('×入力'!$A$1:$L$1300,707+EM$3,1)&lt;&gt;""),1,0),0)</f>
        <v/>
      </c>
      <c r="EN35">
        <f>IF(EN$4=1,IF(OR(INDEX('×入力'!$A$1:$L$1300,707+EN$3,2+EN$2)&lt;&gt;"",INDEX('×入力'!$A$1:$L$1300,706,2+EN$2)&lt;&gt;"",INDEX('×入力'!$A$1:$L$1300,707+EN$3,1)&lt;&gt;""),1,0),0)</f>
        <v/>
      </c>
      <c r="EO35">
        <f>IF(EO$4=1,IF(OR(INDEX('×入力'!$A$1:$L$1300,707+EO$3,2+EO$2)&lt;&gt;"",INDEX('×入力'!$A$1:$L$1300,706,2+EO$2)&lt;&gt;"",INDEX('×入力'!$A$1:$L$1300,707+EO$3,1)&lt;&gt;""),1,0),0)</f>
        <v/>
      </c>
      <c r="EP35">
        <f>IF(EP$4=1,IF(OR(INDEX('×入力'!$A$1:$L$1300,707+EP$3,2+EP$2)&lt;&gt;"",INDEX('×入力'!$A$1:$L$1300,706,2+EP$2)&lt;&gt;"",INDEX('×入力'!$A$1:$L$1300,707+EP$3,1)&lt;&gt;""),1,0),0)</f>
        <v/>
      </c>
      <c r="EQ35">
        <f>IF(EQ$4=1,IF(OR(INDEX('×入力'!$A$1:$L$1300,707+EQ$3,2+EQ$2)&lt;&gt;"",INDEX('×入力'!$A$1:$L$1300,706,2+EQ$2)&lt;&gt;"",INDEX('×入力'!$A$1:$L$1300,707+EQ$3,1)&lt;&gt;""),1,0),0)</f>
        <v/>
      </c>
      <c r="HA35">
        <f>MAX(0,IT35)</f>
        <v/>
      </c>
      <c r="HB35">
        <f>IF(HA35=0,0,INDEX($D$2:$EQ$2,HA35))</f>
        <v/>
      </c>
      <c r="HC35">
        <f>IF(HA35=0,0,INDEX($D$3:$EQ$3,HA35))</f>
        <v/>
      </c>
      <c r="HD35">
        <f>MAX(0,IY35)</f>
        <v/>
      </c>
      <c r="HE35">
        <f>IF(HD35=0,0,INDEX($D$2:$EQ$2,HD35))</f>
        <v/>
      </c>
      <c r="HF35">
        <f>IF(HD35=0,0,INDEX($D$3:$EQ$3,HD35))</f>
        <v/>
      </c>
      <c r="HG35">
        <f>MAX(0,IZ35)</f>
        <v/>
      </c>
      <c r="HH35">
        <f>IF(HG35=0,0,INDEX($D$2:$EQ$2,HG35))</f>
        <v/>
      </c>
      <c r="HI35">
        <f>IF(HG35=0,0,INDEX($D$3:$EQ$3,HG35))</f>
        <v/>
      </c>
      <c r="HJ35">
        <f>IF(AND(HA35&gt;0,HC35&gt;1,OR(HC35-1&lt;&gt;$A$3,$A$4=0)),HA35-1,-1)</f>
        <v/>
      </c>
      <c r="HK35">
        <f>IF(AND(HA35&gt;0,HC35&lt;24,OR(HC35&lt;&gt;$A$3,$A$4=0)),HA35+1,-1)</f>
        <v/>
      </c>
      <c r="HL35">
        <f>IF(AND(HD35&gt;0,HF35&gt;1,OR(HF35-1&lt;&gt;$A$3,$A$4=0)),HD35-1,-1)</f>
        <v/>
      </c>
      <c r="HM35">
        <f>IF(AND(HD35&gt;0,HF35&lt;24,OR(HF35&lt;&gt;$A$3,$A$4=0)),HD35+1,-1)</f>
        <v/>
      </c>
      <c r="HN35">
        <f>IF(AND(HG35&gt;0,HI35&gt;1,OR(HI35-1&lt;&gt;$A$3,$A$4=0)),HG35-1,-1)</f>
        <v/>
      </c>
      <c r="HO35">
        <f>IF(AND(HG35&gt;0,HI35&lt;24,OR(HI35&lt;&gt;$A$3,$A$4=0)),HG35+1,-1)</f>
        <v/>
      </c>
      <c r="IK35">
        <f>IFERROR(INDEX('calcB'!$C$3:$C$47,MATCH(A35,'calcB'!$B$3:$B$47,0)),0)</f>
        <v/>
      </c>
      <c r="IL35">
        <f>IF(AND(C35=1,IK35=0,calcA!$A$6&gt;0),1,0)</f>
        <v/>
      </c>
      <c r="IM35">
        <f>SUMPRODUCT(D85:EQ85*(1-$D$7:$EQ$7))</f>
        <v/>
      </c>
      <c r="IN35">
        <f>SUM(D35:EQ35)</f>
        <v/>
      </c>
      <c r="IO35">
        <f>IF(B35="",0,IF(COUNTIF('調整・決定'!$C$6:$H$29,B35)=1,SUMPRODUCT(('調整・決定'!$C$6:$H$29=B35)*((COLUMN('調整・決定'!$C$6:$H$29)-3)*24+ROW('調整・決定'!$C$6:$H$29)-5)),0))</f>
        <v/>
      </c>
      <c r="IP35">
        <f>IFERROR(MATCH('名簿'!C30,{"早い時刻","遅い時刻","早い日","遅い日"},0),0)</f>
        <v/>
      </c>
      <c r="IQ35">
        <f>IF('名簿'!D30="必ず空けたい",2,IF('名簿'!D30="出来れば空けたい",1,0))</f>
        <v/>
      </c>
      <c r="IR35">
        <f>IFERROR(INDEX('calcC'!$C$3:$C$47,MATCH(A35,'calcC'!$B$3:$B$47,0)),0)</f>
        <v/>
      </c>
      <c r="IS35">
        <f>IF(AND(C35=1,IR35=0,calcA!$A$6&gt;0),1,0)</f>
        <v/>
      </c>
      <c r="IT35">
        <f>IF(OR('名簿'!G30="",'名簿'!H30=""),0,IFERROR((MATCH('名簿'!G30,'設定'!$E$11:$E$16,0)-1)*24+MATCH('名簿'!H30,'設定'!$I$11:$I$34,0),-1))</f>
        <v/>
      </c>
      <c r="IV35">
        <f>IF(OR(JF35=0,IO35=0),1,IF(OR(IF(IT35&gt;0,AND(INDEX($D$2:$EQ$2,IO35)=INDEX($D$2:$EQ$2,IT35),OR(AND(IO35=IT35+1,OR(INDEX($D$3:$EQ$3,IT35)&lt;&gt;$A$3,$A$4=0)),AND(IO35=IT35-1,OR(INDEX($D$3:$EQ$3,IO35)&lt;&gt;$A$3,$A$4=0)))),FALSE),IF(IY35&gt;0,AND(INDEX($D$2:$EQ$2,IO35)=INDEX($D$2:$EQ$2,IY35),OR(AND(IO35=IY35+1,OR(INDEX($D$3:$EQ$3,IY35)&lt;&gt;$A$3,$A$4=0)),AND(IO35=IY35-1,OR(INDEX($D$3:$EQ$3,IO35)&lt;&gt;$A$3,$A$4=0)))),FALSE),IF(IZ35&gt;0,AND(INDEX($D$2:$EQ$2,IO35)=INDEX($D$2:$EQ$2,IZ35),OR(AND(IO35=IZ35+1,OR(INDEX($D$3:$EQ$3,IZ35)&lt;&gt;$A$3,$A$4=0)),AND(IO35=IZ35-1,OR(INDEX($D$3:$EQ$3,IO35)&lt;&gt;$A$3,$A$4=0)))),FALSE)),1,0))</f>
        <v/>
      </c>
      <c r="IW35">
        <f>IF(AND('名簿'!E30&lt;&gt;"",JF35=0),1,0)</f>
        <v/>
      </c>
      <c r="IX35">
        <f>IF('名簿'!D30="空けない",1,0)</f>
        <v/>
      </c>
      <c r="IY35">
        <f>IF(OR('名簿'!J30="",'名簿'!K30=""),0,IFERROR((MATCH('名簿'!J30,'設定'!$E$11:$E$16,0)-1)*24+MATCH('名簿'!K30,'設定'!$I$11:$I$34,0),-1))</f>
        <v/>
      </c>
      <c r="IZ35">
        <f>IF(OR('名簿'!M30="",'名簿'!N30=""),0,IFERROR((MATCH('名簿'!M30,'設定'!$E$11:$E$16,0)-1)*24+MATCH('名簿'!N30,'設定'!$I$11:$I$34,0),-1))</f>
        <v/>
      </c>
      <c r="JC35">
        <f>IF(RIGHT('名簿'!I30,2)="の前",1,IF(RIGHT('名簿'!I30,2)="の後",2,0))</f>
        <v/>
      </c>
      <c r="JD35">
        <f>IF(RIGHT('名簿'!L30,2)="の前",1,IF(RIGHT('名簿'!L30,2)="の後",2,0))</f>
        <v/>
      </c>
      <c r="JE35">
        <f>IF(RIGHT('名簿'!O30,2)="の前",1,IF(RIGHT('名簿'!O30,2)="の後",2,0))</f>
        <v/>
      </c>
      <c r="JF35">
        <f>IF(OR(IT35&gt;0,IY35&gt;0,IZ35&gt;0),1,0)</f>
        <v/>
      </c>
      <c r="JG35">
        <f>IF(OR(IT35&lt;0,IY35&lt;0,IZ35&lt;0),1,0)</f>
        <v/>
      </c>
    </row>
    <row r="36">
      <c r="A36" t="n">
        <v>27</v>
      </c>
      <c r="B36">
        <f>'名簿'!P31</f>
        <v/>
      </c>
      <c r="C36">
        <f>IF(AND(B36&lt;&gt;"",OR('名簿'!Q31="入力済み",'名簿'!Q31="×なし"),IO36=0,COUNTIF('調整・決定'!$C$6:$H$29,B36)=0),1,0)</f>
        <v/>
      </c>
      <c r="D36">
        <f>IF(D$4=1,IF(OR(INDEX('×入力'!$A$1:$L$1300,735+D$3,2+D$2)&lt;&gt;"",INDEX('×入力'!$A$1:$L$1300,734,2+D$2)&lt;&gt;"",INDEX('×入力'!$A$1:$L$1300,735+D$3,1)&lt;&gt;""),1,0),0)</f>
        <v/>
      </c>
      <c r="E36">
        <f>IF(E$4=1,IF(OR(INDEX('×入力'!$A$1:$L$1300,735+E$3,2+E$2)&lt;&gt;"",INDEX('×入力'!$A$1:$L$1300,734,2+E$2)&lt;&gt;"",INDEX('×入力'!$A$1:$L$1300,735+E$3,1)&lt;&gt;""),1,0),0)</f>
        <v/>
      </c>
      <c r="F36">
        <f>IF(F$4=1,IF(OR(INDEX('×入力'!$A$1:$L$1300,735+F$3,2+F$2)&lt;&gt;"",INDEX('×入力'!$A$1:$L$1300,734,2+F$2)&lt;&gt;"",INDEX('×入力'!$A$1:$L$1300,735+F$3,1)&lt;&gt;""),1,0),0)</f>
        <v/>
      </c>
      <c r="G36">
        <f>IF(G$4=1,IF(OR(INDEX('×入力'!$A$1:$L$1300,735+G$3,2+G$2)&lt;&gt;"",INDEX('×入力'!$A$1:$L$1300,734,2+G$2)&lt;&gt;"",INDEX('×入力'!$A$1:$L$1300,735+G$3,1)&lt;&gt;""),1,0),0)</f>
        <v/>
      </c>
      <c r="H36">
        <f>IF(H$4=1,IF(OR(INDEX('×入力'!$A$1:$L$1300,735+H$3,2+H$2)&lt;&gt;"",INDEX('×入力'!$A$1:$L$1300,734,2+H$2)&lt;&gt;"",INDEX('×入力'!$A$1:$L$1300,735+H$3,1)&lt;&gt;""),1,0),0)</f>
        <v/>
      </c>
      <c r="I36">
        <f>IF(I$4=1,IF(OR(INDEX('×入力'!$A$1:$L$1300,735+I$3,2+I$2)&lt;&gt;"",INDEX('×入力'!$A$1:$L$1300,734,2+I$2)&lt;&gt;"",INDEX('×入力'!$A$1:$L$1300,735+I$3,1)&lt;&gt;""),1,0),0)</f>
        <v/>
      </c>
      <c r="J36">
        <f>IF(J$4=1,IF(OR(INDEX('×入力'!$A$1:$L$1300,735+J$3,2+J$2)&lt;&gt;"",INDEX('×入力'!$A$1:$L$1300,734,2+J$2)&lt;&gt;"",INDEX('×入力'!$A$1:$L$1300,735+J$3,1)&lt;&gt;""),1,0),0)</f>
        <v/>
      </c>
      <c r="K36">
        <f>IF(K$4=1,IF(OR(INDEX('×入力'!$A$1:$L$1300,735+K$3,2+K$2)&lt;&gt;"",INDEX('×入力'!$A$1:$L$1300,734,2+K$2)&lt;&gt;"",INDEX('×入力'!$A$1:$L$1300,735+K$3,1)&lt;&gt;""),1,0),0)</f>
        <v/>
      </c>
      <c r="L36">
        <f>IF(L$4=1,IF(OR(INDEX('×入力'!$A$1:$L$1300,735+L$3,2+L$2)&lt;&gt;"",INDEX('×入力'!$A$1:$L$1300,734,2+L$2)&lt;&gt;"",INDEX('×入力'!$A$1:$L$1300,735+L$3,1)&lt;&gt;""),1,0),0)</f>
        <v/>
      </c>
      <c r="M36">
        <f>IF(M$4=1,IF(OR(INDEX('×入力'!$A$1:$L$1300,735+M$3,2+M$2)&lt;&gt;"",INDEX('×入力'!$A$1:$L$1300,734,2+M$2)&lt;&gt;"",INDEX('×入力'!$A$1:$L$1300,735+M$3,1)&lt;&gt;""),1,0),0)</f>
        <v/>
      </c>
      <c r="N36">
        <f>IF(N$4=1,IF(OR(INDEX('×入力'!$A$1:$L$1300,735+N$3,2+N$2)&lt;&gt;"",INDEX('×入力'!$A$1:$L$1300,734,2+N$2)&lt;&gt;"",INDEX('×入力'!$A$1:$L$1300,735+N$3,1)&lt;&gt;""),1,0),0)</f>
        <v/>
      </c>
      <c r="O36">
        <f>IF(O$4=1,IF(OR(INDEX('×入力'!$A$1:$L$1300,735+O$3,2+O$2)&lt;&gt;"",INDEX('×入力'!$A$1:$L$1300,734,2+O$2)&lt;&gt;"",INDEX('×入力'!$A$1:$L$1300,735+O$3,1)&lt;&gt;""),1,0),0)</f>
        <v/>
      </c>
      <c r="P36">
        <f>IF(P$4=1,IF(OR(INDEX('×入力'!$A$1:$L$1300,735+P$3,2+P$2)&lt;&gt;"",INDEX('×入力'!$A$1:$L$1300,734,2+P$2)&lt;&gt;"",INDEX('×入力'!$A$1:$L$1300,735+P$3,1)&lt;&gt;""),1,0),0)</f>
        <v/>
      </c>
      <c r="Q36">
        <f>IF(Q$4=1,IF(OR(INDEX('×入力'!$A$1:$L$1300,735+Q$3,2+Q$2)&lt;&gt;"",INDEX('×入力'!$A$1:$L$1300,734,2+Q$2)&lt;&gt;"",INDEX('×入力'!$A$1:$L$1300,735+Q$3,1)&lt;&gt;""),1,0),0)</f>
        <v/>
      </c>
      <c r="R36">
        <f>IF(R$4=1,IF(OR(INDEX('×入力'!$A$1:$L$1300,735+R$3,2+R$2)&lt;&gt;"",INDEX('×入力'!$A$1:$L$1300,734,2+R$2)&lt;&gt;"",INDEX('×入力'!$A$1:$L$1300,735+R$3,1)&lt;&gt;""),1,0),0)</f>
        <v/>
      </c>
      <c r="S36">
        <f>IF(S$4=1,IF(OR(INDEX('×入力'!$A$1:$L$1300,735+S$3,2+S$2)&lt;&gt;"",INDEX('×入力'!$A$1:$L$1300,734,2+S$2)&lt;&gt;"",INDEX('×入力'!$A$1:$L$1300,735+S$3,1)&lt;&gt;""),1,0),0)</f>
        <v/>
      </c>
      <c r="T36">
        <f>IF(T$4=1,IF(OR(INDEX('×入力'!$A$1:$L$1300,735+T$3,2+T$2)&lt;&gt;"",INDEX('×入力'!$A$1:$L$1300,734,2+T$2)&lt;&gt;"",INDEX('×入力'!$A$1:$L$1300,735+T$3,1)&lt;&gt;""),1,0),0)</f>
        <v/>
      </c>
      <c r="U36">
        <f>IF(U$4=1,IF(OR(INDEX('×入力'!$A$1:$L$1300,735+U$3,2+U$2)&lt;&gt;"",INDEX('×入力'!$A$1:$L$1300,734,2+U$2)&lt;&gt;"",INDEX('×入力'!$A$1:$L$1300,735+U$3,1)&lt;&gt;""),1,0),0)</f>
        <v/>
      </c>
      <c r="V36">
        <f>IF(V$4=1,IF(OR(INDEX('×入力'!$A$1:$L$1300,735+V$3,2+V$2)&lt;&gt;"",INDEX('×入力'!$A$1:$L$1300,734,2+V$2)&lt;&gt;"",INDEX('×入力'!$A$1:$L$1300,735+V$3,1)&lt;&gt;""),1,0),0)</f>
        <v/>
      </c>
      <c r="W36">
        <f>IF(W$4=1,IF(OR(INDEX('×入力'!$A$1:$L$1300,735+W$3,2+W$2)&lt;&gt;"",INDEX('×入力'!$A$1:$L$1300,734,2+W$2)&lt;&gt;"",INDEX('×入力'!$A$1:$L$1300,735+W$3,1)&lt;&gt;""),1,0),0)</f>
        <v/>
      </c>
      <c r="X36">
        <f>IF(X$4=1,IF(OR(INDEX('×入力'!$A$1:$L$1300,735+X$3,2+X$2)&lt;&gt;"",INDEX('×入力'!$A$1:$L$1300,734,2+X$2)&lt;&gt;"",INDEX('×入力'!$A$1:$L$1300,735+X$3,1)&lt;&gt;""),1,0),0)</f>
        <v/>
      </c>
      <c r="Y36">
        <f>IF(Y$4=1,IF(OR(INDEX('×入力'!$A$1:$L$1300,735+Y$3,2+Y$2)&lt;&gt;"",INDEX('×入力'!$A$1:$L$1300,734,2+Y$2)&lt;&gt;"",INDEX('×入力'!$A$1:$L$1300,735+Y$3,1)&lt;&gt;""),1,0),0)</f>
        <v/>
      </c>
      <c r="Z36">
        <f>IF(Z$4=1,IF(OR(INDEX('×入力'!$A$1:$L$1300,735+Z$3,2+Z$2)&lt;&gt;"",INDEX('×入力'!$A$1:$L$1300,734,2+Z$2)&lt;&gt;"",INDEX('×入力'!$A$1:$L$1300,735+Z$3,1)&lt;&gt;""),1,0),0)</f>
        <v/>
      </c>
      <c r="AA36">
        <f>IF(AA$4=1,IF(OR(INDEX('×入力'!$A$1:$L$1300,735+AA$3,2+AA$2)&lt;&gt;"",INDEX('×入力'!$A$1:$L$1300,734,2+AA$2)&lt;&gt;"",INDEX('×入力'!$A$1:$L$1300,735+AA$3,1)&lt;&gt;""),1,0),0)</f>
        <v/>
      </c>
      <c r="AB36">
        <f>IF(AB$4=1,IF(OR(INDEX('×入力'!$A$1:$L$1300,735+AB$3,2+AB$2)&lt;&gt;"",INDEX('×入力'!$A$1:$L$1300,734,2+AB$2)&lt;&gt;"",INDEX('×入力'!$A$1:$L$1300,735+AB$3,1)&lt;&gt;""),1,0),0)</f>
        <v/>
      </c>
      <c r="AC36">
        <f>IF(AC$4=1,IF(OR(INDEX('×入力'!$A$1:$L$1300,735+AC$3,2+AC$2)&lt;&gt;"",INDEX('×入力'!$A$1:$L$1300,734,2+AC$2)&lt;&gt;"",INDEX('×入力'!$A$1:$L$1300,735+AC$3,1)&lt;&gt;""),1,0),0)</f>
        <v/>
      </c>
      <c r="AD36">
        <f>IF(AD$4=1,IF(OR(INDEX('×入力'!$A$1:$L$1300,735+AD$3,2+AD$2)&lt;&gt;"",INDEX('×入力'!$A$1:$L$1300,734,2+AD$2)&lt;&gt;"",INDEX('×入力'!$A$1:$L$1300,735+AD$3,1)&lt;&gt;""),1,0),0)</f>
        <v/>
      </c>
      <c r="AE36">
        <f>IF(AE$4=1,IF(OR(INDEX('×入力'!$A$1:$L$1300,735+AE$3,2+AE$2)&lt;&gt;"",INDEX('×入力'!$A$1:$L$1300,734,2+AE$2)&lt;&gt;"",INDEX('×入力'!$A$1:$L$1300,735+AE$3,1)&lt;&gt;""),1,0),0)</f>
        <v/>
      </c>
      <c r="AF36">
        <f>IF(AF$4=1,IF(OR(INDEX('×入力'!$A$1:$L$1300,735+AF$3,2+AF$2)&lt;&gt;"",INDEX('×入力'!$A$1:$L$1300,734,2+AF$2)&lt;&gt;"",INDEX('×入力'!$A$1:$L$1300,735+AF$3,1)&lt;&gt;""),1,0),0)</f>
        <v/>
      </c>
      <c r="AG36">
        <f>IF(AG$4=1,IF(OR(INDEX('×入力'!$A$1:$L$1300,735+AG$3,2+AG$2)&lt;&gt;"",INDEX('×入力'!$A$1:$L$1300,734,2+AG$2)&lt;&gt;"",INDEX('×入力'!$A$1:$L$1300,735+AG$3,1)&lt;&gt;""),1,0),0)</f>
        <v/>
      </c>
      <c r="AH36">
        <f>IF(AH$4=1,IF(OR(INDEX('×入力'!$A$1:$L$1300,735+AH$3,2+AH$2)&lt;&gt;"",INDEX('×入力'!$A$1:$L$1300,734,2+AH$2)&lt;&gt;"",INDEX('×入力'!$A$1:$L$1300,735+AH$3,1)&lt;&gt;""),1,0),0)</f>
        <v/>
      </c>
      <c r="AI36">
        <f>IF(AI$4=1,IF(OR(INDEX('×入力'!$A$1:$L$1300,735+AI$3,2+AI$2)&lt;&gt;"",INDEX('×入力'!$A$1:$L$1300,734,2+AI$2)&lt;&gt;"",INDEX('×入力'!$A$1:$L$1300,735+AI$3,1)&lt;&gt;""),1,0),0)</f>
        <v/>
      </c>
      <c r="AJ36">
        <f>IF(AJ$4=1,IF(OR(INDEX('×入力'!$A$1:$L$1300,735+AJ$3,2+AJ$2)&lt;&gt;"",INDEX('×入力'!$A$1:$L$1300,734,2+AJ$2)&lt;&gt;"",INDEX('×入力'!$A$1:$L$1300,735+AJ$3,1)&lt;&gt;""),1,0),0)</f>
        <v/>
      </c>
      <c r="AK36">
        <f>IF(AK$4=1,IF(OR(INDEX('×入力'!$A$1:$L$1300,735+AK$3,2+AK$2)&lt;&gt;"",INDEX('×入力'!$A$1:$L$1300,734,2+AK$2)&lt;&gt;"",INDEX('×入力'!$A$1:$L$1300,735+AK$3,1)&lt;&gt;""),1,0),0)</f>
        <v/>
      </c>
      <c r="AL36">
        <f>IF(AL$4=1,IF(OR(INDEX('×入力'!$A$1:$L$1300,735+AL$3,2+AL$2)&lt;&gt;"",INDEX('×入力'!$A$1:$L$1300,734,2+AL$2)&lt;&gt;"",INDEX('×入力'!$A$1:$L$1300,735+AL$3,1)&lt;&gt;""),1,0),0)</f>
        <v/>
      </c>
      <c r="AM36">
        <f>IF(AM$4=1,IF(OR(INDEX('×入力'!$A$1:$L$1300,735+AM$3,2+AM$2)&lt;&gt;"",INDEX('×入力'!$A$1:$L$1300,734,2+AM$2)&lt;&gt;"",INDEX('×入力'!$A$1:$L$1300,735+AM$3,1)&lt;&gt;""),1,0),0)</f>
        <v/>
      </c>
      <c r="AN36">
        <f>IF(AN$4=1,IF(OR(INDEX('×入力'!$A$1:$L$1300,735+AN$3,2+AN$2)&lt;&gt;"",INDEX('×入力'!$A$1:$L$1300,734,2+AN$2)&lt;&gt;"",INDEX('×入力'!$A$1:$L$1300,735+AN$3,1)&lt;&gt;""),1,0),0)</f>
        <v/>
      </c>
      <c r="AO36">
        <f>IF(AO$4=1,IF(OR(INDEX('×入力'!$A$1:$L$1300,735+AO$3,2+AO$2)&lt;&gt;"",INDEX('×入力'!$A$1:$L$1300,734,2+AO$2)&lt;&gt;"",INDEX('×入力'!$A$1:$L$1300,735+AO$3,1)&lt;&gt;""),1,0),0)</f>
        <v/>
      </c>
      <c r="AP36">
        <f>IF(AP$4=1,IF(OR(INDEX('×入力'!$A$1:$L$1300,735+AP$3,2+AP$2)&lt;&gt;"",INDEX('×入力'!$A$1:$L$1300,734,2+AP$2)&lt;&gt;"",INDEX('×入力'!$A$1:$L$1300,735+AP$3,1)&lt;&gt;""),1,0),0)</f>
        <v/>
      </c>
      <c r="AQ36">
        <f>IF(AQ$4=1,IF(OR(INDEX('×入力'!$A$1:$L$1300,735+AQ$3,2+AQ$2)&lt;&gt;"",INDEX('×入力'!$A$1:$L$1300,734,2+AQ$2)&lt;&gt;"",INDEX('×入力'!$A$1:$L$1300,735+AQ$3,1)&lt;&gt;""),1,0),0)</f>
        <v/>
      </c>
      <c r="AR36">
        <f>IF(AR$4=1,IF(OR(INDEX('×入力'!$A$1:$L$1300,735+AR$3,2+AR$2)&lt;&gt;"",INDEX('×入力'!$A$1:$L$1300,734,2+AR$2)&lt;&gt;"",INDEX('×入力'!$A$1:$L$1300,735+AR$3,1)&lt;&gt;""),1,0),0)</f>
        <v/>
      </c>
      <c r="AS36">
        <f>IF(AS$4=1,IF(OR(INDEX('×入力'!$A$1:$L$1300,735+AS$3,2+AS$2)&lt;&gt;"",INDEX('×入力'!$A$1:$L$1300,734,2+AS$2)&lt;&gt;"",INDEX('×入力'!$A$1:$L$1300,735+AS$3,1)&lt;&gt;""),1,0),0)</f>
        <v/>
      </c>
      <c r="AT36">
        <f>IF(AT$4=1,IF(OR(INDEX('×入力'!$A$1:$L$1300,735+AT$3,2+AT$2)&lt;&gt;"",INDEX('×入力'!$A$1:$L$1300,734,2+AT$2)&lt;&gt;"",INDEX('×入力'!$A$1:$L$1300,735+AT$3,1)&lt;&gt;""),1,0),0)</f>
        <v/>
      </c>
      <c r="AU36">
        <f>IF(AU$4=1,IF(OR(INDEX('×入力'!$A$1:$L$1300,735+AU$3,2+AU$2)&lt;&gt;"",INDEX('×入力'!$A$1:$L$1300,734,2+AU$2)&lt;&gt;"",INDEX('×入力'!$A$1:$L$1300,735+AU$3,1)&lt;&gt;""),1,0),0)</f>
        <v/>
      </c>
      <c r="AV36">
        <f>IF(AV$4=1,IF(OR(INDEX('×入力'!$A$1:$L$1300,735+AV$3,2+AV$2)&lt;&gt;"",INDEX('×入力'!$A$1:$L$1300,734,2+AV$2)&lt;&gt;"",INDEX('×入力'!$A$1:$L$1300,735+AV$3,1)&lt;&gt;""),1,0),0)</f>
        <v/>
      </c>
      <c r="AW36">
        <f>IF(AW$4=1,IF(OR(INDEX('×入力'!$A$1:$L$1300,735+AW$3,2+AW$2)&lt;&gt;"",INDEX('×入力'!$A$1:$L$1300,734,2+AW$2)&lt;&gt;"",INDEX('×入力'!$A$1:$L$1300,735+AW$3,1)&lt;&gt;""),1,0),0)</f>
        <v/>
      </c>
      <c r="AX36">
        <f>IF(AX$4=1,IF(OR(INDEX('×入力'!$A$1:$L$1300,735+AX$3,2+AX$2)&lt;&gt;"",INDEX('×入力'!$A$1:$L$1300,734,2+AX$2)&lt;&gt;"",INDEX('×入力'!$A$1:$L$1300,735+AX$3,1)&lt;&gt;""),1,0),0)</f>
        <v/>
      </c>
      <c r="AY36">
        <f>IF(AY$4=1,IF(OR(INDEX('×入力'!$A$1:$L$1300,735+AY$3,2+AY$2)&lt;&gt;"",INDEX('×入力'!$A$1:$L$1300,734,2+AY$2)&lt;&gt;"",INDEX('×入力'!$A$1:$L$1300,735+AY$3,1)&lt;&gt;""),1,0),0)</f>
        <v/>
      </c>
      <c r="AZ36">
        <f>IF(AZ$4=1,IF(OR(INDEX('×入力'!$A$1:$L$1300,735+AZ$3,2+AZ$2)&lt;&gt;"",INDEX('×入力'!$A$1:$L$1300,734,2+AZ$2)&lt;&gt;"",INDEX('×入力'!$A$1:$L$1300,735+AZ$3,1)&lt;&gt;""),1,0),0)</f>
        <v/>
      </c>
      <c r="BA36">
        <f>IF(BA$4=1,IF(OR(INDEX('×入力'!$A$1:$L$1300,735+BA$3,2+BA$2)&lt;&gt;"",INDEX('×入力'!$A$1:$L$1300,734,2+BA$2)&lt;&gt;"",INDEX('×入力'!$A$1:$L$1300,735+BA$3,1)&lt;&gt;""),1,0),0)</f>
        <v/>
      </c>
      <c r="BB36">
        <f>IF(BB$4=1,IF(OR(INDEX('×入力'!$A$1:$L$1300,735+BB$3,2+BB$2)&lt;&gt;"",INDEX('×入力'!$A$1:$L$1300,734,2+BB$2)&lt;&gt;"",INDEX('×入力'!$A$1:$L$1300,735+BB$3,1)&lt;&gt;""),1,0),0)</f>
        <v/>
      </c>
      <c r="BC36">
        <f>IF(BC$4=1,IF(OR(INDEX('×入力'!$A$1:$L$1300,735+BC$3,2+BC$2)&lt;&gt;"",INDEX('×入力'!$A$1:$L$1300,734,2+BC$2)&lt;&gt;"",INDEX('×入力'!$A$1:$L$1300,735+BC$3,1)&lt;&gt;""),1,0),0)</f>
        <v/>
      </c>
      <c r="BD36">
        <f>IF(BD$4=1,IF(OR(INDEX('×入力'!$A$1:$L$1300,735+BD$3,2+BD$2)&lt;&gt;"",INDEX('×入力'!$A$1:$L$1300,734,2+BD$2)&lt;&gt;"",INDEX('×入力'!$A$1:$L$1300,735+BD$3,1)&lt;&gt;""),1,0),0)</f>
        <v/>
      </c>
      <c r="BE36">
        <f>IF(BE$4=1,IF(OR(INDEX('×入力'!$A$1:$L$1300,735+BE$3,2+BE$2)&lt;&gt;"",INDEX('×入力'!$A$1:$L$1300,734,2+BE$2)&lt;&gt;"",INDEX('×入力'!$A$1:$L$1300,735+BE$3,1)&lt;&gt;""),1,0),0)</f>
        <v/>
      </c>
      <c r="BF36">
        <f>IF(BF$4=1,IF(OR(INDEX('×入力'!$A$1:$L$1300,735+BF$3,2+BF$2)&lt;&gt;"",INDEX('×入力'!$A$1:$L$1300,734,2+BF$2)&lt;&gt;"",INDEX('×入力'!$A$1:$L$1300,735+BF$3,1)&lt;&gt;""),1,0),0)</f>
        <v/>
      </c>
      <c r="BG36">
        <f>IF(BG$4=1,IF(OR(INDEX('×入力'!$A$1:$L$1300,735+BG$3,2+BG$2)&lt;&gt;"",INDEX('×入力'!$A$1:$L$1300,734,2+BG$2)&lt;&gt;"",INDEX('×入力'!$A$1:$L$1300,735+BG$3,1)&lt;&gt;""),1,0),0)</f>
        <v/>
      </c>
      <c r="BH36">
        <f>IF(BH$4=1,IF(OR(INDEX('×入力'!$A$1:$L$1300,735+BH$3,2+BH$2)&lt;&gt;"",INDEX('×入力'!$A$1:$L$1300,734,2+BH$2)&lt;&gt;"",INDEX('×入力'!$A$1:$L$1300,735+BH$3,1)&lt;&gt;""),1,0),0)</f>
        <v/>
      </c>
      <c r="BI36">
        <f>IF(BI$4=1,IF(OR(INDEX('×入力'!$A$1:$L$1300,735+BI$3,2+BI$2)&lt;&gt;"",INDEX('×入力'!$A$1:$L$1300,734,2+BI$2)&lt;&gt;"",INDEX('×入力'!$A$1:$L$1300,735+BI$3,1)&lt;&gt;""),1,0),0)</f>
        <v/>
      </c>
      <c r="BJ36">
        <f>IF(BJ$4=1,IF(OR(INDEX('×入力'!$A$1:$L$1300,735+BJ$3,2+BJ$2)&lt;&gt;"",INDEX('×入力'!$A$1:$L$1300,734,2+BJ$2)&lt;&gt;"",INDEX('×入力'!$A$1:$L$1300,735+BJ$3,1)&lt;&gt;""),1,0),0)</f>
        <v/>
      </c>
      <c r="BK36">
        <f>IF(BK$4=1,IF(OR(INDEX('×入力'!$A$1:$L$1300,735+BK$3,2+BK$2)&lt;&gt;"",INDEX('×入力'!$A$1:$L$1300,734,2+BK$2)&lt;&gt;"",INDEX('×入力'!$A$1:$L$1300,735+BK$3,1)&lt;&gt;""),1,0),0)</f>
        <v/>
      </c>
      <c r="BL36">
        <f>IF(BL$4=1,IF(OR(INDEX('×入力'!$A$1:$L$1300,735+BL$3,2+BL$2)&lt;&gt;"",INDEX('×入力'!$A$1:$L$1300,734,2+BL$2)&lt;&gt;"",INDEX('×入力'!$A$1:$L$1300,735+BL$3,1)&lt;&gt;""),1,0),0)</f>
        <v/>
      </c>
      <c r="BM36">
        <f>IF(BM$4=1,IF(OR(INDEX('×入力'!$A$1:$L$1300,735+BM$3,2+BM$2)&lt;&gt;"",INDEX('×入力'!$A$1:$L$1300,734,2+BM$2)&lt;&gt;"",INDEX('×入力'!$A$1:$L$1300,735+BM$3,1)&lt;&gt;""),1,0),0)</f>
        <v/>
      </c>
      <c r="BN36">
        <f>IF(BN$4=1,IF(OR(INDEX('×入力'!$A$1:$L$1300,735+BN$3,2+BN$2)&lt;&gt;"",INDEX('×入力'!$A$1:$L$1300,734,2+BN$2)&lt;&gt;"",INDEX('×入力'!$A$1:$L$1300,735+BN$3,1)&lt;&gt;""),1,0),0)</f>
        <v/>
      </c>
      <c r="BO36">
        <f>IF(BO$4=1,IF(OR(INDEX('×入力'!$A$1:$L$1300,735+BO$3,2+BO$2)&lt;&gt;"",INDEX('×入力'!$A$1:$L$1300,734,2+BO$2)&lt;&gt;"",INDEX('×入力'!$A$1:$L$1300,735+BO$3,1)&lt;&gt;""),1,0),0)</f>
        <v/>
      </c>
      <c r="BP36">
        <f>IF(BP$4=1,IF(OR(INDEX('×入力'!$A$1:$L$1300,735+BP$3,2+BP$2)&lt;&gt;"",INDEX('×入力'!$A$1:$L$1300,734,2+BP$2)&lt;&gt;"",INDEX('×入力'!$A$1:$L$1300,735+BP$3,1)&lt;&gt;""),1,0),0)</f>
        <v/>
      </c>
      <c r="BQ36">
        <f>IF(BQ$4=1,IF(OR(INDEX('×入力'!$A$1:$L$1300,735+BQ$3,2+BQ$2)&lt;&gt;"",INDEX('×入力'!$A$1:$L$1300,734,2+BQ$2)&lt;&gt;"",INDEX('×入力'!$A$1:$L$1300,735+BQ$3,1)&lt;&gt;""),1,0),0)</f>
        <v/>
      </c>
      <c r="BR36">
        <f>IF(BR$4=1,IF(OR(INDEX('×入力'!$A$1:$L$1300,735+BR$3,2+BR$2)&lt;&gt;"",INDEX('×入力'!$A$1:$L$1300,734,2+BR$2)&lt;&gt;"",INDEX('×入力'!$A$1:$L$1300,735+BR$3,1)&lt;&gt;""),1,0),0)</f>
        <v/>
      </c>
      <c r="BS36">
        <f>IF(BS$4=1,IF(OR(INDEX('×入力'!$A$1:$L$1300,735+BS$3,2+BS$2)&lt;&gt;"",INDEX('×入力'!$A$1:$L$1300,734,2+BS$2)&lt;&gt;"",INDEX('×入力'!$A$1:$L$1300,735+BS$3,1)&lt;&gt;""),1,0),0)</f>
        <v/>
      </c>
      <c r="BT36">
        <f>IF(BT$4=1,IF(OR(INDEX('×入力'!$A$1:$L$1300,735+BT$3,2+BT$2)&lt;&gt;"",INDEX('×入力'!$A$1:$L$1300,734,2+BT$2)&lt;&gt;"",INDEX('×入力'!$A$1:$L$1300,735+BT$3,1)&lt;&gt;""),1,0),0)</f>
        <v/>
      </c>
      <c r="BU36">
        <f>IF(BU$4=1,IF(OR(INDEX('×入力'!$A$1:$L$1300,735+BU$3,2+BU$2)&lt;&gt;"",INDEX('×入力'!$A$1:$L$1300,734,2+BU$2)&lt;&gt;"",INDEX('×入力'!$A$1:$L$1300,735+BU$3,1)&lt;&gt;""),1,0),0)</f>
        <v/>
      </c>
      <c r="BV36">
        <f>IF(BV$4=1,IF(OR(INDEX('×入力'!$A$1:$L$1300,735+BV$3,2+BV$2)&lt;&gt;"",INDEX('×入力'!$A$1:$L$1300,734,2+BV$2)&lt;&gt;"",INDEX('×入力'!$A$1:$L$1300,735+BV$3,1)&lt;&gt;""),1,0),0)</f>
        <v/>
      </c>
      <c r="BW36">
        <f>IF(BW$4=1,IF(OR(INDEX('×入力'!$A$1:$L$1300,735+BW$3,2+BW$2)&lt;&gt;"",INDEX('×入力'!$A$1:$L$1300,734,2+BW$2)&lt;&gt;"",INDEX('×入力'!$A$1:$L$1300,735+BW$3,1)&lt;&gt;""),1,0),0)</f>
        <v/>
      </c>
      <c r="BX36">
        <f>IF(BX$4=1,IF(OR(INDEX('×入力'!$A$1:$L$1300,735+BX$3,2+BX$2)&lt;&gt;"",INDEX('×入力'!$A$1:$L$1300,734,2+BX$2)&lt;&gt;"",INDEX('×入力'!$A$1:$L$1300,735+BX$3,1)&lt;&gt;""),1,0),0)</f>
        <v/>
      </c>
      <c r="BY36">
        <f>IF(BY$4=1,IF(OR(INDEX('×入力'!$A$1:$L$1300,735+BY$3,2+BY$2)&lt;&gt;"",INDEX('×入力'!$A$1:$L$1300,734,2+BY$2)&lt;&gt;"",INDEX('×入力'!$A$1:$L$1300,735+BY$3,1)&lt;&gt;""),1,0),0)</f>
        <v/>
      </c>
      <c r="BZ36">
        <f>IF(BZ$4=1,IF(OR(INDEX('×入力'!$A$1:$L$1300,735+BZ$3,2+BZ$2)&lt;&gt;"",INDEX('×入力'!$A$1:$L$1300,734,2+BZ$2)&lt;&gt;"",INDEX('×入力'!$A$1:$L$1300,735+BZ$3,1)&lt;&gt;""),1,0),0)</f>
        <v/>
      </c>
      <c r="CA36">
        <f>IF(CA$4=1,IF(OR(INDEX('×入力'!$A$1:$L$1300,735+CA$3,2+CA$2)&lt;&gt;"",INDEX('×入力'!$A$1:$L$1300,734,2+CA$2)&lt;&gt;"",INDEX('×入力'!$A$1:$L$1300,735+CA$3,1)&lt;&gt;""),1,0),0)</f>
        <v/>
      </c>
      <c r="CB36">
        <f>IF(CB$4=1,IF(OR(INDEX('×入力'!$A$1:$L$1300,735+CB$3,2+CB$2)&lt;&gt;"",INDEX('×入力'!$A$1:$L$1300,734,2+CB$2)&lt;&gt;"",INDEX('×入力'!$A$1:$L$1300,735+CB$3,1)&lt;&gt;""),1,0),0)</f>
        <v/>
      </c>
      <c r="CC36">
        <f>IF(CC$4=1,IF(OR(INDEX('×入力'!$A$1:$L$1300,735+CC$3,2+CC$2)&lt;&gt;"",INDEX('×入力'!$A$1:$L$1300,734,2+CC$2)&lt;&gt;"",INDEX('×入力'!$A$1:$L$1300,735+CC$3,1)&lt;&gt;""),1,0),0)</f>
        <v/>
      </c>
      <c r="CD36">
        <f>IF(CD$4=1,IF(OR(INDEX('×入力'!$A$1:$L$1300,735+CD$3,2+CD$2)&lt;&gt;"",INDEX('×入力'!$A$1:$L$1300,734,2+CD$2)&lt;&gt;"",INDEX('×入力'!$A$1:$L$1300,735+CD$3,1)&lt;&gt;""),1,0),0)</f>
        <v/>
      </c>
      <c r="CE36">
        <f>IF(CE$4=1,IF(OR(INDEX('×入力'!$A$1:$L$1300,735+CE$3,2+CE$2)&lt;&gt;"",INDEX('×入力'!$A$1:$L$1300,734,2+CE$2)&lt;&gt;"",INDEX('×入力'!$A$1:$L$1300,735+CE$3,1)&lt;&gt;""),1,0),0)</f>
        <v/>
      </c>
      <c r="CF36">
        <f>IF(CF$4=1,IF(OR(INDEX('×入力'!$A$1:$L$1300,735+CF$3,2+CF$2)&lt;&gt;"",INDEX('×入力'!$A$1:$L$1300,734,2+CF$2)&lt;&gt;"",INDEX('×入力'!$A$1:$L$1300,735+CF$3,1)&lt;&gt;""),1,0),0)</f>
        <v/>
      </c>
      <c r="CG36">
        <f>IF(CG$4=1,IF(OR(INDEX('×入力'!$A$1:$L$1300,735+CG$3,2+CG$2)&lt;&gt;"",INDEX('×入力'!$A$1:$L$1300,734,2+CG$2)&lt;&gt;"",INDEX('×入力'!$A$1:$L$1300,735+CG$3,1)&lt;&gt;""),1,0),0)</f>
        <v/>
      </c>
      <c r="CH36">
        <f>IF(CH$4=1,IF(OR(INDEX('×入力'!$A$1:$L$1300,735+CH$3,2+CH$2)&lt;&gt;"",INDEX('×入力'!$A$1:$L$1300,734,2+CH$2)&lt;&gt;"",INDEX('×入力'!$A$1:$L$1300,735+CH$3,1)&lt;&gt;""),1,0),0)</f>
        <v/>
      </c>
      <c r="CI36">
        <f>IF(CI$4=1,IF(OR(INDEX('×入力'!$A$1:$L$1300,735+CI$3,2+CI$2)&lt;&gt;"",INDEX('×入力'!$A$1:$L$1300,734,2+CI$2)&lt;&gt;"",INDEX('×入力'!$A$1:$L$1300,735+CI$3,1)&lt;&gt;""),1,0),0)</f>
        <v/>
      </c>
      <c r="CJ36">
        <f>IF(CJ$4=1,IF(OR(INDEX('×入力'!$A$1:$L$1300,735+CJ$3,2+CJ$2)&lt;&gt;"",INDEX('×入力'!$A$1:$L$1300,734,2+CJ$2)&lt;&gt;"",INDEX('×入力'!$A$1:$L$1300,735+CJ$3,1)&lt;&gt;""),1,0),0)</f>
        <v/>
      </c>
      <c r="CK36">
        <f>IF(CK$4=1,IF(OR(INDEX('×入力'!$A$1:$L$1300,735+CK$3,2+CK$2)&lt;&gt;"",INDEX('×入力'!$A$1:$L$1300,734,2+CK$2)&lt;&gt;"",INDEX('×入力'!$A$1:$L$1300,735+CK$3,1)&lt;&gt;""),1,0),0)</f>
        <v/>
      </c>
      <c r="CL36">
        <f>IF(CL$4=1,IF(OR(INDEX('×入力'!$A$1:$L$1300,735+CL$3,2+CL$2)&lt;&gt;"",INDEX('×入力'!$A$1:$L$1300,734,2+CL$2)&lt;&gt;"",INDEX('×入力'!$A$1:$L$1300,735+CL$3,1)&lt;&gt;""),1,0),0)</f>
        <v/>
      </c>
      <c r="CM36">
        <f>IF(CM$4=1,IF(OR(INDEX('×入力'!$A$1:$L$1300,735+CM$3,2+CM$2)&lt;&gt;"",INDEX('×入力'!$A$1:$L$1300,734,2+CM$2)&lt;&gt;"",INDEX('×入力'!$A$1:$L$1300,735+CM$3,1)&lt;&gt;""),1,0),0)</f>
        <v/>
      </c>
      <c r="CN36">
        <f>IF(CN$4=1,IF(OR(INDEX('×入力'!$A$1:$L$1300,735+CN$3,2+CN$2)&lt;&gt;"",INDEX('×入力'!$A$1:$L$1300,734,2+CN$2)&lt;&gt;"",INDEX('×入力'!$A$1:$L$1300,735+CN$3,1)&lt;&gt;""),1,0),0)</f>
        <v/>
      </c>
      <c r="CO36">
        <f>IF(CO$4=1,IF(OR(INDEX('×入力'!$A$1:$L$1300,735+CO$3,2+CO$2)&lt;&gt;"",INDEX('×入力'!$A$1:$L$1300,734,2+CO$2)&lt;&gt;"",INDEX('×入力'!$A$1:$L$1300,735+CO$3,1)&lt;&gt;""),1,0),0)</f>
        <v/>
      </c>
      <c r="CP36">
        <f>IF(CP$4=1,IF(OR(INDEX('×入力'!$A$1:$L$1300,735+CP$3,2+CP$2)&lt;&gt;"",INDEX('×入力'!$A$1:$L$1300,734,2+CP$2)&lt;&gt;"",INDEX('×入力'!$A$1:$L$1300,735+CP$3,1)&lt;&gt;""),1,0),0)</f>
        <v/>
      </c>
      <c r="CQ36">
        <f>IF(CQ$4=1,IF(OR(INDEX('×入力'!$A$1:$L$1300,735+CQ$3,2+CQ$2)&lt;&gt;"",INDEX('×入力'!$A$1:$L$1300,734,2+CQ$2)&lt;&gt;"",INDEX('×入力'!$A$1:$L$1300,735+CQ$3,1)&lt;&gt;""),1,0),0)</f>
        <v/>
      </c>
      <c r="CR36">
        <f>IF(CR$4=1,IF(OR(INDEX('×入力'!$A$1:$L$1300,735+CR$3,2+CR$2)&lt;&gt;"",INDEX('×入力'!$A$1:$L$1300,734,2+CR$2)&lt;&gt;"",INDEX('×入力'!$A$1:$L$1300,735+CR$3,1)&lt;&gt;""),1,0),0)</f>
        <v/>
      </c>
      <c r="CS36">
        <f>IF(CS$4=1,IF(OR(INDEX('×入力'!$A$1:$L$1300,735+CS$3,2+CS$2)&lt;&gt;"",INDEX('×入力'!$A$1:$L$1300,734,2+CS$2)&lt;&gt;"",INDEX('×入力'!$A$1:$L$1300,735+CS$3,1)&lt;&gt;""),1,0),0)</f>
        <v/>
      </c>
      <c r="CT36">
        <f>IF(CT$4=1,IF(OR(INDEX('×入力'!$A$1:$L$1300,735+CT$3,2+CT$2)&lt;&gt;"",INDEX('×入力'!$A$1:$L$1300,734,2+CT$2)&lt;&gt;"",INDEX('×入力'!$A$1:$L$1300,735+CT$3,1)&lt;&gt;""),1,0),0)</f>
        <v/>
      </c>
      <c r="CU36">
        <f>IF(CU$4=1,IF(OR(INDEX('×入力'!$A$1:$L$1300,735+CU$3,2+CU$2)&lt;&gt;"",INDEX('×入力'!$A$1:$L$1300,734,2+CU$2)&lt;&gt;"",INDEX('×入力'!$A$1:$L$1300,735+CU$3,1)&lt;&gt;""),1,0),0)</f>
        <v/>
      </c>
      <c r="CV36">
        <f>IF(CV$4=1,IF(OR(INDEX('×入力'!$A$1:$L$1300,735+CV$3,2+CV$2)&lt;&gt;"",INDEX('×入力'!$A$1:$L$1300,734,2+CV$2)&lt;&gt;"",INDEX('×入力'!$A$1:$L$1300,735+CV$3,1)&lt;&gt;""),1,0),0)</f>
        <v/>
      </c>
      <c r="CW36">
        <f>IF(CW$4=1,IF(OR(INDEX('×入力'!$A$1:$L$1300,735+CW$3,2+CW$2)&lt;&gt;"",INDEX('×入力'!$A$1:$L$1300,734,2+CW$2)&lt;&gt;"",INDEX('×入力'!$A$1:$L$1300,735+CW$3,1)&lt;&gt;""),1,0),0)</f>
        <v/>
      </c>
      <c r="CX36">
        <f>IF(CX$4=1,IF(OR(INDEX('×入力'!$A$1:$L$1300,735+CX$3,2+CX$2)&lt;&gt;"",INDEX('×入力'!$A$1:$L$1300,734,2+CX$2)&lt;&gt;"",INDEX('×入力'!$A$1:$L$1300,735+CX$3,1)&lt;&gt;""),1,0),0)</f>
        <v/>
      </c>
      <c r="CY36">
        <f>IF(CY$4=1,IF(OR(INDEX('×入力'!$A$1:$L$1300,735+CY$3,2+CY$2)&lt;&gt;"",INDEX('×入力'!$A$1:$L$1300,734,2+CY$2)&lt;&gt;"",INDEX('×入力'!$A$1:$L$1300,735+CY$3,1)&lt;&gt;""),1,0),0)</f>
        <v/>
      </c>
      <c r="CZ36">
        <f>IF(CZ$4=1,IF(OR(INDEX('×入力'!$A$1:$L$1300,735+CZ$3,2+CZ$2)&lt;&gt;"",INDEX('×入力'!$A$1:$L$1300,734,2+CZ$2)&lt;&gt;"",INDEX('×入力'!$A$1:$L$1300,735+CZ$3,1)&lt;&gt;""),1,0),0)</f>
        <v/>
      </c>
      <c r="DA36">
        <f>IF(DA$4=1,IF(OR(INDEX('×入力'!$A$1:$L$1300,735+DA$3,2+DA$2)&lt;&gt;"",INDEX('×入力'!$A$1:$L$1300,734,2+DA$2)&lt;&gt;"",INDEX('×入力'!$A$1:$L$1300,735+DA$3,1)&lt;&gt;""),1,0),0)</f>
        <v/>
      </c>
      <c r="DB36">
        <f>IF(DB$4=1,IF(OR(INDEX('×入力'!$A$1:$L$1300,735+DB$3,2+DB$2)&lt;&gt;"",INDEX('×入力'!$A$1:$L$1300,734,2+DB$2)&lt;&gt;"",INDEX('×入力'!$A$1:$L$1300,735+DB$3,1)&lt;&gt;""),1,0),0)</f>
        <v/>
      </c>
      <c r="DC36">
        <f>IF(DC$4=1,IF(OR(INDEX('×入力'!$A$1:$L$1300,735+DC$3,2+DC$2)&lt;&gt;"",INDEX('×入力'!$A$1:$L$1300,734,2+DC$2)&lt;&gt;"",INDEX('×入力'!$A$1:$L$1300,735+DC$3,1)&lt;&gt;""),1,0),0)</f>
        <v/>
      </c>
      <c r="DD36">
        <f>IF(DD$4=1,IF(OR(INDEX('×入力'!$A$1:$L$1300,735+DD$3,2+DD$2)&lt;&gt;"",INDEX('×入力'!$A$1:$L$1300,734,2+DD$2)&lt;&gt;"",INDEX('×入力'!$A$1:$L$1300,735+DD$3,1)&lt;&gt;""),1,0),0)</f>
        <v/>
      </c>
      <c r="DE36">
        <f>IF(DE$4=1,IF(OR(INDEX('×入力'!$A$1:$L$1300,735+DE$3,2+DE$2)&lt;&gt;"",INDEX('×入力'!$A$1:$L$1300,734,2+DE$2)&lt;&gt;"",INDEX('×入力'!$A$1:$L$1300,735+DE$3,1)&lt;&gt;""),1,0),0)</f>
        <v/>
      </c>
      <c r="DF36">
        <f>IF(DF$4=1,IF(OR(INDEX('×入力'!$A$1:$L$1300,735+DF$3,2+DF$2)&lt;&gt;"",INDEX('×入力'!$A$1:$L$1300,734,2+DF$2)&lt;&gt;"",INDEX('×入力'!$A$1:$L$1300,735+DF$3,1)&lt;&gt;""),1,0),0)</f>
        <v/>
      </c>
      <c r="DG36">
        <f>IF(DG$4=1,IF(OR(INDEX('×入力'!$A$1:$L$1300,735+DG$3,2+DG$2)&lt;&gt;"",INDEX('×入力'!$A$1:$L$1300,734,2+DG$2)&lt;&gt;"",INDEX('×入力'!$A$1:$L$1300,735+DG$3,1)&lt;&gt;""),1,0),0)</f>
        <v/>
      </c>
      <c r="DH36">
        <f>IF(DH$4=1,IF(OR(INDEX('×入力'!$A$1:$L$1300,735+DH$3,2+DH$2)&lt;&gt;"",INDEX('×入力'!$A$1:$L$1300,734,2+DH$2)&lt;&gt;"",INDEX('×入力'!$A$1:$L$1300,735+DH$3,1)&lt;&gt;""),1,0),0)</f>
        <v/>
      </c>
      <c r="DI36">
        <f>IF(DI$4=1,IF(OR(INDEX('×入力'!$A$1:$L$1300,735+DI$3,2+DI$2)&lt;&gt;"",INDEX('×入力'!$A$1:$L$1300,734,2+DI$2)&lt;&gt;"",INDEX('×入力'!$A$1:$L$1300,735+DI$3,1)&lt;&gt;""),1,0),0)</f>
        <v/>
      </c>
      <c r="DJ36">
        <f>IF(DJ$4=1,IF(OR(INDEX('×入力'!$A$1:$L$1300,735+DJ$3,2+DJ$2)&lt;&gt;"",INDEX('×入力'!$A$1:$L$1300,734,2+DJ$2)&lt;&gt;"",INDEX('×入力'!$A$1:$L$1300,735+DJ$3,1)&lt;&gt;""),1,0),0)</f>
        <v/>
      </c>
      <c r="DK36">
        <f>IF(DK$4=1,IF(OR(INDEX('×入力'!$A$1:$L$1300,735+DK$3,2+DK$2)&lt;&gt;"",INDEX('×入力'!$A$1:$L$1300,734,2+DK$2)&lt;&gt;"",INDEX('×入力'!$A$1:$L$1300,735+DK$3,1)&lt;&gt;""),1,0),0)</f>
        <v/>
      </c>
      <c r="DL36">
        <f>IF(DL$4=1,IF(OR(INDEX('×入力'!$A$1:$L$1300,735+DL$3,2+DL$2)&lt;&gt;"",INDEX('×入力'!$A$1:$L$1300,734,2+DL$2)&lt;&gt;"",INDEX('×入力'!$A$1:$L$1300,735+DL$3,1)&lt;&gt;""),1,0),0)</f>
        <v/>
      </c>
      <c r="DM36">
        <f>IF(DM$4=1,IF(OR(INDEX('×入力'!$A$1:$L$1300,735+DM$3,2+DM$2)&lt;&gt;"",INDEX('×入力'!$A$1:$L$1300,734,2+DM$2)&lt;&gt;"",INDEX('×入力'!$A$1:$L$1300,735+DM$3,1)&lt;&gt;""),1,0),0)</f>
        <v/>
      </c>
      <c r="DN36">
        <f>IF(DN$4=1,IF(OR(INDEX('×入力'!$A$1:$L$1300,735+DN$3,2+DN$2)&lt;&gt;"",INDEX('×入力'!$A$1:$L$1300,734,2+DN$2)&lt;&gt;"",INDEX('×入力'!$A$1:$L$1300,735+DN$3,1)&lt;&gt;""),1,0),0)</f>
        <v/>
      </c>
      <c r="DO36">
        <f>IF(DO$4=1,IF(OR(INDEX('×入力'!$A$1:$L$1300,735+DO$3,2+DO$2)&lt;&gt;"",INDEX('×入力'!$A$1:$L$1300,734,2+DO$2)&lt;&gt;"",INDEX('×入力'!$A$1:$L$1300,735+DO$3,1)&lt;&gt;""),1,0),0)</f>
        <v/>
      </c>
      <c r="DP36">
        <f>IF(DP$4=1,IF(OR(INDEX('×入力'!$A$1:$L$1300,735+DP$3,2+DP$2)&lt;&gt;"",INDEX('×入力'!$A$1:$L$1300,734,2+DP$2)&lt;&gt;"",INDEX('×入力'!$A$1:$L$1300,735+DP$3,1)&lt;&gt;""),1,0),0)</f>
        <v/>
      </c>
      <c r="DQ36">
        <f>IF(DQ$4=1,IF(OR(INDEX('×入力'!$A$1:$L$1300,735+DQ$3,2+DQ$2)&lt;&gt;"",INDEX('×入力'!$A$1:$L$1300,734,2+DQ$2)&lt;&gt;"",INDEX('×入力'!$A$1:$L$1300,735+DQ$3,1)&lt;&gt;""),1,0),0)</f>
        <v/>
      </c>
      <c r="DR36">
        <f>IF(DR$4=1,IF(OR(INDEX('×入力'!$A$1:$L$1300,735+DR$3,2+DR$2)&lt;&gt;"",INDEX('×入力'!$A$1:$L$1300,734,2+DR$2)&lt;&gt;"",INDEX('×入力'!$A$1:$L$1300,735+DR$3,1)&lt;&gt;""),1,0),0)</f>
        <v/>
      </c>
      <c r="DS36">
        <f>IF(DS$4=1,IF(OR(INDEX('×入力'!$A$1:$L$1300,735+DS$3,2+DS$2)&lt;&gt;"",INDEX('×入力'!$A$1:$L$1300,734,2+DS$2)&lt;&gt;"",INDEX('×入力'!$A$1:$L$1300,735+DS$3,1)&lt;&gt;""),1,0),0)</f>
        <v/>
      </c>
      <c r="DT36">
        <f>IF(DT$4=1,IF(OR(INDEX('×入力'!$A$1:$L$1300,735+DT$3,2+DT$2)&lt;&gt;"",INDEX('×入力'!$A$1:$L$1300,734,2+DT$2)&lt;&gt;"",INDEX('×入力'!$A$1:$L$1300,735+DT$3,1)&lt;&gt;""),1,0),0)</f>
        <v/>
      </c>
      <c r="DU36">
        <f>IF(DU$4=1,IF(OR(INDEX('×入力'!$A$1:$L$1300,735+DU$3,2+DU$2)&lt;&gt;"",INDEX('×入力'!$A$1:$L$1300,734,2+DU$2)&lt;&gt;"",INDEX('×入力'!$A$1:$L$1300,735+DU$3,1)&lt;&gt;""),1,0),0)</f>
        <v/>
      </c>
      <c r="DV36">
        <f>IF(DV$4=1,IF(OR(INDEX('×入力'!$A$1:$L$1300,735+DV$3,2+DV$2)&lt;&gt;"",INDEX('×入力'!$A$1:$L$1300,734,2+DV$2)&lt;&gt;"",INDEX('×入力'!$A$1:$L$1300,735+DV$3,1)&lt;&gt;""),1,0),0)</f>
        <v/>
      </c>
      <c r="DW36">
        <f>IF(DW$4=1,IF(OR(INDEX('×入力'!$A$1:$L$1300,735+DW$3,2+DW$2)&lt;&gt;"",INDEX('×入力'!$A$1:$L$1300,734,2+DW$2)&lt;&gt;"",INDEX('×入力'!$A$1:$L$1300,735+DW$3,1)&lt;&gt;""),1,0),0)</f>
        <v/>
      </c>
      <c r="DX36">
        <f>IF(DX$4=1,IF(OR(INDEX('×入力'!$A$1:$L$1300,735+DX$3,2+DX$2)&lt;&gt;"",INDEX('×入力'!$A$1:$L$1300,734,2+DX$2)&lt;&gt;"",INDEX('×入力'!$A$1:$L$1300,735+DX$3,1)&lt;&gt;""),1,0),0)</f>
        <v/>
      </c>
      <c r="DY36">
        <f>IF(DY$4=1,IF(OR(INDEX('×入力'!$A$1:$L$1300,735+DY$3,2+DY$2)&lt;&gt;"",INDEX('×入力'!$A$1:$L$1300,734,2+DY$2)&lt;&gt;"",INDEX('×入力'!$A$1:$L$1300,735+DY$3,1)&lt;&gt;""),1,0),0)</f>
        <v/>
      </c>
      <c r="DZ36">
        <f>IF(DZ$4=1,IF(OR(INDEX('×入力'!$A$1:$L$1300,735+DZ$3,2+DZ$2)&lt;&gt;"",INDEX('×入力'!$A$1:$L$1300,734,2+DZ$2)&lt;&gt;"",INDEX('×入力'!$A$1:$L$1300,735+DZ$3,1)&lt;&gt;""),1,0),0)</f>
        <v/>
      </c>
      <c r="EA36">
        <f>IF(EA$4=1,IF(OR(INDEX('×入力'!$A$1:$L$1300,735+EA$3,2+EA$2)&lt;&gt;"",INDEX('×入力'!$A$1:$L$1300,734,2+EA$2)&lt;&gt;"",INDEX('×入力'!$A$1:$L$1300,735+EA$3,1)&lt;&gt;""),1,0),0)</f>
        <v/>
      </c>
      <c r="EB36">
        <f>IF(EB$4=1,IF(OR(INDEX('×入力'!$A$1:$L$1300,735+EB$3,2+EB$2)&lt;&gt;"",INDEX('×入力'!$A$1:$L$1300,734,2+EB$2)&lt;&gt;"",INDEX('×入力'!$A$1:$L$1300,735+EB$3,1)&lt;&gt;""),1,0),0)</f>
        <v/>
      </c>
      <c r="EC36">
        <f>IF(EC$4=1,IF(OR(INDEX('×入力'!$A$1:$L$1300,735+EC$3,2+EC$2)&lt;&gt;"",INDEX('×入力'!$A$1:$L$1300,734,2+EC$2)&lt;&gt;"",INDEX('×入力'!$A$1:$L$1300,735+EC$3,1)&lt;&gt;""),1,0),0)</f>
        <v/>
      </c>
      <c r="ED36">
        <f>IF(ED$4=1,IF(OR(INDEX('×入力'!$A$1:$L$1300,735+ED$3,2+ED$2)&lt;&gt;"",INDEX('×入力'!$A$1:$L$1300,734,2+ED$2)&lt;&gt;"",INDEX('×入力'!$A$1:$L$1300,735+ED$3,1)&lt;&gt;""),1,0),0)</f>
        <v/>
      </c>
      <c r="EE36">
        <f>IF(EE$4=1,IF(OR(INDEX('×入力'!$A$1:$L$1300,735+EE$3,2+EE$2)&lt;&gt;"",INDEX('×入力'!$A$1:$L$1300,734,2+EE$2)&lt;&gt;"",INDEX('×入力'!$A$1:$L$1300,735+EE$3,1)&lt;&gt;""),1,0),0)</f>
        <v/>
      </c>
      <c r="EF36">
        <f>IF(EF$4=1,IF(OR(INDEX('×入力'!$A$1:$L$1300,735+EF$3,2+EF$2)&lt;&gt;"",INDEX('×入力'!$A$1:$L$1300,734,2+EF$2)&lt;&gt;"",INDEX('×入力'!$A$1:$L$1300,735+EF$3,1)&lt;&gt;""),1,0),0)</f>
        <v/>
      </c>
      <c r="EG36">
        <f>IF(EG$4=1,IF(OR(INDEX('×入力'!$A$1:$L$1300,735+EG$3,2+EG$2)&lt;&gt;"",INDEX('×入力'!$A$1:$L$1300,734,2+EG$2)&lt;&gt;"",INDEX('×入力'!$A$1:$L$1300,735+EG$3,1)&lt;&gt;""),1,0),0)</f>
        <v/>
      </c>
      <c r="EH36">
        <f>IF(EH$4=1,IF(OR(INDEX('×入力'!$A$1:$L$1300,735+EH$3,2+EH$2)&lt;&gt;"",INDEX('×入力'!$A$1:$L$1300,734,2+EH$2)&lt;&gt;"",INDEX('×入力'!$A$1:$L$1300,735+EH$3,1)&lt;&gt;""),1,0),0)</f>
        <v/>
      </c>
      <c r="EI36">
        <f>IF(EI$4=1,IF(OR(INDEX('×入力'!$A$1:$L$1300,735+EI$3,2+EI$2)&lt;&gt;"",INDEX('×入力'!$A$1:$L$1300,734,2+EI$2)&lt;&gt;"",INDEX('×入力'!$A$1:$L$1300,735+EI$3,1)&lt;&gt;""),1,0),0)</f>
        <v/>
      </c>
      <c r="EJ36">
        <f>IF(EJ$4=1,IF(OR(INDEX('×入力'!$A$1:$L$1300,735+EJ$3,2+EJ$2)&lt;&gt;"",INDEX('×入力'!$A$1:$L$1300,734,2+EJ$2)&lt;&gt;"",INDEX('×入力'!$A$1:$L$1300,735+EJ$3,1)&lt;&gt;""),1,0),0)</f>
        <v/>
      </c>
      <c r="EK36">
        <f>IF(EK$4=1,IF(OR(INDEX('×入力'!$A$1:$L$1300,735+EK$3,2+EK$2)&lt;&gt;"",INDEX('×入力'!$A$1:$L$1300,734,2+EK$2)&lt;&gt;"",INDEX('×入力'!$A$1:$L$1300,735+EK$3,1)&lt;&gt;""),1,0),0)</f>
        <v/>
      </c>
      <c r="EL36">
        <f>IF(EL$4=1,IF(OR(INDEX('×入力'!$A$1:$L$1300,735+EL$3,2+EL$2)&lt;&gt;"",INDEX('×入力'!$A$1:$L$1300,734,2+EL$2)&lt;&gt;"",INDEX('×入力'!$A$1:$L$1300,735+EL$3,1)&lt;&gt;""),1,0),0)</f>
        <v/>
      </c>
      <c r="EM36">
        <f>IF(EM$4=1,IF(OR(INDEX('×入力'!$A$1:$L$1300,735+EM$3,2+EM$2)&lt;&gt;"",INDEX('×入力'!$A$1:$L$1300,734,2+EM$2)&lt;&gt;"",INDEX('×入力'!$A$1:$L$1300,735+EM$3,1)&lt;&gt;""),1,0),0)</f>
        <v/>
      </c>
      <c r="EN36">
        <f>IF(EN$4=1,IF(OR(INDEX('×入力'!$A$1:$L$1300,735+EN$3,2+EN$2)&lt;&gt;"",INDEX('×入力'!$A$1:$L$1300,734,2+EN$2)&lt;&gt;"",INDEX('×入力'!$A$1:$L$1300,735+EN$3,1)&lt;&gt;""),1,0),0)</f>
        <v/>
      </c>
      <c r="EO36">
        <f>IF(EO$4=1,IF(OR(INDEX('×入力'!$A$1:$L$1300,735+EO$3,2+EO$2)&lt;&gt;"",INDEX('×入力'!$A$1:$L$1300,734,2+EO$2)&lt;&gt;"",INDEX('×入力'!$A$1:$L$1300,735+EO$3,1)&lt;&gt;""),1,0),0)</f>
        <v/>
      </c>
      <c r="EP36">
        <f>IF(EP$4=1,IF(OR(INDEX('×入力'!$A$1:$L$1300,735+EP$3,2+EP$2)&lt;&gt;"",INDEX('×入力'!$A$1:$L$1300,734,2+EP$2)&lt;&gt;"",INDEX('×入力'!$A$1:$L$1300,735+EP$3,1)&lt;&gt;""),1,0),0)</f>
        <v/>
      </c>
      <c r="EQ36">
        <f>IF(EQ$4=1,IF(OR(INDEX('×入力'!$A$1:$L$1300,735+EQ$3,2+EQ$2)&lt;&gt;"",INDEX('×入力'!$A$1:$L$1300,734,2+EQ$2)&lt;&gt;"",INDEX('×入力'!$A$1:$L$1300,735+EQ$3,1)&lt;&gt;""),1,0),0)</f>
        <v/>
      </c>
      <c r="HA36">
        <f>MAX(0,IT36)</f>
        <v/>
      </c>
      <c r="HB36">
        <f>IF(HA36=0,0,INDEX($D$2:$EQ$2,HA36))</f>
        <v/>
      </c>
      <c r="HC36">
        <f>IF(HA36=0,0,INDEX($D$3:$EQ$3,HA36))</f>
        <v/>
      </c>
      <c r="HD36">
        <f>MAX(0,IY36)</f>
        <v/>
      </c>
      <c r="HE36">
        <f>IF(HD36=0,0,INDEX($D$2:$EQ$2,HD36))</f>
        <v/>
      </c>
      <c r="HF36">
        <f>IF(HD36=0,0,INDEX($D$3:$EQ$3,HD36))</f>
        <v/>
      </c>
      <c r="HG36">
        <f>MAX(0,IZ36)</f>
        <v/>
      </c>
      <c r="HH36">
        <f>IF(HG36=0,0,INDEX($D$2:$EQ$2,HG36))</f>
        <v/>
      </c>
      <c r="HI36">
        <f>IF(HG36=0,0,INDEX($D$3:$EQ$3,HG36))</f>
        <v/>
      </c>
      <c r="HJ36">
        <f>IF(AND(HA36&gt;0,HC36&gt;1,OR(HC36-1&lt;&gt;$A$3,$A$4=0)),HA36-1,-1)</f>
        <v/>
      </c>
      <c r="HK36">
        <f>IF(AND(HA36&gt;0,HC36&lt;24,OR(HC36&lt;&gt;$A$3,$A$4=0)),HA36+1,-1)</f>
        <v/>
      </c>
      <c r="HL36">
        <f>IF(AND(HD36&gt;0,HF36&gt;1,OR(HF36-1&lt;&gt;$A$3,$A$4=0)),HD36-1,-1)</f>
        <v/>
      </c>
      <c r="HM36">
        <f>IF(AND(HD36&gt;0,HF36&lt;24,OR(HF36&lt;&gt;$A$3,$A$4=0)),HD36+1,-1)</f>
        <v/>
      </c>
      <c r="HN36">
        <f>IF(AND(HG36&gt;0,HI36&gt;1,OR(HI36-1&lt;&gt;$A$3,$A$4=0)),HG36-1,-1)</f>
        <v/>
      </c>
      <c r="HO36">
        <f>IF(AND(HG36&gt;0,HI36&lt;24,OR(HI36&lt;&gt;$A$3,$A$4=0)),HG36+1,-1)</f>
        <v/>
      </c>
      <c r="IK36">
        <f>IFERROR(INDEX('calcB'!$C$3:$C$47,MATCH(A36,'calcB'!$B$3:$B$47,0)),0)</f>
        <v/>
      </c>
      <c r="IL36">
        <f>IF(AND(C36=1,IK36=0,calcA!$A$6&gt;0),1,0)</f>
        <v/>
      </c>
      <c r="IM36">
        <f>SUMPRODUCT(D86:EQ86*(1-$D$7:$EQ$7))</f>
        <v/>
      </c>
      <c r="IN36">
        <f>SUM(D36:EQ36)</f>
        <v/>
      </c>
      <c r="IO36">
        <f>IF(B36="",0,IF(COUNTIF('調整・決定'!$C$6:$H$29,B36)=1,SUMPRODUCT(('調整・決定'!$C$6:$H$29=B36)*((COLUMN('調整・決定'!$C$6:$H$29)-3)*24+ROW('調整・決定'!$C$6:$H$29)-5)),0))</f>
        <v/>
      </c>
      <c r="IP36">
        <f>IFERROR(MATCH('名簿'!C31,{"早い時刻","遅い時刻","早い日","遅い日"},0),0)</f>
        <v/>
      </c>
      <c r="IQ36">
        <f>IF('名簿'!D31="必ず空けたい",2,IF('名簿'!D31="出来れば空けたい",1,0))</f>
        <v/>
      </c>
      <c r="IR36">
        <f>IFERROR(INDEX('calcC'!$C$3:$C$47,MATCH(A36,'calcC'!$B$3:$B$47,0)),0)</f>
        <v/>
      </c>
      <c r="IS36">
        <f>IF(AND(C36=1,IR36=0,calcA!$A$6&gt;0),1,0)</f>
        <v/>
      </c>
      <c r="IT36">
        <f>IF(OR('名簿'!G31="",'名簿'!H31=""),0,IFERROR((MATCH('名簿'!G31,'設定'!$E$11:$E$16,0)-1)*24+MATCH('名簿'!H31,'設定'!$I$11:$I$34,0),-1))</f>
        <v/>
      </c>
      <c r="IV36">
        <f>IF(OR(JF36=0,IO36=0),1,IF(OR(IF(IT36&gt;0,AND(INDEX($D$2:$EQ$2,IO36)=INDEX($D$2:$EQ$2,IT36),OR(AND(IO36=IT36+1,OR(INDEX($D$3:$EQ$3,IT36)&lt;&gt;$A$3,$A$4=0)),AND(IO36=IT36-1,OR(INDEX($D$3:$EQ$3,IO36)&lt;&gt;$A$3,$A$4=0)))),FALSE),IF(IY36&gt;0,AND(INDEX($D$2:$EQ$2,IO36)=INDEX($D$2:$EQ$2,IY36),OR(AND(IO36=IY36+1,OR(INDEX($D$3:$EQ$3,IY36)&lt;&gt;$A$3,$A$4=0)),AND(IO36=IY36-1,OR(INDEX($D$3:$EQ$3,IO36)&lt;&gt;$A$3,$A$4=0)))),FALSE),IF(IZ36&gt;0,AND(INDEX($D$2:$EQ$2,IO36)=INDEX($D$2:$EQ$2,IZ36),OR(AND(IO36=IZ36+1,OR(INDEX($D$3:$EQ$3,IZ36)&lt;&gt;$A$3,$A$4=0)),AND(IO36=IZ36-1,OR(INDEX($D$3:$EQ$3,IO36)&lt;&gt;$A$3,$A$4=0)))),FALSE)),1,0))</f>
        <v/>
      </c>
      <c r="IW36">
        <f>IF(AND('名簿'!E31&lt;&gt;"",JF36=0),1,0)</f>
        <v/>
      </c>
      <c r="IX36">
        <f>IF('名簿'!D31="空けない",1,0)</f>
        <v/>
      </c>
      <c r="IY36">
        <f>IF(OR('名簿'!J31="",'名簿'!K31=""),0,IFERROR((MATCH('名簿'!J31,'設定'!$E$11:$E$16,0)-1)*24+MATCH('名簿'!K31,'設定'!$I$11:$I$34,0),-1))</f>
        <v/>
      </c>
      <c r="IZ36">
        <f>IF(OR('名簿'!M31="",'名簿'!N31=""),0,IFERROR((MATCH('名簿'!M31,'設定'!$E$11:$E$16,0)-1)*24+MATCH('名簿'!N31,'設定'!$I$11:$I$34,0),-1))</f>
        <v/>
      </c>
      <c r="JC36">
        <f>IF(RIGHT('名簿'!I31,2)="の前",1,IF(RIGHT('名簿'!I31,2)="の後",2,0))</f>
        <v/>
      </c>
      <c r="JD36">
        <f>IF(RIGHT('名簿'!L31,2)="の前",1,IF(RIGHT('名簿'!L31,2)="の後",2,0))</f>
        <v/>
      </c>
      <c r="JE36">
        <f>IF(RIGHT('名簿'!O31,2)="の前",1,IF(RIGHT('名簿'!O31,2)="の後",2,0))</f>
        <v/>
      </c>
      <c r="JF36">
        <f>IF(OR(IT36&gt;0,IY36&gt;0,IZ36&gt;0),1,0)</f>
        <v/>
      </c>
      <c r="JG36">
        <f>IF(OR(IT36&lt;0,IY36&lt;0,IZ36&lt;0),1,0)</f>
        <v/>
      </c>
    </row>
    <row r="37">
      <c r="A37" t="n">
        <v>28</v>
      </c>
      <c r="B37">
        <f>'名簿'!P32</f>
        <v/>
      </c>
      <c r="C37">
        <f>IF(AND(B37&lt;&gt;"",OR('名簿'!Q32="入力済み",'名簿'!Q32="×なし"),IO37=0,COUNTIF('調整・決定'!$C$6:$H$29,B37)=0),1,0)</f>
        <v/>
      </c>
      <c r="D37">
        <f>IF(D$4=1,IF(OR(INDEX('×入力'!$A$1:$L$1300,763+D$3,2+D$2)&lt;&gt;"",INDEX('×入力'!$A$1:$L$1300,762,2+D$2)&lt;&gt;"",INDEX('×入力'!$A$1:$L$1300,763+D$3,1)&lt;&gt;""),1,0),0)</f>
        <v/>
      </c>
      <c r="E37">
        <f>IF(E$4=1,IF(OR(INDEX('×入力'!$A$1:$L$1300,763+E$3,2+E$2)&lt;&gt;"",INDEX('×入力'!$A$1:$L$1300,762,2+E$2)&lt;&gt;"",INDEX('×入力'!$A$1:$L$1300,763+E$3,1)&lt;&gt;""),1,0),0)</f>
        <v/>
      </c>
      <c r="F37">
        <f>IF(F$4=1,IF(OR(INDEX('×入力'!$A$1:$L$1300,763+F$3,2+F$2)&lt;&gt;"",INDEX('×入力'!$A$1:$L$1300,762,2+F$2)&lt;&gt;"",INDEX('×入力'!$A$1:$L$1300,763+F$3,1)&lt;&gt;""),1,0),0)</f>
        <v/>
      </c>
      <c r="G37">
        <f>IF(G$4=1,IF(OR(INDEX('×入力'!$A$1:$L$1300,763+G$3,2+G$2)&lt;&gt;"",INDEX('×入力'!$A$1:$L$1300,762,2+G$2)&lt;&gt;"",INDEX('×入力'!$A$1:$L$1300,763+G$3,1)&lt;&gt;""),1,0),0)</f>
        <v/>
      </c>
      <c r="H37">
        <f>IF(H$4=1,IF(OR(INDEX('×入力'!$A$1:$L$1300,763+H$3,2+H$2)&lt;&gt;"",INDEX('×入力'!$A$1:$L$1300,762,2+H$2)&lt;&gt;"",INDEX('×入力'!$A$1:$L$1300,763+H$3,1)&lt;&gt;""),1,0),0)</f>
        <v/>
      </c>
      <c r="I37">
        <f>IF(I$4=1,IF(OR(INDEX('×入力'!$A$1:$L$1300,763+I$3,2+I$2)&lt;&gt;"",INDEX('×入力'!$A$1:$L$1300,762,2+I$2)&lt;&gt;"",INDEX('×入力'!$A$1:$L$1300,763+I$3,1)&lt;&gt;""),1,0),0)</f>
        <v/>
      </c>
      <c r="J37">
        <f>IF(J$4=1,IF(OR(INDEX('×入力'!$A$1:$L$1300,763+J$3,2+J$2)&lt;&gt;"",INDEX('×入力'!$A$1:$L$1300,762,2+J$2)&lt;&gt;"",INDEX('×入力'!$A$1:$L$1300,763+J$3,1)&lt;&gt;""),1,0),0)</f>
        <v/>
      </c>
      <c r="K37">
        <f>IF(K$4=1,IF(OR(INDEX('×入力'!$A$1:$L$1300,763+K$3,2+K$2)&lt;&gt;"",INDEX('×入力'!$A$1:$L$1300,762,2+K$2)&lt;&gt;"",INDEX('×入力'!$A$1:$L$1300,763+K$3,1)&lt;&gt;""),1,0),0)</f>
        <v/>
      </c>
      <c r="L37">
        <f>IF(L$4=1,IF(OR(INDEX('×入力'!$A$1:$L$1300,763+L$3,2+L$2)&lt;&gt;"",INDEX('×入力'!$A$1:$L$1300,762,2+L$2)&lt;&gt;"",INDEX('×入力'!$A$1:$L$1300,763+L$3,1)&lt;&gt;""),1,0),0)</f>
        <v/>
      </c>
      <c r="M37">
        <f>IF(M$4=1,IF(OR(INDEX('×入力'!$A$1:$L$1300,763+M$3,2+M$2)&lt;&gt;"",INDEX('×入力'!$A$1:$L$1300,762,2+M$2)&lt;&gt;"",INDEX('×入力'!$A$1:$L$1300,763+M$3,1)&lt;&gt;""),1,0),0)</f>
        <v/>
      </c>
      <c r="N37">
        <f>IF(N$4=1,IF(OR(INDEX('×入力'!$A$1:$L$1300,763+N$3,2+N$2)&lt;&gt;"",INDEX('×入力'!$A$1:$L$1300,762,2+N$2)&lt;&gt;"",INDEX('×入力'!$A$1:$L$1300,763+N$3,1)&lt;&gt;""),1,0),0)</f>
        <v/>
      </c>
      <c r="O37">
        <f>IF(O$4=1,IF(OR(INDEX('×入力'!$A$1:$L$1300,763+O$3,2+O$2)&lt;&gt;"",INDEX('×入力'!$A$1:$L$1300,762,2+O$2)&lt;&gt;"",INDEX('×入力'!$A$1:$L$1300,763+O$3,1)&lt;&gt;""),1,0),0)</f>
        <v/>
      </c>
      <c r="P37">
        <f>IF(P$4=1,IF(OR(INDEX('×入力'!$A$1:$L$1300,763+P$3,2+P$2)&lt;&gt;"",INDEX('×入力'!$A$1:$L$1300,762,2+P$2)&lt;&gt;"",INDEX('×入力'!$A$1:$L$1300,763+P$3,1)&lt;&gt;""),1,0),0)</f>
        <v/>
      </c>
      <c r="Q37">
        <f>IF(Q$4=1,IF(OR(INDEX('×入力'!$A$1:$L$1300,763+Q$3,2+Q$2)&lt;&gt;"",INDEX('×入力'!$A$1:$L$1300,762,2+Q$2)&lt;&gt;"",INDEX('×入力'!$A$1:$L$1300,763+Q$3,1)&lt;&gt;""),1,0),0)</f>
        <v/>
      </c>
      <c r="R37">
        <f>IF(R$4=1,IF(OR(INDEX('×入力'!$A$1:$L$1300,763+R$3,2+R$2)&lt;&gt;"",INDEX('×入力'!$A$1:$L$1300,762,2+R$2)&lt;&gt;"",INDEX('×入力'!$A$1:$L$1300,763+R$3,1)&lt;&gt;""),1,0),0)</f>
        <v/>
      </c>
      <c r="S37">
        <f>IF(S$4=1,IF(OR(INDEX('×入力'!$A$1:$L$1300,763+S$3,2+S$2)&lt;&gt;"",INDEX('×入力'!$A$1:$L$1300,762,2+S$2)&lt;&gt;"",INDEX('×入力'!$A$1:$L$1300,763+S$3,1)&lt;&gt;""),1,0),0)</f>
        <v/>
      </c>
      <c r="T37">
        <f>IF(T$4=1,IF(OR(INDEX('×入力'!$A$1:$L$1300,763+T$3,2+T$2)&lt;&gt;"",INDEX('×入力'!$A$1:$L$1300,762,2+T$2)&lt;&gt;"",INDEX('×入力'!$A$1:$L$1300,763+T$3,1)&lt;&gt;""),1,0),0)</f>
        <v/>
      </c>
      <c r="U37">
        <f>IF(U$4=1,IF(OR(INDEX('×入力'!$A$1:$L$1300,763+U$3,2+U$2)&lt;&gt;"",INDEX('×入力'!$A$1:$L$1300,762,2+U$2)&lt;&gt;"",INDEX('×入力'!$A$1:$L$1300,763+U$3,1)&lt;&gt;""),1,0),0)</f>
        <v/>
      </c>
      <c r="V37">
        <f>IF(V$4=1,IF(OR(INDEX('×入力'!$A$1:$L$1300,763+V$3,2+V$2)&lt;&gt;"",INDEX('×入力'!$A$1:$L$1300,762,2+V$2)&lt;&gt;"",INDEX('×入力'!$A$1:$L$1300,763+V$3,1)&lt;&gt;""),1,0),0)</f>
        <v/>
      </c>
      <c r="W37">
        <f>IF(W$4=1,IF(OR(INDEX('×入力'!$A$1:$L$1300,763+W$3,2+W$2)&lt;&gt;"",INDEX('×入力'!$A$1:$L$1300,762,2+W$2)&lt;&gt;"",INDEX('×入力'!$A$1:$L$1300,763+W$3,1)&lt;&gt;""),1,0),0)</f>
        <v/>
      </c>
      <c r="X37">
        <f>IF(X$4=1,IF(OR(INDEX('×入力'!$A$1:$L$1300,763+X$3,2+X$2)&lt;&gt;"",INDEX('×入力'!$A$1:$L$1300,762,2+X$2)&lt;&gt;"",INDEX('×入力'!$A$1:$L$1300,763+X$3,1)&lt;&gt;""),1,0),0)</f>
        <v/>
      </c>
      <c r="Y37">
        <f>IF(Y$4=1,IF(OR(INDEX('×入力'!$A$1:$L$1300,763+Y$3,2+Y$2)&lt;&gt;"",INDEX('×入力'!$A$1:$L$1300,762,2+Y$2)&lt;&gt;"",INDEX('×入力'!$A$1:$L$1300,763+Y$3,1)&lt;&gt;""),1,0),0)</f>
        <v/>
      </c>
      <c r="Z37">
        <f>IF(Z$4=1,IF(OR(INDEX('×入力'!$A$1:$L$1300,763+Z$3,2+Z$2)&lt;&gt;"",INDEX('×入力'!$A$1:$L$1300,762,2+Z$2)&lt;&gt;"",INDEX('×入力'!$A$1:$L$1300,763+Z$3,1)&lt;&gt;""),1,0),0)</f>
        <v/>
      </c>
      <c r="AA37">
        <f>IF(AA$4=1,IF(OR(INDEX('×入力'!$A$1:$L$1300,763+AA$3,2+AA$2)&lt;&gt;"",INDEX('×入力'!$A$1:$L$1300,762,2+AA$2)&lt;&gt;"",INDEX('×入力'!$A$1:$L$1300,763+AA$3,1)&lt;&gt;""),1,0),0)</f>
        <v/>
      </c>
      <c r="AB37">
        <f>IF(AB$4=1,IF(OR(INDEX('×入力'!$A$1:$L$1300,763+AB$3,2+AB$2)&lt;&gt;"",INDEX('×入力'!$A$1:$L$1300,762,2+AB$2)&lt;&gt;"",INDEX('×入力'!$A$1:$L$1300,763+AB$3,1)&lt;&gt;""),1,0),0)</f>
        <v/>
      </c>
      <c r="AC37">
        <f>IF(AC$4=1,IF(OR(INDEX('×入力'!$A$1:$L$1300,763+AC$3,2+AC$2)&lt;&gt;"",INDEX('×入力'!$A$1:$L$1300,762,2+AC$2)&lt;&gt;"",INDEX('×入力'!$A$1:$L$1300,763+AC$3,1)&lt;&gt;""),1,0),0)</f>
        <v/>
      </c>
      <c r="AD37">
        <f>IF(AD$4=1,IF(OR(INDEX('×入力'!$A$1:$L$1300,763+AD$3,2+AD$2)&lt;&gt;"",INDEX('×入力'!$A$1:$L$1300,762,2+AD$2)&lt;&gt;"",INDEX('×入力'!$A$1:$L$1300,763+AD$3,1)&lt;&gt;""),1,0),0)</f>
        <v/>
      </c>
      <c r="AE37">
        <f>IF(AE$4=1,IF(OR(INDEX('×入力'!$A$1:$L$1300,763+AE$3,2+AE$2)&lt;&gt;"",INDEX('×入力'!$A$1:$L$1300,762,2+AE$2)&lt;&gt;"",INDEX('×入力'!$A$1:$L$1300,763+AE$3,1)&lt;&gt;""),1,0),0)</f>
        <v/>
      </c>
      <c r="AF37">
        <f>IF(AF$4=1,IF(OR(INDEX('×入力'!$A$1:$L$1300,763+AF$3,2+AF$2)&lt;&gt;"",INDEX('×入力'!$A$1:$L$1300,762,2+AF$2)&lt;&gt;"",INDEX('×入力'!$A$1:$L$1300,763+AF$3,1)&lt;&gt;""),1,0),0)</f>
        <v/>
      </c>
      <c r="AG37">
        <f>IF(AG$4=1,IF(OR(INDEX('×入力'!$A$1:$L$1300,763+AG$3,2+AG$2)&lt;&gt;"",INDEX('×入力'!$A$1:$L$1300,762,2+AG$2)&lt;&gt;"",INDEX('×入力'!$A$1:$L$1300,763+AG$3,1)&lt;&gt;""),1,0),0)</f>
        <v/>
      </c>
      <c r="AH37">
        <f>IF(AH$4=1,IF(OR(INDEX('×入力'!$A$1:$L$1300,763+AH$3,2+AH$2)&lt;&gt;"",INDEX('×入力'!$A$1:$L$1300,762,2+AH$2)&lt;&gt;"",INDEX('×入力'!$A$1:$L$1300,763+AH$3,1)&lt;&gt;""),1,0),0)</f>
        <v/>
      </c>
      <c r="AI37">
        <f>IF(AI$4=1,IF(OR(INDEX('×入力'!$A$1:$L$1300,763+AI$3,2+AI$2)&lt;&gt;"",INDEX('×入力'!$A$1:$L$1300,762,2+AI$2)&lt;&gt;"",INDEX('×入力'!$A$1:$L$1300,763+AI$3,1)&lt;&gt;""),1,0),0)</f>
        <v/>
      </c>
      <c r="AJ37">
        <f>IF(AJ$4=1,IF(OR(INDEX('×入力'!$A$1:$L$1300,763+AJ$3,2+AJ$2)&lt;&gt;"",INDEX('×入力'!$A$1:$L$1300,762,2+AJ$2)&lt;&gt;"",INDEX('×入力'!$A$1:$L$1300,763+AJ$3,1)&lt;&gt;""),1,0),0)</f>
        <v/>
      </c>
      <c r="AK37">
        <f>IF(AK$4=1,IF(OR(INDEX('×入力'!$A$1:$L$1300,763+AK$3,2+AK$2)&lt;&gt;"",INDEX('×入力'!$A$1:$L$1300,762,2+AK$2)&lt;&gt;"",INDEX('×入力'!$A$1:$L$1300,763+AK$3,1)&lt;&gt;""),1,0),0)</f>
        <v/>
      </c>
      <c r="AL37">
        <f>IF(AL$4=1,IF(OR(INDEX('×入力'!$A$1:$L$1300,763+AL$3,2+AL$2)&lt;&gt;"",INDEX('×入力'!$A$1:$L$1300,762,2+AL$2)&lt;&gt;"",INDEX('×入力'!$A$1:$L$1300,763+AL$3,1)&lt;&gt;""),1,0),0)</f>
        <v/>
      </c>
      <c r="AM37">
        <f>IF(AM$4=1,IF(OR(INDEX('×入力'!$A$1:$L$1300,763+AM$3,2+AM$2)&lt;&gt;"",INDEX('×入力'!$A$1:$L$1300,762,2+AM$2)&lt;&gt;"",INDEX('×入力'!$A$1:$L$1300,763+AM$3,1)&lt;&gt;""),1,0),0)</f>
        <v/>
      </c>
      <c r="AN37">
        <f>IF(AN$4=1,IF(OR(INDEX('×入力'!$A$1:$L$1300,763+AN$3,2+AN$2)&lt;&gt;"",INDEX('×入力'!$A$1:$L$1300,762,2+AN$2)&lt;&gt;"",INDEX('×入力'!$A$1:$L$1300,763+AN$3,1)&lt;&gt;""),1,0),0)</f>
        <v/>
      </c>
      <c r="AO37">
        <f>IF(AO$4=1,IF(OR(INDEX('×入力'!$A$1:$L$1300,763+AO$3,2+AO$2)&lt;&gt;"",INDEX('×入力'!$A$1:$L$1300,762,2+AO$2)&lt;&gt;"",INDEX('×入力'!$A$1:$L$1300,763+AO$3,1)&lt;&gt;""),1,0),0)</f>
        <v/>
      </c>
      <c r="AP37">
        <f>IF(AP$4=1,IF(OR(INDEX('×入力'!$A$1:$L$1300,763+AP$3,2+AP$2)&lt;&gt;"",INDEX('×入力'!$A$1:$L$1300,762,2+AP$2)&lt;&gt;"",INDEX('×入力'!$A$1:$L$1300,763+AP$3,1)&lt;&gt;""),1,0),0)</f>
        <v/>
      </c>
      <c r="AQ37">
        <f>IF(AQ$4=1,IF(OR(INDEX('×入力'!$A$1:$L$1300,763+AQ$3,2+AQ$2)&lt;&gt;"",INDEX('×入力'!$A$1:$L$1300,762,2+AQ$2)&lt;&gt;"",INDEX('×入力'!$A$1:$L$1300,763+AQ$3,1)&lt;&gt;""),1,0),0)</f>
        <v/>
      </c>
      <c r="AR37">
        <f>IF(AR$4=1,IF(OR(INDEX('×入力'!$A$1:$L$1300,763+AR$3,2+AR$2)&lt;&gt;"",INDEX('×入力'!$A$1:$L$1300,762,2+AR$2)&lt;&gt;"",INDEX('×入力'!$A$1:$L$1300,763+AR$3,1)&lt;&gt;""),1,0),0)</f>
        <v/>
      </c>
      <c r="AS37">
        <f>IF(AS$4=1,IF(OR(INDEX('×入力'!$A$1:$L$1300,763+AS$3,2+AS$2)&lt;&gt;"",INDEX('×入力'!$A$1:$L$1300,762,2+AS$2)&lt;&gt;"",INDEX('×入力'!$A$1:$L$1300,763+AS$3,1)&lt;&gt;""),1,0),0)</f>
        <v/>
      </c>
      <c r="AT37">
        <f>IF(AT$4=1,IF(OR(INDEX('×入力'!$A$1:$L$1300,763+AT$3,2+AT$2)&lt;&gt;"",INDEX('×入力'!$A$1:$L$1300,762,2+AT$2)&lt;&gt;"",INDEX('×入力'!$A$1:$L$1300,763+AT$3,1)&lt;&gt;""),1,0),0)</f>
        <v/>
      </c>
      <c r="AU37">
        <f>IF(AU$4=1,IF(OR(INDEX('×入力'!$A$1:$L$1300,763+AU$3,2+AU$2)&lt;&gt;"",INDEX('×入力'!$A$1:$L$1300,762,2+AU$2)&lt;&gt;"",INDEX('×入力'!$A$1:$L$1300,763+AU$3,1)&lt;&gt;""),1,0),0)</f>
        <v/>
      </c>
      <c r="AV37">
        <f>IF(AV$4=1,IF(OR(INDEX('×入力'!$A$1:$L$1300,763+AV$3,2+AV$2)&lt;&gt;"",INDEX('×入力'!$A$1:$L$1300,762,2+AV$2)&lt;&gt;"",INDEX('×入力'!$A$1:$L$1300,763+AV$3,1)&lt;&gt;""),1,0),0)</f>
        <v/>
      </c>
      <c r="AW37">
        <f>IF(AW$4=1,IF(OR(INDEX('×入力'!$A$1:$L$1300,763+AW$3,2+AW$2)&lt;&gt;"",INDEX('×入力'!$A$1:$L$1300,762,2+AW$2)&lt;&gt;"",INDEX('×入力'!$A$1:$L$1300,763+AW$3,1)&lt;&gt;""),1,0),0)</f>
        <v/>
      </c>
      <c r="AX37">
        <f>IF(AX$4=1,IF(OR(INDEX('×入力'!$A$1:$L$1300,763+AX$3,2+AX$2)&lt;&gt;"",INDEX('×入力'!$A$1:$L$1300,762,2+AX$2)&lt;&gt;"",INDEX('×入力'!$A$1:$L$1300,763+AX$3,1)&lt;&gt;""),1,0),0)</f>
        <v/>
      </c>
      <c r="AY37">
        <f>IF(AY$4=1,IF(OR(INDEX('×入力'!$A$1:$L$1300,763+AY$3,2+AY$2)&lt;&gt;"",INDEX('×入力'!$A$1:$L$1300,762,2+AY$2)&lt;&gt;"",INDEX('×入力'!$A$1:$L$1300,763+AY$3,1)&lt;&gt;""),1,0),0)</f>
        <v/>
      </c>
      <c r="AZ37">
        <f>IF(AZ$4=1,IF(OR(INDEX('×入力'!$A$1:$L$1300,763+AZ$3,2+AZ$2)&lt;&gt;"",INDEX('×入力'!$A$1:$L$1300,762,2+AZ$2)&lt;&gt;"",INDEX('×入力'!$A$1:$L$1300,763+AZ$3,1)&lt;&gt;""),1,0),0)</f>
        <v/>
      </c>
      <c r="BA37">
        <f>IF(BA$4=1,IF(OR(INDEX('×入力'!$A$1:$L$1300,763+BA$3,2+BA$2)&lt;&gt;"",INDEX('×入力'!$A$1:$L$1300,762,2+BA$2)&lt;&gt;"",INDEX('×入力'!$A$1:$L$1300,763+BA$3,1)&lt;&gt;""),1,0),0)</f>
        <v/>
      </c>
      <c r="BB37">
        <f>IF(BB$4=1,IF(OR(INDEX('×入力'!$A$1:$L$1300,763+BB$3,2+BB$2)&lt;&gt;"",INDEX('×入力'!$A$1:$L$1300,762,2+BB$2)&lt;&gt;"",INDEX('×入力'!$A$1:$L$1300,763+BB$3,1)&lt;&gt;""),1,0),0)</f>
        <v/>
      </c>
      <c r="BC37">
        <f>IF(BC$4=1,IF(OR(INDEX('×入力'!$A$1:$L$1300,763+BC$3,2+BC$2)&lt;&gt;"",INDEX('×入力'!$A$1:$L$1300,762,2+BC$2)&lt;&gt;"",INDEX('×入力'!$A$1:$L$1300,763+BC$3,1)&lt;&gt;""),1,0),0)</f>
        <v/>
      </c>
      <c r="BD37">
        <f>IF(BD$4=1,IF(OR(INDEX('×入力'!$A$1:$L$1300,763+BD$3,2+BD$2)&lt;&gt;"",INDEX('×入力'!$A$1:$L$1300,762,2+BD$2)&lt;&gt;"",INDEX('×入力'!$A$1:$L$1300,763+BD$3,1)&lt;&gt;""),1,0),0)</f>
        <v/>
      </c>
      <c r="BE37">
        <f>IF(BE$4=1,IF(OR(INDEX('×入力'!$A$1:$L$1300,763+BE$3,2+BE$2)&lt;&gt;"",INDEX('×入力'!$A$1:$L$1300,762,2+BE$2)&lt;&gt;"",INDEX('×入力'!$A$1:$L$1300,763+BE$3,1)&lt;&gt;""),1,0),0)</f>
        <v/>
      </c>
      <c r="BF37">
        <f>IF(BF$4=1,IF(OR(INDEX('×入力'!$A$1:$L$1300,763+BF$3,2+BF$2)&lt;&gt;"",INDEX('×入力'!$A$1:$L$1300,762,2+BF$2)&lt;&gt;"",INDEX('×入力'!$A$1:$L$1300,763+BF$3,1)&lt;&gt;""),1,0),0)</f>
        <v/>
      </c>
      <c r="BG37">
        <f>IF(BG$4=1,IF(OR(INDEX('×入力'!$A$1:$L$1300,763+BG$3,2+BG$2)&lt;&gt;"",INDEX('×入力'!$A$1:$L$1300,762,2+BG$2)&lt;&gt;"",INDEX('×入力'!$A$1:$L$1300,763+BG$3,1)&lt;&gt;""),1,0),0)</f>
        <v/>
      </c>
      <c r="BH37">
        <f>IF(BH$4=1,IF(OR(INDEX('×入力'!$A$1:$L$1300,763+BH$3,2+BH$2)&lt;&gt;"",INDEX('×入力'!$A$1:$L$1300,762,2+BH$2)&lt;&gt;"",INDEX('×入力'!$A$1:$L$1300,763+BH$3,1)&lt;&gt;""),1,0),0)</f>
        <v/>
      </c>
      <c r="BI37">
        <f>IF(BI$4=1,IF(OR(INDEX('×入力'!$A$1:$L$1300,763+BI$3,2+BI$2)&lt;&gt;"",INDEX('×入力'!$A$1:$L$1300,762,2+BI$2)&lt;&gt;"",INDEX('×入力'!$A$1:$L$1300,763+BI$3,1)&lt;&gt;""),1,0),0)</f>
        <v/>
      </c>
      <c r="BJ37">
        <f>IF(BJ$4=1,IF(OR(INDEX('×入力'!$A$1:$L$1300,763+BJ$3,2+BJ$2)&lt;&gt;"",INDEX('×入力'!$A$1:$L$1300,762,2+BJ$2)&lt;&gt;"",INDEX('×入力'!$A$1:$L$1300,763+BJ$3,1)&lt;&gt;""),1,0),0)</f>
        <v/>
      </c>
      <c r="BK37">
        <f>IF(BK$4=1,IF(OR(INDEX('×入力'!$A$1:$L$1300,763+BK$3,2+BK$2)&lt;&gt;"",INDEX('×入力'!$A$1:$L$1300,762,2+BK$2)&lt;&gt;"",INDEX('×入力'!$A$1:$L$1300,763+BK$3,1)&lt;&gt;""),1,0),0)</f>
        <v/>
      </c>
      <c r="BL37">
        <f>IF(BL$4=1,IF(OR(INDEX('×入力'!$A$1:$L$1300,763+BL$3,2+BL$2)&lt;&gt;"",INDEX('×入力'!$A$1:$L$1300,762,2+BL$2)&lt;&gt;"",INDEX('×入力'!$A$1:$L$1300,763+BL$3,1)&lt;&gt;""),1,0),0)</f>
        <v/>
      </c>
      <c r="BM37">
        <f>IF(BM$4=1,IF(OR(INDEX('×入力'!$A$1:$L$1300,763+BM$3,2+BM$2)&lt;&gt;"",INDEX('×入力'!$A$1:$L$1300,762,2+BM$2)&lt;&gt;"",INDEX('×入力'!$A$1:$L$1300,763+BM$3,1)&lt;&gt;""),1,0),0)</f>
        <v/>
      </c>
      <c r="BN37">
        <f>IF(BN$4=1,IF(OR(INDEX('×入力'!$A$1:$L$1300,763+BN$3,2+BN$2)&lt;&gt;"",INDEX('×入力'!$A$1:$L$1300,762,2+BN$2)&lt;&gt;"",INDEX('×入力'!$A$1:$L$1300,763+BN$3,1)&lt;&gt;""),1,0),0)</f>
        <v/>
      </c>
      <c r="BO37">
        <f>IF(BO$4=1,IF(OR(INDEX('×入力'!$A$1:$L$1300,763+BO$3,2+BO$2)&lt;&gt;"",INDEX('×入力'!$A$1:$L$1300,762,2+BO$2)&lt;&gt;"",INDEX('×入力'!$A$1:$L$1300,763+BO$3,1)&lt;&gt;""),1,0),0)</f>
        <v/>
      </c>
      <c r="BP37">
        <f>IF(BP$4=1,IF(OR(INDEX('×入力'!$A$1:$L$1300,763+BP$3,2+BP$2)&lt;&gt;"",INDEX('×入力'!$A$1:$L$1300,762,2+BP$2)&lt;&gt;"",INDEX('×入力'!$A$1:$L$1300,763+BP$3,1)&lt;&gt;""),1,0),0)</f>
        <v/>
      </c>
      <c r="BQ37">
        <f>IF(BQ$4=1,IF(OR(INDEX('×入力'!$A$1:$L$1300,763+BQ$3,2+BQ$2)&lt;&gt;"",INDEX('×入力'!$A$1:$L$1300,762,2+BQ$2)&lt;&gt;"",INDEX('×入力'!$A$1:$L$1300,763+BQ$3,1)&lt;&gt;""),1,0),0)</f>
        <v/>
      </c>
      <c r="BR37">
        <f>IF(BR$4=1,IF(OR(INDEX('×入力'!$A$1:$L$1300,763+BR$3,2+BR$2)&lt;&gt;"",INDEX('×入力'!$A$1:$L$1300,762,2+BR$2)&lt;&gt;"",INDEX('×入力'!$A$1:$L$1300,763+BR$3,1)&lt;&gt;""),1,0),0)</f>
        <v/>
      </c>
      <c r="BS37">
        <f>IF(BS$4=1,IF(OR(INDEX('×入力'!$A$1:$L$1300,763+BS$3,2+BS$2)&lt;&gt;"",INDEX('×入力'!$A$1:$L$1300,762,2+BS$2)&lt;&gt;"",INDEX('×入力'!$A$1:$L$1300,763+BS$3,1)&lt;&gt;""),1,0),0)</f>
        <v/>
      </c>
      <c r="BT37">
        <f>IF(BT$4=1,IF(OR(INDEX('×入力'!$A$1:$L$1300,763+BT$3,2+BT$2)&lt;&gt;"",INDEX('×入力'!$A$1:$L$1300,762,2+BT$2)&lt;&gt;"",INDEX('×入力'!$A$1:$L$1300,763+BT$3,1)&lt;&gt;""),1,0),0)</f>
        <v/>
      </c>
      <c r="BU37">
        <f>IF(BU$4=1,IF(OR(INDEX('×入力'!$A$1:$L$1300,763+BU$3,2+BU$2)&lt;&gt;"",INDEX('×入力'!$A$1:$L$1300,762,2+BU$2)&lt;&gt;"",INDEX('×入力'!$A$1:$L$1300,763+BU$3,1)&lt;&gt;""),1,0),0)</f>
        <v/>
      </c>
      <c r="BV37">
        <f>IF(BV$4=1,IF(OR(INDEX('×入力'!$A$1:$L$1300,763+BV$3,2+BV$2)&lt;&gt;"",INDEX('×入力'!$A$1:$L$1300,762,2+BV$2)&lt;&gt;"",INDEX('×入力'!$A$1:$L$1300,763+BV$3,1)&lt;&gt;""),1,0),0)</f>
        <v/>
      </c>
      <c r="BW37">
        <f>IF(BW$4=1,IF(OR(INDEX('×入力'!$A$1:$L$1300,763+BW$3,2+BW$2)&lt;&gt;"",INDEX('×入力'!$A$1:$L$1300,762,2+BW$2)&lt;&gt;"",INDEX('×入力'!$A$1:$L$1300,763+BW$3,1)&lt;&gt;""),1,0),0)</f>
        <v/>
      </c>
      <c r="BX37">
        <f>IF(BX$4=1,IF(OR(INDEX('×入力'!$A$1:$L$1300,763+BX$3,2+BX$2)&lt;&gt;"",INDEX('×入力'!$A$1:$L$1300,762,2+BX$2)&lt;&gt;"",INDEX('×入力'!$A$1:$L$1300,763+BX$3,1)&lt;&gt;""),1,0),0)</f>
        <v/>
      </c>
      <c r="BY37">
        <f>IF(BY$4=1,IF(OR(INDEX('×入力'!$A$1:$L$1300,763+BY$3,2+BY$2)&lt;&gt;"",INDEX('×入力'!$A$1:$L$1300,762,2+BY$2)&lt;&gt;"",INDEX('×入力'!$A$1:$L$1300,763+BY$3,1)&lt;&gt;""),1,0),0)</f>
        <v/>
      </c>
      <c r="BZ37">
        <f>IF(BZ$4=1,IF(OR(INDEX('×入力'!$A$1:$L$1300,763+BZ$3,2+BZ$2)&lt;&gt;"",INDEX('×入力'!$A$1:$L$1300,762,2+BZ$2)&lt;&gt;"",INDEX('×入力'!$A$1:$L$1300,763+BZ$3,1)&lt;&gt;""),1,0),0)</f>
        <v/>
      </c>
      <c r="CA37">
        <f>IF(CA$4=1,IF(OR(INDEX('×入力'!$A$1:$L$1300,763+CA$3,2+CA$2)&lt;&gt;"",INDEX('×入力'!$A$1:$L$1300,762,2+CA$2)&lt;&gt;"",INDEX('×入力'!$A$1:$L$1300,763+CA$3,1)&lt;&gt;""),1,0),0)</f>
        <v/>
      </c>
      <c r="CB37">
        <f>IF(CB$4=1,IF(OR(INDEX('×入力'!$A$1:$L$1300,763+CB$3,2+CB$2)&lt;&gt;"",INDEX('×入力'!$A$1:$L$1300,762,2+CB$2)&lt;&gt;"",INDEX('×入力'!$A$1:$L$1300,763+CB$3,1)&lt;&gt;""),1,0),0)</f>
        <v/>
      </c>
      <c r="CC37">
        <f>IF(CC$4=1,IF(OR(INDEX('×入力'!$A$1:$L$1300,763+CC$3,2+CC$2)&lt;&gt;"",INDEX('×入力'!$A$1:$L$1300,762,2+CC$2)&lt;&gt;"",INDEX('×入力'!$A$1:$L$1300,763+CC$3,1)&lt;&gt;""),1,0),0)</f>
        <v/>
      </c>
      <c r="CD37">
        <f>IF(CD$4=1,IF(OR(INDEX('×入力'!$A$1:$L$1300,763+CD$3,2+CD$2)&lt;&gt;"",INDEX('×入力'!$A$1:$L$1300,762,2+CD$2)&lt;&gt;"",INDEX('×入力'!$A$1:$L$1300,763+CD$3,1)&lt;&gt;""),1,0),0)</f>
        <v/>
      </c>
      <c r="CE37">
        <f>IF(CE$4=1,IF(OR(INDEX('×入力'!$A$1:$L$1300,763+CE$3,2+CE$2)&lt;&gt;"",INDEX('×入力'!$A$1:$L$1300,762,2+CE$2)&lt;&gt;"",INDEX('×入力'!$A$1:$L$1300,763+CE$3,1)&lt;&gt;""),1,0),0)</f>
        <v/>
      </c>
      <c r="CF37">
        <f>IF(CF$4=1,IF(OR(INDEX('×入力'!$A$1:$L$1300,763+CF$3,2+CF$2)&lt;&gt;"",INDEX('×入力'!$A$1:$L$1300,762,2+CF$2)&lt;&gt;"",INDEX('×入力'!$A$1:$L$1300,763+CF$3,1)&lt;&gt;""),1,0),0)</f>
        <v/>
      </c>
      <c r="CG37">
        <f>IF(CG$4=1,IF(OR(INDEX('×入力'!$A$1:$L$1300,763+CG$3,2+CG$2)&lt;&gt;"",INDEX('×入力'!$A$1:$L$1300,762,2+CG$2)&lt;&gt;"",INDEX('×入力'!$A$1:$L$1300,763+CG$3,1)&lt;&gt;""),1,0),0)</f>
        <v/>
      </c>
      <c r="CH37">
        <f>IF(CH$4=1,IF(OR(INDEX('×入力'!$A$1:$L$1300,763+CH$3,2+CH$2)&lt;&gt;"",INDEX('×入力'!$A$1:$L$1300,762,2+CH$2)&lt;&gt;"",INDEX('×入力'!$A$1:$L$1300,763+CH$3,1)&lt;&gt;""),1,0),0)</f>
        <v/>
      </c>
      <c r="CI37">
        <f>IF(CI$4=1,IF(OR(INDEX('×入力'!$A$1:$L$1300,763+CI$3,2+CI$2)&lt;&gt;"",INDEX('×入力'!$A$1:$L$1300,762,2+CI$2)&lt;&gt;"",INDEX('×入力'!$A$1:$L$1300,763+CI$3,1)&lt;&gt;""),1,0),0)</f>
        <v/>
      </c>
      <c r="CJ37">
        <f>IF(CJ$4=1,IF(OR(INDEX('×入力'!$A$1:$L$1300,763+CJ$3,2+CJ$2)&lt;&gt;"",INDEX('×入力'!$A$1:$L$1300,762,2+CJ$2)&lt;&gt;"",INDEX('×入力'!$A$1:$L$1300,763+CJ$3,1)&lt;&gt;""),1,0),0)</f>
        <v/>
      </c>
      <c r="CK37">
        <f>IF(CK$4=1,IF(OR(INDEX('×入力'!$A$1:$L$1300,763+CK$3,2+CK$2)&lt;&gt;"",INDEX('×入力'!$A$1:$L$1300,762,2+CK$2)&lt;&gt;"",INDEX('×入力'!$A$1:$L$1300,763+CK$3,1)&lt;&gt;""),1,0),0)</f>
        <v/>
      </c>
      <c r="CL37">
        <f>IF(CL$4=1,IF(OR(INDEX('×入力'!$A$1:$L$1300,763+CL$3,2+CL$2)&lt;&gt;"",INDEX('×入力'!$A$1:$L$1300,762,2+CL$2)&lt;&gt;"",INDEX('×入力'!$A$1:$L$1300,763+CL$3,1)&lt;&gt;""),1,0),0)</f>
        <v/>
      </c>
      <c r="CM37">
        <f>IF(CM$4=1,IF(OR(INDEX('×入力'!$A$1:$L$1300,763+CM$3,2+CM$2)&lt;&gt;"",INDEX('×入力'!$A$1:$L$1300,762,2+CM$2)&lt;&gt;"",INDEX('×入力'!$A$1:$L$1300,763+CM$3,1)&lt;&gt;""),1,0),0)</f>
        <v/>
      </c>
      <c r="CN37">
        <f>IF(CN$4=1,IF(OR(INDEX('×入力'!$A$1:$L$1300,763+CN$3,2+CN$2)&lt;&gt;"",INDEX('×入力'!$A$1:$L$1300,762,2+CN$2)&lt;&gt;"",INDEX('×入力'!$A$1:$L$1300,763+CN$3,1)&lt;&gt;""),1,0),0)</f>
        <v/>
      </c>
      <c r="CO37">
        <f>IF(CO$4=1,IF(OR(INDEX('×入力'!$A$1:$L$1300,763+CO$3,2+CO$2)&lt;&gt;"",INDEX('×入力'!$A$1:$L$1300,762,2+CO$2)&lt;&gt;"",INDEX('×入力'!$A$1:$L$1300,763+CO$3,1)&lt;&gt;""),1,0),0)</f>
        <v/>
      </c>
      <c r="CP37">
        <f>IF(CP$4=1,IF(OR(INDEX('×入力'!$A$1:$L$1300,763+CP$3,2+CP$2)&lt;&gt;"",INDEX('×入力'!$A$1:$L$1300,762,2+CP$2)&lt;&gt;"",INDEX('×入力'!$A$1:$L$1300,763+CP$3,1)&lt;&gt;""),1,0),0)</f>
        <v/>
      </c>
      <c r="CQ37">
        <f>IF(CQ$4=1,IF(OR(INDEX('×入力'!$A$1:$L$1300,763+CQ$3,2+CQ$2)&lt;&gt;"",INDEX('×入力'!$A$1:$L$1300,762,2+CQ$2)&lt;&gt;"",INDEX('×入力'!$A$1:$L$1300,763+CQ$3,1)&lt;&gt;""),1,0),0)</f>
        <v/>
      </c>
      <c r="CR37">
        <f>IF(CR$4=1,IF(OR(INDEX('×入力'!$A$1:$L$1300,763+CR$3,2+CR$2)&lt;&gt;"",INDEX('×入力'!$A$1:$L$1300,762,2+CR$2)&lt;&gt;"",INDEX('×入力'!$A$1:$L$1300,763+CR$3,1)&lt;&gt;""),1,0),0)</f>
        <v/>
      </c>
      <c r="CS37">
        <f>IF(CS$4=1,IF(OR(INDEX('×入力'!$A$1:$L$1300,763+CS$3,2+CS$2)&lt;&gt;"",INDEX('×入力'!$A$1:$L$1300,762,2+CS$2)&lt;&gt;"",INDEX('×入力'!$A$1:$L$1300,763+CS$3,1)&lt;&gt;""),1,0),0)</f>
        <v/>
      </c>
      <c r="CT37">
        <f>IF(CT$4=1,IF(OR(INDEX('×入力'!$A$1:$L$1300,763+CT$3,2+CT$2)&lt;&gt;"",INDEX('×入力'!$A$1:$L$1300,762,2+CT$2)&lt;&gt;"",INDEX('×入力'!$A$1:$L$1300,763+CT$3,1)&lt;&gt;""),1,0),0)</f>
        <v/>
      </c>
      <c r="CU37">
        <f>IF(CU$4=1,IF(OR(INDEX('×入力'!$A$1:$L$1300,763+CU$3,2+CU$2)&lt;&gt;"",INDEX('×入力'!$A$1:$L$1300,762,2+CU$2)&lt;&gt;"",INDEX('×入力'!$A$1:$L$1300,763+CU$3,1)&lt;&gt;""),1,0),0)</f>
        <v/>
      </c>
      <c r="CV37">
        <f>IF(CV$4=1,IF(OR(INDEX('×入力'!$A$1:$L$1300,763+CV$3,2+CV$2)&lt;&gt;"",INDEX('×入力'!$A$1:$L$1300,762,2+CV$2)&lt;&gt;"",INDEX('×入力'!$A$1:$L$1300,763+CV$3,1)&lt;&gt;""),1,0),0)</f>
        <v/>
      </c>
      <c r="CW37">
        <f>IF(CW$4=1,IF(OR(INDEX('×入力'!$A$1:$L$1300,763+CW$3,2+CW$2)&lt;&gt;"",INDEX('×入力'!$A$1:$L$1300,762,2+CW$2)&lt;&gt;"",INDEX('×入力'!$A$1:$L$1300,763+CW$3,1)&lt;&gt;""),1,0),0)</f>
        <v/>
      </c>
      <c r="CX37">
        <f>IF(CX$4=1,IF(OR(INDEX('×入力'!$A$1:$L$1300,763+CX$3,2+CX$2)&lt;&gt;"",INDEX('×入力'!$A$1:$L$1300,762,2+CX$2)&lt;&gt;"",INDEX('×入力'!$A$1:$L$1300,763+CX$3,1)&lt;&gt;""),1,0),0)</f>
        <v/>
      </c>
      <c r="CY37">
        <f>IF(CY$4=1,IF(OR(INDEX('×入力'!$A$1:$L$1300,763+CY$3,2+CY$2)&lt;&gt;"",INDEX('×入力'!$A$1:$L$1300,762,2+CY$2)&lt;&gt;"",INDEX('×入力'!$A$1:$L$1300,763+CY$3,1)&lt;&gt;""),1,0),0)</f>
        <v/>
      </c>
      <c r="CZ37">
        <f>IF(CZ$4=1,IF(OR(INDEX('×入力'!$A$1:$L$1300,763+CZ$3,2+CZ$2)&lt;&gt;"",INDEX('×入力'!$A$1:$L$1300,762,2+CZ$2)&lt;&gt;"",INDEX('×入力'!$A$1:$L$1300,763+CZ$3,1)&lt;&gt;""),1,0),0)</f>
        <v/>
      </c>
      <c r="DA37">
        <f>IF(DA$4=1,IF(OR(INDEX('×入力'!$A$1:$L$1300,763+DA$3,2+DA$2)&lt;&gt;"",INDEX('×入力'!$A$1:$L$1300,762,2+DA$2)&lt;&gt;"",INDEX('×入力'!$A$1:$L$1300,763+DA$3,1)&lt;&gt;""),1,0),0)</f>
        <v/>
      </c>
      <c r="DB37">
        <f>IF(DB$4=1,IF(OR(INDEX('×入力'!$A$1:$L$1300,763+DB$3,2+DB$2)&lt;&gt;"",INDEX('×入力'!$A$1:$L$1300,762,2+DB$2)&lt;&gt;"",INDEX('×入力'!$A$1:$L$1300,763+DB$3,1)&lt;&gt;""),1,0),0)</f>
        <v/>
      </c>
      <c r="DC37">
        <f>IF(DC$4=1,IF(OR(INDEX('×入力'!$A$1:$L$1300,763+DC$3,2+DC$2)&lt;&gt;"",INDEX('×入力'!$A$1:$L$1300,762,2+DC$2)&lt;&gt;"",INDEX('×入力'!$A$1:$L$1300,763+DC$3,1)&lt;&gt;""),1,0),0)</f>
        <v/>
      </c>
      <c r="DD37">
        <f>IF(DD$4=1,IF(OR(INDEX('×入力'!$A$1:$L$1300,763+DD$3,2+DD$2)&lt;&gt;"",INDEX('×入力'!$A$1:$L$1300,762,2+DD$2)&lt;&gt;"",INDEX('×入力'!$A$1:$L$1300,763+DD$3,1)&lt;&gt;""),1,0),0)</f>
        <v/>
      </c>
      <c r="DE37">
        <f>IF(DE$4=1,IF(OR(INDEX('×入力'!$A$1:$L$1300,763+DE$3,2+DE$2)&lt;&gt;"",INDEX('×入力'!$A$1:$L$1300,762,2+DE$2)&lt;&gt;"",INDEX('×入力'!$A$1:$L$1300,763+DE$3,1)&lt;&gt;""),1,0),0)</f>
        <v/>
      </c>
      <c r="DF37">
        <f>IF(DF$4=1,IF(OR(INDEX('×入力'!$A$1:$L$1300,763+DF$3,2+DF$2)&lt;&gt;"",INDEX('×入力'!$A$1:$L$1300,762,2+DF$2)&lt;&gt;"",INDEX('×入力'!$A$1:$L$1300,763+DF$3,1)&lt;&gt;""),1,0),0)</f>
        <v/>
      </c>
      <c r="DG37">
        <f>IF(DG$4=1,IF(OR(INDEX('×入力'!$A$1:$L$1300,763+DG$3,2+DG$2)&lt;&gt;"",INDEX('×入力'!$A$1:$L$1300,762,2+DG$2)&lt;&gt;"",INDEX('×入力'!$A$1:$L$1300,763+DG$3,1)&lt;&gt;""),1,0),0)</f>
        <v/>
      </c>
      <c r="DH37">
        <f>IF(DH$4=1,IF(OR(INDEX('×入力'!$A$1:$L$1300,763+DH$3,2+DH$2)&lt;&gt;"",INDEX('×入力'!$A$1:$L$1300,762,2+DH$2)&lt;&gt;"",INDEX('×入力'!$A$1:$L$1300,763+DH$3,1)&lt;&gt;""),1,0),0)</f>
        <v/>
      </c>
      <c r="DI37">
        <f>IF(DI$4=1,IF(OR(INDEX('×入力'!$A$1:$L$1300,763+DI$3,2+DI$2)&lt;&gt;"",INDEX('×入力'!$A$1:$L$1300,762,2+DI$2)&lt;&gt;"",INDEX('×入力'!$A$1:$L$1300,763+DI$3,1)&lt;&gt;""),1,0),0)</f>
        <v/>
      </c>
      <c r="DJ37">
        <f>IF(DJ$4=1,IF(OR(INDEX('×入力'!$A$1:$L$1300,763+DJ$3,2+DJ$2)&lt;&gt;"",INDEX('×入力'!$A$1:$L$1300,762,2+DJ$2)&lt;&gt;"",INDEX('×入力'!$A$1:$L$1300,763+DJ$3,1)&lt;&gt;""),1,0),0)</f>
        <v/>
      </c>
      <c r="DK37">
        <f>IF(DK$4=1,IF(OR(INDEX('×入力'!$A$1:$L$1300,763+DK$3,2+DK$2)&lt;&gt;"",INDEX('×入力'!$A$1:$L$1300,762,2+DK$2)&lt;&gt;"",INDEX('×入力'!$A$1:$L$1300,763+DK$3,1)&lt;&gt;""),1,0),0)</f>
        <v/>
      </c>
      <c r="DL37">
        <f>IF(DL$4=1,IF(OR(INDEX('×入力'!$A$1:$L$1300,763+DL$3,2+DL$2)&lt;&gt;"",INDEX('×入力'!$A$1:$L$1300,762,2+DL$2)&lt;&gt;"",INDEX('×入力'!$A$1:$L$1300,763+DL$3,1)&lt;&gt;""),1,0),0)</f>
        <v/>
      </c>
      <c r="DM37">
        <f>IF(DM$4=1,IF(OR(INDEX('×入力'!$A$1:$L$1300,763+DM$3,2+DM$2)&lt;&gt;"",INDEX('×入力'!$A$1:$L$1300,762,2+DM$2)&lt;&gt;"",INDEX('×入力'!$A$1:$L$1300,763+DM$3,1)&lt;&gt;""),1,0),0)</f>
        <v/>
      </c>
      <c r="DN37">
        <f>IF(DN$4=1,IF(OR(INDEX('×入力'!$A$1:$L$1300,763+DN$3,2+DN$2)&lt;&gt;"",INDEX('×入力'!$A$1:$L$1300,762,2+DN$2)&lt;&gt;"",INDEX('×入力'!$A$1:$L$1300,763+DN$3,1)&lt;&gt;""),1,0),0)</f>
        <v/>
      </c>
      <c r="DO37">
        <f>IF(DO$4=1,IF(OR(INDEX('×入力'!$A$1:$L$1300,763+DO$3,2+DO$2)&lt;&gt;"",INDEX('×入力'!$A$1:$L$1300,762,2+DO$2)&lt;&gt;"",INDEX('×入力'!$A$1:$L$1300,763+DO$3,1)&lt;&gt;""),1,0),0)</f>
        <v/>
      </c>
      <c r="DP37">
        <f>IF(DP$4=1,IF(OR(INDEX('×入力'!$A$1:$L$1300,763+DP$3,2+DP$2)&lt;&gt;"",INDEX('×入力'!$A$1:$L$1300,762,2+DP$2)&lt;&gt;"",INDEX('×入力'!$A$1:$L$1300,763+DP$3,1)&lt;&gt;""),1,0),0)</f>
        <v/>
      </c>
      <c r="DQ37">
        <f>IF(DQ$4=1,IF(OR(INDEX('×入力'!$A$1:$L$1300,763+DQ$3,2+DQ$2)&lt;&gt;"",INDEX('×入力'!$A$1:$L$1300,762,2+DQ$2)&lt;&gt;"",INDEX('×入力'!$A$1:$L$1300,763+DQ$3,1)&lt;&gt;""),1,0),0)</f>
        <v/>
      </c>
      <c r="DR37">
        <f>IF(DR$4=1,IF(OR(INDEX('×入力'!$A$1:$L$1300,763+DR$3,2+DR$2)&lt;&gt;"",INDEX('×入力'!$A$1:$L$1300,762,2+DR$2)&lt;&gt;"",INDEX('×入力'!$A$1:$L$1300,763+DR$3,1)&lt;&gt;""),1,0),0)</f>
        <v/>
      </c>
      <c r="DS37">
        <f>IF(DS$4=1,IF(OR(INDEX('×入力'!$A$1:$L$1300,763+DS$3,2+DS$2)&lt;&gt;"",INDEX('×入力'!$A$1:$L$1300,762,2+DS$2)&lt;&gt;"",INDEX('×入力'!$A$1:$L$1300,763+DS$3,1)&lt;&gt;""),1,0),0)</f>
        <v/>
      </c>
      <c r="DT37">
        <f>IF(DT$4=1,IF(OR(INDEX('×入力'!$A$1:$L$1300,763+DT$3,2+DT$2)&lt;&gt;"",INDEX('×入力'!$A$1:$L$1300,762,2+DT$2)&lt;&gt;"",INDEX('×入力'!$A$1:$L$1300,763+DT$3,1)&lt;&gt;""),1,0),0)</f>
        <v/>
      </c>
      <c r="DU37">
        <f>IF(DU$4=1,IF(OR(INDEX('×入力'!$A$1:$L$1300,763+DU$3,2+DU$2)&lt;&gt;"",INDEX('×入力'!$A$1:$L$1300,762,2+DU$2)&lt;&gt;"",INDEX('×入力'!$A$1:$L$1300,763+DU$3,1)&lt;&gt;""),1,0),0)</f>
        <v/>
      </c>
      <c r="DV37">
        <f>IF(DV$4=1,IF(OR(INDEX('×入力'!$A$1:$L$1300,763+DV$3,2+DV$2)&lt;&gt;"",INDEX('×入力'!$A$1:$L$1300,762,2+DV$2)&lt;&gt;"",INDEX('×入力'!$A$1:$L$1300,763+DV$3,1)&lt;&gt;""),1,0),0)</f>
        <v/>
      </c>
      <c r="DW37">
        <f>IF(DW$4=1,IF(OR(INDEX('×入力'!$A$1:$L$1300,763+DW$3,2+DW$2)&lt;&gt;"",INDEX('×入力'!$A$1:$L$1300,762,2+DW$2)&lt;&gt;"",INDEX('×入力'!$A$1:$L$1300,763+DW$3,1)&lt;&gt;""),1,0),0)</f>
        <v/>
      </c>
      <c r="DX37">
        <f>IF(DX$4=1,IF(OR(INDEX('×入力'!$A$1:$L$1300,763+DX$3,2+DX$2)&lt;&gt;"",INDEX('×入力'!$A$1:$L$1300,762,2+DX$2)&lt;&gt;"",INDEX('×入力'!$A$1:$L$1300,763+DX$3,1)&lt;&gt;""),1,0),0)</f>
        <v/>
      </c>
      <c r="DY37">
        <f>IF(DY$4=1,IF(OR(INDEX('×入力'!$A$1:$L$1300,763+DY$3,2+DY$2)&lt;&gt;"",INDEX('×入力'!$A$1:$L$1300,762,2+DY$2)&lt;&gt;"",INDEX('×入力'!$A$1:$L$1300,763+DY$3,1)&lt;&gt;""),1,0),0)</f>
        <v/>
      </c>
      <c r="DZ37">
        <f>IF(DZ$4=1,IF(OR(INDEX('×入力'!$A$1:$L$1300,763+DZ$3,2+DZ$2)&lt;&gt;"",INDEX('×入力'!$A$1:$L$1300,762,2+DZ$2)&lt;&gt;"",INDEX('×入力'!$A$1:$L$1300,763+DZ$3,1)&lt;&gt;""),1,0),0)</f>
        <v/>
      </c>
      <c r="EA37">
        <f>IF(EA$4=1,IF(OR(INDEX('×入力'!$A$1:$L$1300,763+EA$3,2+EA$2)&lt;&gt;"",INDEX('×入力'!$A$1:$L$1300,762,2+EA$2)&lt;&gt;"",INDEX('×入力'!$A$1:$L$1300,763+EA$3,1)&lt;&gt;""),1,0),0)</f>
        <v/>
      </c>
      <c r="EB37">
        <f>IF(EB$4=1,IF(OR(INDEX('×入力'!$A$1:$L$1300,763+EB$3,2+EB$2)&lt;&gt;"",INDEX('×入力'!$A$1:$L$1300,762,2+EB$2)&lt;&gt;"",INDEX('×入力'!$A$1:$L$1300,763+EB$3,1)&lt;&gt;""),1,0),0)</f>
        <v/>
      </c>
      <c r="EC37">
        <f>IF(EC$4=1,IF(OR(INDEX('×入力'!$A$1:$L$1300,763+EC$3,2+EC$2)&lt;&gt;"",INDEX('×入力'!$A$1:$L$1300,762,2+EC$2)&lt;&gt;"",INDEX('×入力'!$A$1:$L$1300,763+EC$3,1)&lt;&gt;""),1,0),0)</f>
        <v/>
      </c>
      <c r="ED37">
        <f>IF(ED$4=1,IF(OR(INDEX('×入力'!$A$1:$L$1300,763+ED$3,2+ED$2)&lt;&gt;"",INDEX('×入力'!$A$1:$L$1300,762,2+ED$2)&lt;&gt;"",INDEX('×入力'!$A$1:$L$1300,763+ED$3,1)&lt;&gt;""),1,0),0)</f>
        <v/>
      </c>
      <c r="EE37">
        <f>IF(EE$4=1,IF(OR(INDEX('×入力'!$A$1:$L$1300,763+EE$3,2+EE$2)&lt;&gt;"",INDEX('×入力'!$A$1:$L$1300,762,2+EE$2)&lt;&gt;"",INDEX('×入力'!$A$1:$L$1300,763+EE$3,1)&lt;&gt;""),1,0),0)</f>
        <v/>
      </c>
      <c r="EF37">
        <f>IF(EF$4=1,IF(OR(INDEX('×入力'!$A$1:$L$1300,763+EF$3,2+EF$2)&lt;&gt;"",INDEX('×入力'!$A$1:$L$1300,762,2+EF$2)&lt;&gt;"",INDEX('×入力'!$A$1:$L$1300,763+EF$3,1)&lt;&gt;""),1,0),0)</f>
        <v/>
      </c>
      <c r="EG37">
        <f>IF(EG$4=1,IF(OR(INDEX('×入力'!$A$1:$L$1300,763+EG$3,2+EG$2)&lt;&gt;"",INDEX('×入力'!$A$1:$L$1300,762,2+EG$2)&lt;&gt;"",INDEX('×入力'!$A$1:$L$1300,763+EG$3,1)&lt;&gt;""),1,0),0)</f>
        <v/>
      </c>
      <c r="EH37">
        <f>IF(EH$4=1,IF(OR(INDEX('×入力'!$A$1:$L$1300,763+EH$3,2+EH$2)&lt;&gt;"",INDEX('×入力'!$A$1:$L$1300,762,2+EH$2)&lt;&gt;"",INDEX('×入力'!$A$1:$L$1300,763+EH$3,1)&lt;&gt;""),1,0),0)</f>
        <v/>
      </c>
      <c r="EI37">
        <f>IF(EI$4=1,IF(OR(INDEX('×入力'!$A$1:$L$1300,763+EI$3,2+EI$2)&lt;&gt;"",INDEX('×入力'!$A$1:$L$1300,762,2+EI$2)&lt;&gt;"",INDEX('×入力'!$A$1:$L$1300,763+EI$3,1)&lt;&gt;""),1,0),0)</f>
        <v/>
      </c>
      <c r="EJ37">
        <f>IF(EJ$4=1,IF(OR(INDEX('×入力'!$A$1:$L$1300,763+EJ$3,2+EJ$2)&lt;&gt;"",INDEX('×入力'!$A$1:$L$1300,762,2+EJ$2)&lt;&gt;"",INDEX('×入力'!$A$1:$L$1300,763+EJ$3,1)&lt;&gt;""),1,0),0)</f>
        <v/>
      </c>
      <c r="EK37">
        <f>IF(EK$4=1,IF(OR(INDEX('×入力'!$A$1:$L$1300,763+EK$3,2+EK$2)&lt;&gt;"",INDEX('×入力'!$A$1:$L$1300,762,2+EK$2)&lt;&gt;"",INDEX('×入力'!$A$1:$L$1300,763+EK$3,1)&lt;&gt;""),1,0),0)</f>
        <v/>
      </c>
      <c r="EL37">
        <f>IF(EL$4=1,IF(OR(INDEX('×入力'!$A$1:$L$1300,763+EL$3,2+EL$2)&lt;&gt;"",INDEX('×入力'!$A$1:$L$1300,762,2+EL$2)&lt;&gt;"",INDEX('×入力'!$A$1:$L$1300,763+EL$3,1)&lt;&gt;""),1,0),0)</f>
        <v/>
      </c>
      <c r="EM37">
        <f>IF(EM$4=1,IF(OR(INDEX('×入力'!$A$1:$L$1300,763+EM$3,2+EM$2)&lt;&gt;"",INDEX('×入力'!$A$1:$L$1300,762,2+EM$2)&lt;&gt;"",INDEX('×入力'!$A$1:$L$1300,763+EM$3,1)&lt;&gt;""),1,0),0)</f>
        <v/>
      </c>
      <c r="EN37">
        <f>IF(EN$4=1,IF(OR(INDEX('×入力'!$A$1:$L$1300,763+EN$3,2+EN$2)&lt;&gt;"",INDEX('×入力'!$A$1:$L$1300,762,2+EN$2)&lt;&gt;"",INDEX('×入力'!$A$1:$L$1300,763+EN$3,1)&lt;&gt;""),1,0),0)</f>
        <v/>
      </c>
      <c r="EO37">
        <f>IF(EO$4=1,IF(OR(INDEX('×入力'!$A$1:$L$1300,763+EO$3,2+EO$2)&lt;&gt;"",INDEX('×入力'!$A$1:$L$1300,762,2+EO$2)&lt;&gt;"",INDEX('×入力'!$A$1:$L$1300,763+EO$3,1)&lt;&gt;""),1,0),0)</f>
        <v/>
      </c>
      <c r="EP37">
        <f>IF(EP$4=1,IF(OR(INDEX('×入力'!$A$1:$L$1300,763+EP$3,2+EP$2)&lt;&gt;"",INDEX('×入力'!$A$1:$L$1300,762,2+EP$2)&lt;&gt;"",INDEX('×入力'!$A$1:$L$1300,763+EP$3,1)&lt;&gt;""),1,0),0)</f>
        <v/>
      </c>
      <c r="EQ37">
        <f>IF(EQ$4=1,IF(OR(INDEX('×入力'!$A$1:$L$1300,763+EQ$3,2+EQ$2)&lt;&gt;"",INDEX('×入力'!$A$1:$L$1300,762,2+EQ$2)&lt;&gt;"",INDEX('×入力'!$A$1:$L$1300,763+EQ$3,1)&lt;&gt;""),1,0),0)</f>
        <v/>
      </c>
      <c r="HA37">
        <f>MAX(0,IT37)</f>
        <v/>
      </c>
      <c r="HB37">
        <f>IF(HA37=0,0,INDEX($D$2:$EQ$2,HA37))</f>
        <v/>
      </c>
      <c r="HC37">
        <f>IF(HA37=0,0,INDEX($D$3:$EQ$3,HA37))</f>
        <v/>
      </c>
      <c r="HD37">
        <f>MAX(0,IY37)</f>
        <v/>
      </c>
      <c r="HE37">
        <f>IF(HD37=0,0,INDEX($D$2:$EQ$2,HD37))</f>
        <v/>
      </c>
      <c r="HF37">
        <f>IF(HD37=0,0,INDEX($D$3:$EQ$3,HD37))</f>
        <v/>
      </c>
      <c r="HG37">
        <f>MAX(0,IZ37)</f>
        <v/>
      </c>
      <c r="HH37">
        <f>IF(HG37=0,0,INDEX($D$2:$EQ$2,HG37))</f>
        <v/>
      </c>
      <c r="HI37">
        <f>IF(HG37=0,0,INDEX($D$3:$EQ$3,HG37))</f>
        <v/>
      </c>
      <c r="HJ37">
        <f>IF(AND(HA37&gt;0,HC37&gt;1,OR(HC37-1&lt;&gt;$A$3,$A$4=0)),HA37-1,-1)</f>
        <v/>
      </c>
      <c r="HK37">
        <f>IF(AND(HA37&gt;0,HC37&lt;24,OR(HC37&lt;&gt;$A$3,$A$4=0)),HA37+1,-1)</f>
        <v/>
      </c>
      <c r="HL37">
        <f>IF(AND(HD37&gt;0,HF37&gt;1,OR(HF37-1&lt;&gt;$A$3,$A$4=0)),HD37-1,-1)</f>
        <v/>
      </c>
      <c r="HM37">
        <f>IF(AND(HD37&gt;0,HF37&lt;24,OR(HF37&lt;&gt;$A$3,$A$4=0)),HD37+1,-1)</f>
        <v/>
      </c>
      <c r="HN37">
        <f>IF(AND(HG37&gt;0,HI37&gt;1,OR(HI37-1&lt;&gt;$A$3,$A$4=0)),HG37-1,-1)</f>
        <v/>
      </c>
      <c r="HO37">
        <f>IF(AND(HG37&gt;0,HI37&lt;24,OR(HI37&lt;&gt;$A$3,$A$4=0)),HG37+1,-1)</f>
        <v/>
      </c>
      <c r="IK37">
        <f>IFERROR(INDEX('calcB'!$C$3:$C$47,MATCH(A37,'calcB'!$B$3:$B$47,0)),0)</f>
        <v/>
      </c>
      <c r="IL37">
        <f>IF(AND(C37=1,IK37=0,calcA!$A$6&gt;0),1,0)</f>
        <v/>
      </c>
      <c r="IM37">
        <f>SUMPRODUCT(D87:EQ87*(1-$D$7:$EQ$7))</f>
        <v/>
      </c>
      <c r="IN37">
        <f>SUM(D37:EQ37)</f>
        <v/>
      </c>
      <c r="IO37">
        <f>IF(B37="",0,IF(COUNTIF('調整・決定'!$C$6:$H$29,B37)=1,SUMPRODUCT(('調整・決定'!$C$6:$H$29=B37)*((COLUMN('調整・決定'!$C$6:$H$29)-3)*24+ROW('調整・決定'!$C$6:$H$29)-5)),0))</f>
        <v/>
      </c>
      <c r="IP37">
        <f>IFERROR(MATCH('名簿'!C32,{"早い時刻","遅い時刻","早い日","遅い日"},0),0)</f>
        <v/>
      </c>
      <c r="IQ37">
        <f>IF('名簿'!D32="必ず空けたい",2,IF('名簿'!D32="出来れば空けたい",1,0))</f>
        <v/>
      </c>
      <c r="IR37">
        <f>IFERROR(INDEX('calcC'!$C$3:$C$47,MATCH(A37,'calcC'!$B$3:$B$47,0)),0)</f>
        <v/>
      </c>
      <c r="IS37">
        <f>IF(AND(C37=1,IR37=0,calcA!$A$6&gt;0),1,0)</f>
        <v/>
      </c>
      <c r="IT37">
        <f>IF(OR('名簿'!G32="",'名簿'!H32=""),0,IFERROR((MATCH('名簿'!G32,'設定'!$E$11:$E$16,0)-1)*24+MATCH('名簿'!H32,'設定'!$I$11:$I$34,0),-1))</f>
        <v/>
      </c>
      <c r="IV37">
        <f>IF(OR(JF37=0,IO37=0),1,IF(OR(IF(IT37&gt;0,AND(INDEX($D$2:$EQ$2,IO37)=INDEX($D$2:$EQ$2,IT37),OR(AND(IO37=IT37+1,OR(INDEX($D$3:$EQ$3,IT37)&lt;&gt;$A$3,$A$4=0)),AND(IO37=IT37-1,OR(INDEX($D$3:$EQ$3,IO37)&lt;&gt;$A$3,$A$4=0)))),FALSE),IF(IY37&gt;0,AND(INDEX($D$2:$EQ$2,IO37)=INDEX($D$2:$EQ$2,IY37),OR(AND(IO37=IY37+1,OR(INDEX($D$3:$EQ$3,IY37)&lt;&gt;$A$3,$A$4=0)),AND(IO37=IY37-1,OR(INDEX($D$3:$EQ$3,IO37)&lt;&gt;$A$3,$A$4=0)))),FALSE),IF(IZ37&gt;0,AND(INDEX($D$2:$EQ$2,IO37)=INDEX($D$2:$EQ$2,IZ37),OR(AND(IO37=IZ37+1,OR(INDEX($D$3:$EQ$3,IZ37)&lt;&gt;$A$3,$A$4=0)),AND(IO37=IZ37-1,OR(INDEX($D$3:$EQ$3,IO37)&lt;&gt;$A$3,$A$4=0)))),FALSE)),1,0))</f>
        <v/>
      </c>
      <c r="IW37">
        <f>IF(AND('名簿'!E32&lt;&gt;"",JF37=0),1,0)</f>
        <v/>
      </c>
      <c r="IX37">
        <f>IF('名簿'!D32="空けない",1,0)</f>
        <v/>
      </c>
      <c r="IY37">
        <f>IF(OR('名簿'!J32="",'名簿'!K32=""),0,IFERROR((MATCH('名簿'!J32,'設定'!$E$11:$E$16,0)-1)*24+MATCH('名簿'!K32,'設定'!$I$11:$I$34,0),-1))</f>
        <v/>
      </c>
      <c r="IZ37">
        <f>IF(OR('名簿'!M32="",'名簿'!N32=""),0,IFERROR((MATCH('名簿'!M32,'設定'!$E$11:$E$16,0)-1)*24+MATCH('名簿'!N32,'設定'!$I$11:$I$34,0),-1))</f>
        <v/>
      </c>
      <c r="JC37">
        <f>IF(RIGHT('名簿'!I32,2)="の前",1,IF(RIGHT('名簿'!I32,2)="の後",2,0))</f>
        <v/>
      </c>
      <c r="JD37">
        <f>IF(RIGHT('名簿'!L32,2)="の前",1,IF(RIGHT('名簿'!L32,2)="の後",2,0))</f>
        <v/>
      </c>
      <c r="JE37">
        <f>IF(RIGHT('名簿'!O32,2)="の前",1,IF(RIGHT('名簿'!O32,2)="の後",2,0))</f>
        <v/>
      </c>
      <c r="JF37">
        <f>IF(OR(IT37&gt;0,IY37&gt;0,IZ37&gt;0),1,0)</f>
        <v/>
      </c>
      <c r="JG37">
        <f>IF(OR(IT37&lt;0,IY37&lt;0,IZ37&lt;0),1,0)</f>
        <v/>
      </c>
    </row>
    <row r="38">
      <c r="A38" t="n">
        <v>29</v>
      </c>
      <c r="B38">
        <f>'名簿'!P33</f>
        <v/>
      </c>
      <c r="C38">
        <f>IF(AND(B38&lt;&gt;"",OR('名簿'!Q33="入力済み",'名簿'!Q33="×なし"),IO38=0,COUNTIF('調整・決定'!$C$6:$H$29,B38)=0),1,0)</f>
        <v/>
      </c>
      <c r="D38">
        <f>IF(D$4=1,IF(OR(INDEX('×入力'!$A$1:$L$1300,791+D$3,2+D$2)&lt;&gt;"",INDEX('×入力'!$A$1:$L$1300,790,2+D$2)&lt;&gt;"",INDEX('×入力'!$A$1:$L$1300,791+D$3,1)&lt;&gt;""),1,0),0)</f>
        <v/>
      </c>
      <c r="E38">
        <f>IF(E$4=1,IF(OR(INDEX('×入力'!$A$1:$L$1300,791+E$3,2+E$2)&lt;&gt;"",INDEX('×入力'!$A$1:$L$1300,790,2+E$2)&lt;&gt;"",INDEX('×入力'!$A$1:$L$1300,791+E$3,1)&lt;&gt;""),1,0),0)</f>
        <v/>
      </c>
      <c r="F38">
        <f>IF(F$4=1,IF(OR(INDEX('×入力'!$A$1:$L$1300,791+F$3,2+F$2)&lt;&gt;"",INDEX('×入力'!$A$1:$L$1300,790,2+F$2)&lt;&gt;"",INDEX('×入力'!$A$1:$L$1300,791+F$3,1)&lt;&gt;""),1,0),0)</f>
        <v/>
      </c>
      <c r="G38">
        <f>IF(G$4=1,IF(OR(INDEX('×入力'!$A$1:$L$1300,791+G$3,2+G$2)&lt;&gt;"",INDEX('×入力'!$A$1:$L$1300,790,2+G$2)&lt;&gt;"",INDEX('×入力'!$A$1:$L$1300,791+G$3,1)&lt;&gt;""),1,0),0)</f>
        <v/>
      </c>
      <c r="H38">
        <f>IF(H$4=1,IF(OR(INDEX('×入力'!$A$1:$L$1300,791+H$3,2+H$2)&lt;&gt;"",INDEX('×入力'!$A$1:$L$1300,790,2+H$2)&lt;&gt;"",INDEX('×入力'!$A$1:$L$1300,791+H$3,1)&lt;&gt;""),1,0),0)</f>
        <v/>
      </c>
      <c r="I38">
        <f>IF(I$4=1,IF(OR(INDEX('×入力'!$A$1:$L$1300,791+I$3,2+I$2)&lt;&gt;"",INDEX('×入力'!$A$1:$L$1300,790,2+I$2)&lt;&gt;"",INDEX('×入力'!$A$1:$L$1300,791+I$3,1)&lt;&gt;""),1,0),0)</f>
        <v/>
      </c>
      <c r="J38">
        <f>IF(J$4=1,IF(OR(INDEX('×入力'!$A$1:$L$1300,791+J$3,2+J$2)&lt;&gt;"",INDEX('×入力'!$A$1:$L$1300,790,2+J$2)&lt;&gt;"",INDEX('×入力'!$A$1:$L$1300,791+J$3,1)&lt;&gt;""),1,0),0)</f>
        <v/>
      </c>
      <c r="K38">
        <f>IF(K$4=1,IF(OR(INDEX('×入力'!$A$1:$L$1300,791+K$3,2+K$2)&lt;&gt;"",INDEX('×入力'!$A$1:$L$1300,790,2+K$2)&lt;&gt;"",INDEX('×入力'!$A$1:$L$1300,791+K$3,1)&lt;&gt;""),1,0),0)</f>
        <v/>
      </c>
      <c r="L38">
        <f>IF(L$4=1,IF(OR(INDEX('×入力'!$A$1:$L$1300,791+L$3,2+L$2)&lt;&gt;"",INDEX('×入力'!$A$1:$L$1300,790,2+L$2)&lt;&gt;"",INDEX('×入力'!$A$1:$L$1300,791+L$3,1)&lt;&gt;""),1,0),0)</f>
        <v/>
      </c>
      <c r="M38">
        <f>IF(M$4=1,IF(OR(INDEX('×入力'!$A$1:$L$1300,791+M$3,2+M$2)&lt;&gt;"",INDEX('×入力'!$A$1:$L$1300,790,2+M$2)&lt;&gt;"",INDEX('×入力'!$A$1:$L$1300,791+M$3,1)&lt;&gt;""),1,0),0)</f>
        <v/>
      </c>
      <c r="N38">
        <f>IF(N$4=1,IF(OR(INDEX('×入力'!$A$1:$L$1300,791+N$3,2+N$2)&lt;&gt;"",INDEX('×入力'!$A$1:$L$1300,790,2+N$2)&lt;&gt;"",INDEX('×入力'!$A$1:$L$1300,791+N$3,1)&lt;&gt;""),1,0),0)</f>
        <v/>
      </c>
      <c r="O38">
        <f>IF(O$4=1,IF(OR(INDEX('×入力'!$A$1:$L$1300,791+O$3,2+O$2)&lt;&gt;"",INDEX('×入力'!$A$1:$L$1300,790,2+O$2)&lt;&gt;"",INDEX('×入力'!$A$1:$L$1300,791+O$3,1)&lt;&gt;""),1,0),0)</f>
        <v/>
      </c>
      <c r="P38">
        <f>IF(P$4=1,IF(OR(INDEX('×入力'!$A$1:$L$1300,791+P$3,2+P$2)&lt;&gt;"",INDEX('×入力'!$A$1:$L$1300,790,2+P$2)&lt;&gt;"",INDEX('×入力'!$A$1:$L$1300,791+P$3,1)&lt;&gt;""),1,0),0)</f>
        <v/>
      </c>
      <c r="Q38">
        <f>IF(Q$4=1,IF(OR(INDEX('×入力'!$A$1:$L$1300,791+Q$3,2+Q$2)&lt;&gt;"",INDEX('×入力'!$A$1:$L$1300,790,2+Q$2)&lt;&gt;"",INDEX('×入力'!$A$1:$L$1300,791+Q$3,1)&lt;&gt;""),1,0),0)</f>
        <v/>
      </c>
      <c r="R38">
        <f>IF(R$4=1,IF(OR(INDEX('×入力'!$A$1:$L$1300,791+R$3,2+R$2)&lt;&gt;"",INDEX('×入力'!$A$1:$L$1300,790,2+R$2)&lt;&gt;"",INDEX('×入力'!$A$1:$L$1300,791+R$3,1)&lt;&gt;""),1,0),0)</f>
        <v/>
      </c>
      <c r="S38">
        <f>IF(S$4=1,IF(OR(INDEX('×入力'!$A$1:$L$1300,791+S$3,2+S$2)&lt;&gt;"",INDEX('×入力'!$A$1:$L$1300,790,2+S$2)&lt;&gt;"",INDEX('×入力'!$A$1:$L$1300,791+S$3,1)&lt;&gt;""),1,0),0)</f>
        <v/>
      </c>
      <c r="T38">
        <f>IF(T$4=1,IF(OR(INDEX('×入力'!$A$1:$L$1300,791+T$3,2+T$2)&lt;&gt;"",INDEX('×入力'!$A$1:$L$1300,790,2+T$2)&lt;&gt;"",INDEX('×入力'!$A$1:$L$1300,791+T$3,1)&lt;&gt;""),1,0),0)</f>
        <v/>
      </c>
      <c r="U38">
        <f>IF(U$4=1,IF(OR(INDEX('×入力'!$A$1:$L$1300,791+U$3,2+U$2)&lt;&gt;"",INDEX('×入力'!$A$1:$L$1300,790,2+U$2)&lt;&gt;"",INDEX('×入力'!$A$1:$L$1300,791+U$3,1)&lt;&gt;""),1,0),0)</f>
        <v/>
      </c>
      <c r="V38">
        <f>IF(V$4=1,IF(OR(INDEX('×入力'!$A$1:$L$1300,791+V$3,2+V$2)&lt;&gt;"",INDEX('×入力'!$A$1:$L$1300,790,2+V$2)&lt;&gt;"",INDEX('×入力'!$A$1:$L$1300,791+V$3,1)&lt;&gt;""),1,0),0)</f>
        <v/>
      </c>
      <c r="W38">
        <f>IF(W$4=1,IF(OR(INDEX('×入力'!$A$1:$L$1300,791+W$3,2+W$2)&lt;&gt;"",INDEX('×入力'!$A$1:$L$1300,790,2+W$2)&lt;&gt;"",INDEX('×入力'!$A$1:$L$1300,791+W$3,1)&lt;&gt;""),1,0),0)</f>
        <v/>
      </c>
      <c r="X38">
        <f>IF(X$4=1,IF(OR(INDEX('×入力'!$A$1:$L$1300,791+X$3,2+X$2)&lt;&gt;"",INDEX('×入力'!$A$1:$L$1300,790,2+X$2)&lt;&gt;"",INDEX('×入力'!$A$1:$L$1300,791+X$3,1)&lt;&gt;""),1,0),0)</f>
        <v/>
      </c>
      <c r="Y38">
        <f>IF(Y$4=1,IF(OR(INDEX('×入力'!$A$1:$L$1300,791+Y$3,2+Y$2)&lt;&gt;"",INDEX('×入力'!$A$1:$L$1300,790,2+Y$2)&lt;&gt;"",INDEX('×入力'!$A$1:$L$1300,791+Y$3,1)&lt;&gt;""),1,0),0)</f>
        <v/>
      </c>
      <c r="Z38">
        <f>IF(Z$4=1,IF(OR(INDEX('×入力'!$A$1:$L$1300,791+Z$3,2+Z$2)&lt;&gt;"",INDEX('×入力'!$A$1:$L$1300,790,2+Z$2)&lt;&gt;"",INDEX('×入力'!$A$1:$L$1300,791+Z$3,1)&lt;&gt;""),1,0),0)</f>
        <v/>
      </c>
      <c r="AA38">
        <f>IF(AA$4=1,IF(OR(INDEX('×入力'!$A$1:$L$1300,791+AA$3,2+AA$2)&lt;&gt;"",INDEX('×入力'!$A$1:$L$1300,790,2+AA$2)&lt;&gt;"",INDEX('×入力'!$A$1:$L$1300,791+AA$3,1)&lt;&gt;""),1,0),0)</f>
        <v/>
      </c>
      <c r="AB38">
        <f>IF(AB$4=1,IF(OR(INDEX('×入力'!$A$1:$L$1300,791+AB$3,2+AB$2)&lt;&gt;"",INDEX('×入力'!$A$1:$L$1300,790,2+AB$2)&lt;&gt;"",INDEX('×入力'!$A$1:$L$1300,791+AB$3,1)&lt;&gt;""),1,0),0)</f>
        <v/>
      </c>
      <c r="AC38">
        <f>IF(AC$4=1,IF(OR(INDEX('×入力'!$A$1:$L$1300,791+AC$3,2+AC$2)&lt;&gt;"",INDEX('×入力'!$A$1:$L$1300,790,2+AC$2)&lt;&gt;"",INDEX('×入力'!$A$1:$L$1300,791+AC$3,1)&lt;&gt;""),1,0),0)</f>
        <v/>
      </c>
      <c r="AD38">
        <f>IF(AD$4=1,IF(OR(INDEX('×入力'!$A$1:$L$1300,791+AD$3,2+AD$2)&lt;&gt;"",INDEX('×入力'!$A$1:$L$1300,790,2+AD$2)&lt;&gt;"",INDEX('×入力'!$A$1:$L$1300,791+AD$3,1)&lt;&gt;""),1,0),0)</f>
        <v/>
      </c>
      <c r="AE38">
        <f>IF(AE$4=1,IF(OR(INDEX('×入力'!$A$1:$L$1300,791+AE$3,2+AE$2)&lt;&gt;"",INDEX('×入力'!$A$1:$L$1300,790,2+AE$2)&lt;&gt;"",INDEX('×入力'!$A$1:$L$1300,791+AE$3,1)&lt;&gt;""),1,0),0)</f>
        <v/>
      </c>
      <c r="AF38">
        <f>IF(AF$4=1,IF(OR(INDEX('×入力'!$A$1:$L$1300,791+AF$3,2+AF$2)&lt;&gt;"",INDEX('×入力'!$A$1:$L$1300,790,2+AF$2)&lt;&gt;"",INDEX('×入力'!$A$1:$L$1300,791+AF$3,1)&lt;&gt;""),1,0),0)</f>
        <v/>
      </c>
      <c r="AG38">
        <f>IF(AG$4=1,IF(OR(INDEX('×入力'!$A$1:$L$1300,791+AG$3,2+AG$2)&lt;&gt;"",INDEX('×入力'!$A$1:$L$1300,790,2+AG$2)&lt;&gt;"",INDEX('×入力'!$A$1:$L$1300,791+AG$3,1)&lt;&gt;""),1,0),0)</f>
        <v/>
      </c>
      <c r="AH38">
        <f>IF(AH$4=1,IF(OR(INDEX('×入力'!$A$1:$L$1300,791+AH$3,2+AH$2)&lt;&gt;"",INDEX('×入力'!$A$1:$L$1300,790,2+AH$2)&lt;&gt;"",INDEX('×入力'!$A$1:$L$1300,791+AH$3,1)&lt;&gt;""),1,0),0)</f>
        <v/>
      </c>
      <c r="AI38">
        <f>IF(AI$4=1,IF(OR(INDEX('×入力'!$A$1:$L$1300,791+AI$3,2+AI$2)&lt;&gt;"",INDEX('×入力'!$A$1:$L$1300,790,2+AI$2)&lt;&gt;"",INDEX('×入力'!$A$1:$L$1300,791+AI$3,1)&lt;&gt;""),1,0),0)</f>
        <v/>
      </c>
      <c r="AJ38">
        <f>IF(AJ$4=1,IF(OR(INDEX('×入力'!$A$1:$L$1300,791+AJ$3,2+AJ$2)&lt;&gt;"",INDEX('×入力'!$A$1:$L$1300,790,2+AJ$2)&lt;&gt;"",INDEX('×入力'!$A$1:$L$1300,791+AJ$3,1)&lt;&gt;""),1,0),0)</f>
        <v/>
      </c>
      <c r="AK38">
        <f>IF(AK$4=1,IF(OR(INDEX('×入力'!$A$1:$L$1300,791+AK$3,2+AK$2)&lt;&gt;"",INDEX('×入力'!$A$1:$L$1300,790,2+AK$2)&lt;&gt;"",INDEX('×入力'!$A$1:$L$1300,791+AK$3,1)&lt;&gt;""),1,0),0)</f>
        <v/>
      </c>
      <c r="AL38">
        <f>IF(AL$4=1,IF(OR(INDEX('×入力'!$A$1:$L$1300,791+AL$3,2+AL$2)&lt;&gt;"",INDEX('×入力'!$A$1:$L$1300,790,2+AL$2)&lt;&gt;"",INDEX('×入力'!$A$1:$L$1300,791+AL$3,1)&lt;&gt;""),1,0),0)</f>
        <v/>
      </c>
      <c r="AM38">
        <f>IF(AM$4=1,IF(OR(INDEX('×入力'!$A$1:$L$1300,791+AM$3,2+AM$2)&lt;&gt;"",INDEX('×入力'!$A$1:$L$1300,790,2+AM$2)&lt;&gt;"",INDEX('×入力'!$A$1:$L$1300,791+AM$3,1)&lt;&gt;""),1,0),0)</f>
        <v/>
      </c>
      <c r="AN38">
        <f>IF(AN$4=1,IF(OR(INDEX('×入力'!$A$1:$L$1300,791+AN$3,2+AN$2)&lt;&gt;"",INDEX('×入力'!$A$1:$L$1300,790,2+AN$2)&lt;&gt;"",INDEX('×入力'!$A$1:$L$1300,791+AN$3,1)&lt;&gt;""),1,0),0)</f>
        <v/>
      </c>
      <c r="AO38">
        <f>IF(AO$4=1,IF(OR(INDEX('×入力'!$A$1:$L$1300,791+AO$3,2+AO$2)&lt;&gt;"",INDEX('×入力'!$A$1:$L$1300,790,2+AO$2)&lt;&gt;"",INDEX('×入力'!$A$1:$L$1300,791+AO$3,1)&lt;&gt;""),1,0),0)</f>
        <v/>
      </c>
      <c r="AP38">
        <f>IF(AP$4=1,IF(OR(INDEX('×入力'!$A$1:$L$1300,791+AP$3,2+AP$2)&lt;&gt;"",INDEX('×入力'!$A$1:$L$1300,790,2+AP$2)&lt;&gt;"",INDEX('×入力'!$A$1:$L$1300,791+AP$3,1)&lt;&gt;""),1,0),0)</f>
        <v/>
      </c>
      <c r="AQ38">
        <f>IF(AQ$4=1,IF(OR(INDEX('×入力'!$A$1:$L$1300,791+AQ$3,2+AQ$2)&lt;&gt;"",INDEX('×入力'!$A$1:$L$1300,790,2+AQ$2)&lt;&gt;"",INDEX('×入力'!$A$1:$L$1300,791+AQ$3,1)&lt;&gt;""),1,0),0)</f>
        <v/>
      </c>
      <c r="AR38">
        <f>IF(AR$4=1,IF(OR(INDEX('×入力'!$A$1:$L$1300,791+AR$3,2+AR$2)&lt;&gt;"",INDEX('×入力'!$A$1:$L$1300,790,2+AR$2)&lt;&gt;"",INDEX('×入力'!$A$1:$L$1300,791+AR$3,1)&lt;&gt;""),1,0),0)</f>
        <v/>
      </c>
      <c r="AS38">
        <f>IF(AS$4=1,IF(OR(INDEX('×入力'!$A$1:$L$1300,791+AS$3,2+AS$2)&lt;&gt;"",INDEX('×入力'!$A$1:$L$1300,790,2+AS$2)&lt;&gt;"",INDEX('×入力'!$A$1:$L$1300,791+AS$3,1)&lt;&gt;""),1,0),0)</f>
        <v/>
      </c>
      <c r="AT38">
        <f>IF(AT$4=1,IF(OR(INDEX('×入力'!$A$1:$L$1300,791+AT$3,2+AT$2)&lt;&gt;"",INDEX('×入力'!$A$1:$L$1300,790,2+AT$2)&lt;&gt;"",INDEX('×入力'!$A$1:$L$1300,791+AT$3,1)&lt;&gt;""),1,0),0)</f>
        <v/>
      </c>
      <c r="AU38">
        <f>IF(AU$4=1,IF(OR(INDEX('×入力'!$A$1:$L$1300,791+AU$3,2+AU$2)&lt;&gt;"",INDEX('×入力'!$A$1:$L$1300,790,2+AU$2)&lt;&gt;"",INDEX('×入力'!$A$1:$L$1300,791+AU$3,1)&lt;&gt;""),1,0),0)</f>
        <v/>
      </c>
      <c r="AV38">
        <f>IF(AV$4=1,IF(OR(INDEX('×入力'!$A$1:$L$1300,791+AV$3,2+AV$2)&lt;&gt;"",INDEX('×入力'!$A$1:$L$1300,790,2+AV$2)&lt;&gt;"",INDEX('×入力'!$A$1:$L$1300,791+AV$3,1)&lt;&gt;""),1,0),0)</f>
        <v/>
      </c>
      <c r="AW38">
        <f>IF(AW$4=1,IF(OR(INDEX('×入力'!$A$1:$L$1300,791+AW$3,2+AW$2)&lt;&gt;"",INDEX('×入力'!$A$1:$L$1300,790,2+AW$2)&lt;&gt;"",INDEX('×入力'!$A$1:$L$1300,791+AW$3,1)&lt;&gt;""),1,0),0)</f>
        <v/>
      </c>
      <c r="AX38">
        <f>IF(AX$4=1,IF(OR(INDEX('×入力'!$A$1:$L$1300,791+AX$3,2+AX$2)&lt;&gt;"",INDEX('×入力'!$A$1:$L$1300,790,2+AX$2)&lt;&gt;"",INDEX('×入力'!$A$1:$L$1300,791+AX$3,1)&lt;&gt;""),1,0),0)</f>
        <v/>
      </c>
      <c r="AY38">
        <f>IF(AY$4=1,IF(OR(INDEX('×入力'!$A$1:$L$1300,791+AY$3,2+AY$2)&lt;&gt;"",INDEX('×入力'!$A$1:$L$1300,790,2+AY$2)&lt;&gt;"",INDEX('×入力'!$A$1:$L$1300,791+AY$3,1)&lt;&gt;""),1,0),0)</f>
        <v/>
      </c>
      <c r="AZ38">
        <f>IF(AZ$4=1,IF(OR(INDEX('×入力'!$A$1:$L$1300,791+AZ$3,2+AZ$2)&lt;&gt;"",INDEX('×入力'!$A$1:$L$1300,790,2+AZ$2)&lt;&gt;"",INDEX('×入力'!$A$1:$L$1300,791+AZ$3,1)&lt;&gt;""),1,0),0)</f>
        <v/>
      </c>
      <c r="BA38">
        <f>IF(BA$4=1,IF(OR(INDEX('×入力'!$A$1:$L$1300,791+BA$3,2+BA$2)&lt;&gt;"",INDEX('×入力'!$A$1:$L$1300,790,2+BA$2)&lt;&gt;"",INDEX('×入力'!$A$1:$L$1300,791+BA$3,1)&lt;&gt;""),1,0),0)</f>
        <v/>
      </c>
      <c r="BB38">
        <f>IF(BB$4=1,IF(OR(INDEX('×入力'!$A$1:$L$1300,791+BB$3,2+BB$2)&lt;&gt;"",INDEX('×入力'!$A$1:$L$1300,790,2+BB$2)&lt;&gt;"",INDEX('×入力'!$A$1:$L$1300,791+BB$3,1)&lt;&gt;""),1,0),0)</f>
        <v/>
      </c>
      <c r="BC38">
        <f>IF(BC$4=1,IF(OR(INDEX('×入力'!$A$1:$L$1300,791+BC$3,2+BC$2)&lt;&gt;"",INDEX('×入力'!$A$1:$L$1300,790,2+BC$2)&lt;&gt;"",INDEX('×入力'!$A$1:$L$1300,791+BC$3,1)&lt;&gt;""),1,0),0)</f>
        <v/>
      </c>
      <c r="BD38">
        <f>IF(BD$4=1,IF(OR(INDEX('×入力'!$A$1:$L$1300,791+BD$3,2+BD$2)&lt;&gt;"",INDEX('×入力'!$A$1:$L$1300,790,2+BD$2)&lt;&gt;"",INDEX('×入力'!$A$1:$L$1300,791+BD$3,1)&lt;&gt;""),1,0),0)</f>
        <v/>
      </c>
      <c r="BE38">
        <f>IF(BE$4=1,IF(OR(INDEX('×入力'!$A$1:$L$1300,791+BE$3,2+BE$2)&lt;&gt;"",INDEX('×入力'!$A$1:$L$1300,790,2+BE$2)&lt;&gt;"",INDEX('×入力'!$A$1:$L$1300,791+BE$3,1)&lt;&gt;""),1,0),0)</f>
        <v/>
      </c>
      <c r="BF38">
        <f>IF(BF$4=1,IF(OR(INDEX('×入力'!$A$1:$L$1300,791+BF$3,2+BF$2)&lt;&gt;"",INDEX('×入力'!$A$1:$L$1300,790,2+BF$2)&lt;&gt;"",INDEX('×入力'!$A$1:$L$1300,791+BF$3,1)&lt;&gt;""),1,0),0)</f>
        <v/>
      </c>
      <c r="BG38">
        <f>IF(BG$4=1,IF(OR(INDEX('×入力'!$A$1:$L$1300,791+BG$3,2+BG$2)&lt;&gt;"",INDEX('×入力'!$A$1:$L$1300,790,2+BG$2)&lt;&gt;"",INDEX('×入力'!$A$1:$L$1300,791+BG$3,1)&lt;&gt;""),1,0),0)</f>
        <v/>
      </c>
      <c r="BH38">
        <f>IF(BH$4=1,IF(OR(INDEX('×入力'!$A$1:$L$1300,791+BH$3,2+BH$2)&lt;&gt;"",INDEX('×入力'!$A$1:$L$1300,790,2+BH$2)&lt;&gt;"",INDEX('×入力'!$A$1:$L$1300,791+BH$3,1)&lt;&gt;""),1,0),0)</f>
        <v/>
      </c>
      <c r="BI38">
        <f>IF(BI$4=1,IF(OR(INDEX('×入力'!$A$1:$L$1300,791+BI$3,2+BI$2)&lt;&gt;"",INDEX('×入力'!$A$1:$L$1300,790,2+BI$2)&lt;&gt;"",INDEX('×入力'!$A$1:$L$1300,791+BI$3,1)&lt;&gt;""),1,0),0)</f>
        <v/>
      </c>
      <c r="BJ38">
        <f>IF(BJ$4=1,IF(OR(INDEX('×入力'!$A$1:$L$1300,791+BJ$3,2+BJ$2)&lt;&gt;"",INDEX('×入力'!$A$1:$L$1300,790,2+BJ$2)&lt;&gt;"",INDEX('×入力'!$A$1:$L$1300,791+BJ$3,1)&lt;&gt;""),1,0),0)</f>
        <v/>
      </c>
      <c r="BK38">
        <f>IF(BK$4=1,IF(OR(INDEX('×入力'!$A$1:$L$1300,791+BK$3,2+BK$2)&lt;&gt;"",INDEX('×入力'!$A$1:$L$1300,790,2+BK$2)&lt;&gt;"",INDEX('×入力'!$A$1:$L$1300,791+BK$3,1)&lt;&gt;""),1,0),0)</f>
        <v/>
      </c>
      <c r="BL38">
        <f>IF(BL$4=1,IF(OR(INDEX('×入力'!$A$1:$L$1300,791+BL$3,2+BL$2)&lt;&gt;"",INDEX('×入力'!$A$1:$L$1300,790,2+BL$2)&lt;&gt;"",INDEX('×入力'!$A$1:$L$1300,791+BL$3,1)&lt;&gt;""),1,0),0)</f>
        <v/>
      </c>
      <c r="BM38">
        <f>IF(BM$4=1,IF(OR(INDEX('×入力'!$A$1:$L$1300,791+BM$3,2+BM$2)&lt;&gt;"",INDEX('×入力'!$A$1:$L$1300,790,2+BM$2)&lt;&gt;"",INDEX('×入力'!$A$1:$L$1300,791+BM$3,1)&lt;&gt;""),1,0),0)</f>
        <v/>
      </c>
      <c r="BN38">
        <f>IF(BN$4=1,IF(OR(INDEX('×入力'!$A$1:$L$1300,791+BN$3,2+BN$2)&lt;&gt;"",INDEX('×入力'!$A$1:$L$1300,790,2+BN$2)&lt;&gt;"",INDEX('×入力'!$A$1:$L$1300,791+BN$3,1)&lt;&gt;""),1,0),0)</f>
        <v/>
      </c>
      <c r="BO38">
        <f>IF(BO$4=1,IF(OR(INDEX('×入力'!$A$1:$L$1300,791+BO$3,2+BO$2)&lt;&gt;"",INDEX('×入力'!$A$1:$L$1300,790,2+BO$2)&lt;&gt;"",INDEX('×入力'!$A$1:$L$1300,791+BO$3,1)&lt;&gt;""),1,0),0)</f>
        <v/>
      </c>
      <c r="BP38">
        <f>IF(BP$4=1,IF(OR(INDEX('×入力'!$A$1:$L$1300,791+BP$3,2+BP$2)&lt;&gt;"",INDEX('×入力'!$A$1:$L$1300,790,2+BP$2)&lt;&gt;"",INDEX('×入力'!$A$1:$L$1300,791+BP$3,1)&lt;&gt;""),1,0),0)</f>
        <v/>
      </c>
      <c r="BQ38">
        <f>IF(BQ$4=1,IF(OR(INDEX('×入力'!$A$1:$L$1300,791+BQ$3,2+BQ$2)&lt;&gt;"",INDEX('×入力'!$A$1:$L$1300,790,2+BQ$2)&lt;&gt;"",INDEX('×入力'!$A$1:$L$1300,791+BQ$3,1)&lt;&gt;""),1,0),0)</f>
        <v/>
      </c>
      <c r="BR38">
        <f>IF(BR$4=1,IF(OR(INDEX('×入力'!$A$1:$L$1300,791+BR$3,2+BR$2)&lt;&gt;"",INDEX('×入力'!$A$1:$L$1300,790,2+BR$2)&lt;&gt;"",INDEX('×入力'!$A$1:$L$1300,791+BR$3,1)&lt;&gt;""),1,0),0)</f>
        <v/>
      </c>
      <c r="BS38">
        <f>IF(BS$4=1,IF(OR(INDEX('×入力'!$A$1:$L$1300,791+BS$3,2+BS$2)&lt;&gt;"",INDEX('×入力'!$A$1:$L$1300,790,2+BS$2)&lt;&gt;"",INDEX('×入力'!$A$1:$L$1300,791+BS$3,1)&lt;&gt;""),1,0),0)</f>
        <v/>
      </c>
      <c r="BT38">
        <f>IF(BT$4=1,IF(OR(INDEX('×入力'!$A$1:$L$1300,791+BT$3,2+BT$2)&lt;&gt;"",INDEX('×入力'!$A$1:$L$1300,790,2+BT$2)&lt;&gt;"",INDEX('×入力'!$A$1:$L$1300,791+BT$3,1)&lt;&gt;""),1,0),0)</f>
        <v/>
      </c>
      <c r="BU38">
        <f>IF(BU$4=1,IF(OR(INDEX('×入力'!$A$1:$L$1300,791+BU$3,2+BU$2)&lt;&gt;"",INDEX('×入力'!$A$1:$L$1300,790,2+BU$2)&lt;&gt;"",INDEX('×入力'!$A$1:$L$1300,791+BU$3,1)&lt;&gt;""),1,0),0)</f>
        <v/>
      </c>
      <c r="BV38">
        <f>IF(BV$4=1,IF(OR(INDEX('×入力'!$A$1:$L$1300,791+BV$3,2+BV$2)&lt;&gt;"",INDEX('×入力'!$A$1:$L$1300,790,2+BV$2)&lt;&gt;"",INDEX('×入力'!$A$1:$L$1300,791+BV$3,1)&lt;&gt;""),1,0),0)</f>
        <v/>
      </c>
      <c r="BW38">
        <f>IF(BW$4=1,IF(OR(INDEX('×入力'!$A$1:$L$1300,791+BW$3,2+BW$2)&lt;&gt;"",INDEX('×入力'!$A$1:$L$1300,790,2+BW$2)&lt;&gt;"",INDEX('×入力'!$A$1:$L$1300,791+BW$3,1)&lt;&gt;""),1,0),0)</f>
        <v/>
      </c>
      <c r="BX38">
        <f>IF(BX$4=1,IF(OR(INDEX('×入力'!$A$1:$L$1300,791+BX$3,2+BX$2)&lt;&gt;"",INDEX('×入力'!$A$1:$L$1300,790,2+BX$2)&lt;&gt;"",INDEX('×入力'!$A$1:$L$1300,791+BX$3,1)&lt;&gt;""),1,0),0)</f>
        <v/>
      </c>
      <c r="BY38">
        <f>IF(BY$4=1,IF(OR(INDEX('×入力'!$A$1:$L$1300,791+BY$3,2+BY$2)&lt;&gt;"",INDEX('×入力'!$A$1:$L$1300,790,2+BY$2)&lt;&gt;"",INDEX('×入力'!$A$1:$L$1300,791+BY$3,1)&lt;&gt;""),1,0),0)</f>
        <v/>
      </c>
      <c r="BZ38">
        <f>IF(BZ$4=1,IF(OR(INDEX('×入力'!$A$1:$L$1300,791+BZ$3,2+BZ$2)&lt;&gt;"",INDEX('×入力'!$A$1:$L$1300,790,2+BZ$2)&lt;&gt;"",INDEX('×入力'!$A$1:$L$1300,791+BZ$3,1)&lt;&gt;""),1,0),0)</f>
        <v/>
      </c>
      <c r="CA38">
        <f>IF(CA$4=1,IF(OR(INDEX('×入力'!$A$1:$L$1300,791+CA$3,2+CA$2)&lt;&gt;"",INDEX('×入力'!$A$1:$L$1300,790,2+CA$2)&lt;&gt;"",INDEX('×入力'!$A$1:$L$1300,791+CA$3,1)&lt;&gt;""),1,0),0)</f>
        <v/>
      </c>
      <c r="CB38">
        <f>IF(CB$4=1,IF(OR(INDEX('×入力'!$A$1:$L$1300,791+CB$3,2+CB$2)&lt;&gt;"",INDEX('×入力'!$A$1:$L$1300,790,2+CB$2)&lt;&gt;"",INDEX('×入力'!$A$1:$L$1300,791+CB$3,1)&lt;&gt;""),1,0),0)</f>
        <v/>
      </c>
      <c r="CC38">
        <f>IF(CC$4=1,IF(OR(INDEX('×入力'!$A$1:$L$1300,791+CC$3,2+CC$2)&lt;&gt;"",INDEX('×入力'!$A$1:$L$1300,790,2+CC$2)&lt;&gt;"",INDEX('×入力'!$A$1:$L$1300,791+CC$3,1)&lt;&gt;""),1,0),0)</f>
        <v/>
      </c>
      <c r="CD38">
        <f>IF(CD$4=1,IF(OR(INDEX('×入力'!$A$1:$L$1300,791+CD$3,2+CD$2)&lt;&gt;"",INDEX('×入力'!$A$1:$L$1300,790,2+CD$2)&lt;&gt;"",INDEX('×入力'!$A$1:$L$1300,791+CD$3,1)&lt;&gt;""),1,0),0)</f>
        <v/>
      </c>
      <c r="CE38">
        <f>IF(CE$4=1,IF(OR(INDEX('×入力'!$A$1:$L$1300,791+CE$3,2+CE$2)&lt;&gt;"",INDEX('×入力'!$A$1:$L$1300,790,2+CE$2)&lt;&gt;"",INDEX('×入力'!$A$1:$L$1300,791+CE$3,1)&lt;&gt;""),1,0),0)</f>
        <v/>
      </c>
      <c r="CF38">
        <f>IF(CF$4=1,IF(OR(INDEX('×入力'!$A$1:$L$1300,791+CF$3,2+CF$2)&lt;&gt;"",INDEX('×入力'!$A$1:$L$1300,790,2+CF$2)&lt;&gt;"",INDEX('×入力'!$A$1:$L$1300,791+CF$3,1)&lt;&gt;""),1,0),0)</f>
        <v/>
      </c>
      <c r="CG38">
        <f>IF(CG$4=1,IF(OR(INDEX('×入力'!$A$1:$L$1300,791+CG$3,2+CG$2)&lt;&gt;"",INDEX('×入力'!$A$1:$L$1300,790,2+CG$2)&lt;&gt;"",INDEX('×入力'!$A$1:$L$1300,791+CG$3,1)&lt;&gt;""),1,0),0)</f>
        <v/>
      </c>
      <c r="CH38">
        <f>IF(CH$4=1,IF(OR(INDEX('×入力'!$A$1:$L$1300,791+CH$3,2+CH$2)&lt;&gt;"",INDEX('×入力'!$A$1:$L$1300,790,2+CH$2)&lt;&gt;"",INDEX('×入力'!$A$1:$L$1300,791+CH$3,1)&lt;&gt;""),1,0),0)</f>
        <v/>
      </c>
      <c r="CI38">
        <f>IF(CI$4=1,IF(OR(INDEX('×入力'!$A$1:$L$1300,791+CI$3,2+CI$2)&lt;&gt;"",INDEX('×入力'!$A$1:$L$1300,790,2+CI$2)&lt;&gt;"",INDEX('×入力'!$A$1:$L$1300,791+CI$3,1)&lt;&gt;""),1,0),0)</f>
        <v/>
      </c>
      <c r="CJ38">
        <f>IF(CJ$4=1,IF(OR(INDEX('×入力'!$A$1:$L$1300,791+CJ$3,2+CJ$2)&lt;&gt;"",INDEX('×入力'!$A$1:$L$1300,790,2+CJ$2)&lt;&gt;"",INDEX('×入力'!$A$1:$L$1300,791+CJ$3,1)&lt;&gt;""),1,0),0)</f>
        <v/>
      </c>
      <c r="CK38">
        <f>IF(CK$4=1,IF(OR(INDEX('×入力'!$A$1:$L$1300,791+CK$3,2+CK$2)&lt;&gt;"",INDEX('×入力'!$A$1:$L$1300,790,2+CK$2)&lt;&gt;"",INDEX('×入力'!$A$1:$L$1300,791+CK$3,1)&lt;&gt;""),1,0),0)</f>
        <v/>
      </c>
      <c r="CL38">
        <f>IF(CL$4=1,IF(OR(INDEX('×入力'!$A$1:$L$1300,791+CL$3,2+CL$2)&lt;&gt;"",INDEX('×入力'!$A$1:$L$1300,790,2+CL$2)&lt;&gt;"",INDEX('×入力'!$A$1:$L$1300,791+CL$3,1)&lt;&gt;""),1,0),0)</f>
        <v/>
      </c>
      <c r="CM38">
        <f>IF(CM$4=1,IF(OR(INDEX('×入力'!$A$1:$L$1300,791+CM$3,2+CM$2)&lt;&gt;"",INDEX('×入力'!$A$1:$L$1300,790,2+CM$2)&lt;&gt;"",INDEX('×入力'!$A$1:$L$1300,791+CM$3,1)&lt;&gt;""),1,0),0)</f>
        <v/>
      </c>
      <c r="CN38">
        <f>IF(CN$4=1,IF(OR(INDEX('×入力'!$A$1:$L$1300,791+CN$3,2+CN$2)&lt;&gt;"",INDEX('×入力'!$A$1:$L$1300,790,2+CN$2)&lt;&gt;"",INDEX('×入力'!$A$1:$L$1300,791+CN$3,1)&lt;&gt;""),1,0),0)</f>
        <v/>
      </c>
      <c r="CO38">
        <f>IF(CO$4=1,IF(OR(INDEX('×入力'!$A$1:$L$1300,791+CO$3,2+CO$2)&lt;&gt;"",INDEX('×入力'!$A$1:$L$1300,790,2+CO$2)&lt;&gt;"",INDEX('×入力'!$A$1:$L$1300,791+CO$3,1)&lt;&gt;""),1,0),0)</f>
        <v/>
      </c>
      <c r="CP38">
        <f>IF(CP$4=1,IF(OR(INDEX('×入力'!$A$1:$L$1300,791+CP$3,2+CP$2)&lt;&gt;"",INDEX('×入力'!$A$1:$L$1300,790,2+CP$2)&lt;&gt;"",INDEX('×入力'!$A$1:$L$1300,791+CP$3,1)&lt;&gt;""),1,0),0)</f>
        <v/>
      </c>
      <c r="CQ38">
        <f>IF(CQ$4=1,IF(OR(INDEX('×入力'!$A$1:$L$1300,791+CQ$3,2+CQ$2)&lt;&gt;"",INDEX('×入力'!$A$1:$L$1300,790,2+CQ$2)&lt;&gt;"",INDEX('×入力'!$A$1:$L$1300,791+CQ$3,1)&lt;&gt;""),1,0),0)</f>
        <v/>
      </c>
      <c r="CR38">
        <f>IF(CR$4=1,IF(OR(INDEX('×入力'!$A$1:$L$1300,791+CR$3,2+CR$2)&lt;&gt;"",INDEX('×入力'!$A$1:$L$1300,790,2+CR$2)&lt;&gt;"",INDEX('×入力'!$A$1:$L$1300,791+CR$3,1)&lt;&gt;""),1,0),0)</f>
        <v/>
      </c>
      <c r="CS38">
        <f>IF(CS$4=1,IF(OR(INDEX('×入力'!$A$1:$L$1300,791+CS$3,2+CS$2)&lt;&gt;"",INDEX('×入力'!$A$1:$L$1300,790,2+CS$2)&lt;&gt;"",INDEX('×入力'!$A$1:$L$1300,791+CS$3,1)&lt;&gt;""),1,0),0)</f>
        <v/>
      </c>
      <c r="CT38">
        <f>IF(CT$4=1,IF(OR(INDEX('×入力'!$A$1:$L$1300,791+CT$3,2+CT$2)&lt;&gt;"",INDEX('×入力'!$A$1:$L$1300,790,2+CT$2)&lt;&gt;"",INDEX('×入力'!$A$1:$L$1300,791+CT$3,1)&lt;&gt;""),1,0),0)</f>
        <v/>
      </c>
      <c r="CU38">
        <f>IF(CU$4=1,IF(OR(INDEX('×入力'!$A$1:$L$1300,791+CU$3,2+CU$2)&lt;&gt;"",INDEX('×入力'!$A$1:$L$1300,790,2+CU$2)&lt;&gt;"",INDEX('×入力'!$A$1:$L$1300,791+CU$3,1)&lt;&gt;""),1,0),0)</f>
        <v/>
      </c>
      <c r="CV38">
        <f>IF(CV$4=1,IF(OR(INDEX('×入力'!$A$1:$L$1300,791+CV$3,2+CV$2)&lt;&gt;"",INDEX('×入力'!$A$1:$L$1300,790,2+CV$2)&lt;&gt;"",INDEX('×入力'!$A$1:$L$1300,791+CV$3,1)&lt;&gt;""),1,0),0)</f>
        <v/>
      </c>
      <c r="CW38">
        <f>IF(CW$4=1,IF(OR(INDEX('×入力'!$A$1:$L$1300,791+CW$3,2+CW$2)&lt;&gt;"",INDEX('×入力'!$A$1:$L$1300,790,2+CW$2)&lt;&gt;"",INDEX('×入力'!$A$1:$L$1300,791+CW$3,1)&lt;&gt;""),1,0),0)</f>
        <v/>
      </c>
      <c r="CX38">
        <f>IF(CX$4=1,IF(OR(INDEX('×入力'!$A$1:$L$1300,791+CX$3,2+CX$2)&lt;&gt;"",INDEX('×入力'!$A$1:$L$1300,790,2+CX$2)&lt;&gt;"",INDEX('×入力'!$A$1:$L$1300,791+CX$3,1)&lt;&gt;""),1,0),0)</f>
        <v/>
      </c>
      <c r="CY38">
        <f>IF(CY$4=1,IF(OR(INDEX('×入力'!$A$1:$L$1300,791+CY$3,2+CY$2)&lt;&gt;"",INDEX('×入力'!$A$1:$L$1300,790,2+CY$2)&lt;&gt;"",INDEX('×入力'!$A$1:$L$1300,791+CY$3,1)&lt;&gt;""),1,0),0)</f>
        <v/>
      </c>
      <c r="CZ38">
        <f>IF(CZ$4=1,IF(OR(INDEX('×入力'!$A$1:$L$1300,791+CZ$3,2+CZ$2)&lt;&gt;"",INDEX('×入力'!$A$1:$L$1300,790,2+CZ$2)&lt;&gt;"",INDEX('×入力'!$A$1:$L$1300,791+CZ$3,1)&lt;&gt;""),1,0),0)</f>
        <v/>
      </c>
      <c r="DA38">
        <f>IF(DA$4=1,IF(OR(INDEX('×入力'!$A$1:$L$1300,791+DA$3,2+DA$2)&lt;&gt;"",INDEX('×入力'!$A$1:$L$1300,790,2+DA$2)&lt;&gt;"",INDEX('×入力'!$A$1:$L$1300,791+DA$3,1)&lt;&gt;""),1,0),0)</f>
        <v/>
      </c>
      <c r="DB38">
        <f>IF(DB$4=1,IF(OR(INDEX('×入力'!$A$1:$L$1300,791+DB$3,2+DB$2)&lt;&gt;"",INDEX('×入力'!$A$1:$L$1300,790,2+DB$2)&lt;&gt;"",INDEX('×入力'!$A$1:$L$1300,791+DB$3,1)&lt;&gt;""),1,0),0)</f>
        <v/>
      </c>
      <c r="DC38">
        <f>IF(DC$4=1,IF(OR(INDEX('×入力'!$A$1:$L$1300,791+DC$3,2+DC$2)&lt;&gt;"",INDEX('×入力'!$A$1:$L$1300,790,2+DC$2)&lt;&gt;"",INDEX('×入力'!$A$1:$L$1300,791+DC$3,1)&lt;&gt;""),1,0),0)</f>
        <v/>
      </c>
      <c r="DD38">
        <f>IF(DD$4=1,IF(OR(INDEX('×入力'!$A$1:$L$1300,791+DD$3,2+DD$2)&lt;&gt;"",INDEX('×入力'!$A$1:$L$1300,790,2+DD$2)&lt;&gt;"",INDEX('×入力'!$A$1:$L$1300,791+DD$3,1)&lt;&gt;""),1,0),0)</f>
        <v/>
      </c>
      <c r="DE38">
        <f>IF(DE$4=1,IF(OR(INDEX('×入力'!$A$1:$L$1300,791+DE$3,2+DE$2)&lt;&gt;"",INDEX('×入力'!$A$1:$L$1300,790,2+DE$2)&lt;&gt;"",INDEX('×入力'!$A$1:$L$1300,791+DE$3,1)&lt;&gt;""),1,0),0)</f>
        <v/>
      </c>
      <c r="DF38">
        <f>IF(DF$4=1,IF(OR(INDEX('×入力'!$A$1:$L$1300,791+DF$3,2+DF$2)&lt;&gt;"",INDEX('×入力'!$A$1:$L$1300,790,2+DF$2)&lt;&gt;"",INDEX('×入力'!$A$1:$L$1300,791+DF$3,1)&lt;&gt;""),1,0),0)</f>
        <v/>
      </c>
      <c r="DG38">
        <f>IF(DG$4=1,IF(OR(INDEX('×入力'!$A$1:$L$1300,791+DG$3,2+DG$2)&lt;&gt;"",INDEX('×入力'!$A$1:$L$1300,790,2+DG$2)&lt;&gt;"",INDEX('×入力'!$A$1:$L$1300,791+DG$3,1)&lt;&gt;""),1,0),0)</f>
        <v/>
      </c>
      <c r="DH38">
        <f>IF(DH$4=1,IF(OR(INDEX('×入力'!$A$1:$L$1300,791+DH$3,2+DH$2)&lt;&gt;"",INDEX('×入力'!$A$1:$L$1300,790,2+DH$2)&lt;&gt;"",INDEX('×入力'!$A$1:$L$1300,791+DH$3,1)&lt;&gt;""),1,0),0)</f>
        <v/>
      </c>
      <c r="DI38">
        <f>IF(DI$4=1,IF(OR(INDEX('×入力'!$A$1:$L$1300,791+DI$3,2+DI$2)&lt;&gt;"",INDEX('×入力'!$A$1:$L$1300,790,2+DI$2)&lt;&gt;"",INDEX('×入力'!$A$1:$L$1300,791+DI$3,1)&lt;&gt;""),1,0),0)</f>
        <v/>
      </c>
      <c r="DJ38">
        <f>IF(DJ$4=1,IF(OR(INDEX('×入力'!$A$1:$L$1300,791+DJ$3,2+DJ$2)&lt;&gt;"",INDEX('×入力'!$A$1:$L$1300,790,2+DJ$2)&lt;&gt;"",INDEX('×入力'!$A$1:$L$1300,791+DJ$3,1)&lt;&gt;""),1,0),0)</f>
        <v/>
      </c>
      <c r="DK38">
        <f>IF(DK$4=1,IF(OR(INDEX('×入力'!$A$1:$L$1300,791+DK$3,2+DK$2)&lt;&gt;"",INDEX('×入力'!$A$1:$L$1300,790,2+DK$2)&lt;&gt;"",INDEX('×入力'!$A$1:$L$1300,791+DK$3,1)&lt;&gt;""),1,0),0)</f>
        <v/>
      </c>
      <c r="DL38">
        <f>IF(DL$4=1,IF(OR(INDEX('×入力'!$A$1:$L$1300,791+DL$3,2+DL$2)&lt;&gt;"",INDEX('×入力'!$A$1:$L$1300,790,2+DL$2)&lt;&gt;"",INDEX('×入力'!$A$1:$L$1300,791+DL$3,1)&lt;&gt;""),1,0),0)</f>
        <v/>
      </c>
      <c r="DM38">
        <f>IF(DM$4=1,IF(OR(INDEX('×入力'!$A$1:$L$1300,791+DM$3,2+DM$2)&lt;&gt;"",INDEX('×入力'!$A$1:$L$1300,790,2+DM$2)&lt;&gt;"",INDEX('×入力'!$A$1:$L$1300,791+DM$3,1)&lt;&gt;""),1,0),0)</f>
        <v/>
      </c>
      <c r="DN38">
        <f>IF(DN$4=1,IF(OR(INDEX('×入力'!$A$1:$L$1300,791+DN$3,2+DN$2)&lt;&gt;"",INDEX('×入力'!$A$1:$L$1300,790,2+DN$2)&lt;&gt;"",INDEX('×入力'!$A$1:$L$1300,791+DN$3,1)&lt;&gt;""),1,0),0)</f>
        <v/>
      </c>
      <c r="DO38">
        <f>IF(DO$4=1,IF(OR(INDEX('×入力'!$A$1:$L$1300,791+DO$3,2+DO$2)&lt;&gt;"",INDEX('×入力'!$A$1:$L$1300,790,2+DO$2)&lt;&gt;"",INDEX('×入力'!$A$1:$L$1300,791+DO$3,1)&lt;&gt;""),1,0),0)</f>
        <v/>
      </c>
      <c r="DP38">
        <f>IF(DP$4=1,IF(OR(INDEX('×入力'!$A$1:$L$1300,791+DP$3,2+DP$2)&lt;&gt;"",INDEX('×入力'!$A$1:$L$1300,790,2+DP$2)&lt;&gt;"",INDEX('×入力'!$A$1:$L$1300,791+DP$3,1)&lt;&gt;""),1,0),0)</f>
        <v/>
      </c>
      <c r="DQ38">
        <f>IF(DQ$4=1,IF(OR(INDEX('×入力'!$A$1:$L$1300,791+DQ$3,2+DQ$2)&lt;&gt;"",INDEX('×入力'!$A$1:$L$1300,790,2+DQ$2)&lt;&gt;"",INDEX('×入力'!$A$1:$L$1300,791+DQ$3,1)&lt;&gt;""),1,0),0)</f>
        <v/>
      </c>
      <c r="DR38">
        <f>IF(DR$4=1,IF(OR(INDEX('×入力'!$A$1:$L$1300,791+DR$3,2+DR$2)&lt;&gt;"",INDEX('×入力'!$A$1:$L$1300,790,2+DR$2)&lt;&gt;"",INDEX('×入力'!$A$1:$L$1300,791+DR$3,1)&lt;&gt;""),1,0),0)</f>
        <v/>
      </c>
      <c r="DS38">
        <f>IF(DS$4=1,IF(OR(INDEX('×入力'!$A$1:$L$1300,791+DS$3,2+DS$2)&lt;&gt;"",INDEX('×入力'!$A$1:$L$1300,790,2+DS$2)&lt;&gt;"",INDEX('×入力'!$A$1:$L$1300,791+DS$3,1)&lt;&gt;""),1,0),0)</f>
        <v/>
      </c>
      <c r="DT38">
        <f>IF(DT$4=1,IF(OR(INDEX('×入力'!$A$1:$L$1300,791+DT$3,2+DT$2)&lt;&gt;"",INDEX('×入力'!$A$1:$L$1300,790,2+DT$2)&lt;&gt;"",INDEX('×入力'!$A$1:$L$1300,791+DT$3,1)&lt;&gt;""),1,0),0)</f>
        <v/>
      </c>
      <c r="DU38">
        <f>IF(DU$4=1,IF(OR(INDEX('×入力'!$A$1:$L$1300,791+DU$3,2+DU$2)&lt;&gt;"",INDEX('×入力'!$A$1:$L$1300,790,2+DU$2)&lt;&gt;"",INDEX('×入力'!$A$1:$L$1300,791+DU$3,1)&lt;&gt;""),1,0),0)</f>
        <v/>
      </c>
      <c r="DV38">
        <f>IF(DV$4=1,IF(OR(INDEX('×入力'!$A$1:$L$1300,791+DV$3,2+DV$2)&lt;&gt;"",INDEX('×入力'!$A$1:$L$1300,790,2+DV$2)&lt;&gt;"",INDEX('×入力'!$A$1:$L$1300,791+DV$3,1)&lt;&gt;""),1,0),0)</f>
        <v/>
      </c>
      <c r="DW38">
        <f>IF(DW$4=1,IF(OR(INDEX('×入力'!$A$1:$L$1300,791+DW$3,2+DW$2)&lt;&gt;"",INDEX('×入力'!$A$1:$L$1300,790,2+DW$2)&lt;&gt;"",INDEX('×入力'!$A$1:$L$1300,791+DW$3,1)&lt;&gt;""),1,0),0)</f>
        <v/>
      </c>
      <c r="DX38">
        <f>IF(DX$4=1,IF(OR(INDEX('×入力'!$A$1:$L$1300,791+DX$3,2+DX$2)&lt;&gt;"",INDEX('×入力'!$A$1:$L$1300,790,2+DX$2)&lt;&gt;"",INDEX('×入力'!$A$1:$L$1300,791+DX$3,1)&lt;&gt;""),1,0),0)</f>
        <v/>
      </c>
      <c r="DY38">
        <f>IF(DY$4=1,IF(OR(INDEX('×入力'!$A$1:$L$1300,791+DY$3,2+DY$2)&lt;&gt;"",INDEX('×入力'!$A$1:$L$1300,790,2+DY$2)&lt;&gt;"",INDEX('×入力'!$A$1:$L$1300,791+DY$3,1)&lt;&gt;""),1,0),0)</f>
        <v/>
      </c>
      <c r="DZ38">
        <f>IF(DZ$4=1,IF(OR(INDEX('×入力'!$A$1:$L$1300,791+DZ$3,2+DZ$2)&lt;&gt;"",INDEX('×入力'!$A$1:$L$1300,790,2+DZ$2)&lt;&gt;"",INDEX('×入力'!$A$1:$L$1300,791+DZ$3,1)&lt;&gt;""),1,0),0)</f>
        <v/>
      </c>
      <c r="EA38">
        <f>IF(EA$4=1,IF(OR(INDEX('×入力'!$A$1:$L$1300,791+EA$3,2+EA$2)&lt;&gt;"",INDEX('×入力'!$A$1:$L$1300,790,2+EA$2)&lt;&gt;"",INDEX('×入力'!$A$1:$L$1300,791+EA$3,1)&lt;&gt;""),1,0),0)</f>
        <v/>
      </c>
      <c r="EB38">
        <f>IF(EB$4=1,IF(OR(INDEX('×入力'!$A$1:$L$1300,791+EB$3,2+EB$2)&lt;&gt;"",INDEX('×入力'!$A$1:$L$1300,790,2+EB$2)&lt;&gt;"",INDEX('×入力'!$A$1:$L$1300,791+EB$3,1)&lt;&gt;""),1,0),0)</f>
        <v/>
      </c>
      <c r="EC38">
        <f>IF(EC$4=1,IF(OR(INDEX('×入力'!$A$1:$L$1300,791+EC$3,2+EC$2)&lt;&gt;"",INDEX('×入力'!$A$1:$L$1300,790,2+EC$2)&lt;&gt;"",INDEX('×入力'!$A$1:$L$1300,791+EC$3,1)&lt;&gt;""),1,0),0)</f>
        <v/>
      </c>
      <c r="ED38">
        <f>IF(ED$4=1,IF(OR(INDEX('×入力'!$A$1:$L$1300,791+ED$3,2+ED$2)&lt;&gt;"",INDEX('×入力'!$A$1:$L$1300,790,2+ED$2)&lt;&gt;"",INDEX('×入力'!$A$1:$L$1300,791+ED$3,1)&lt;&gt;""),1,0),0)</f>
        <v/>
      </c>
      <c r="EE38">
        <f>IF(EE$4=1,IF(OR(INDEX('×入力'!$A$1:$L$1300,791+EE$3,2+EE$2)&lt;&gt;"",INDEX('×入力'!$A$1:$L$1300,790,2+EE$2)&lt;&gt;"",INDEX('×入力'!$A$1:$L$1300,791+EE$3,1)&lt;&gt;""),1,0),0)</f>
        <v/>
      </c>
      <c r="EF38">
        <f>IF(EF$4=1,IF(OR(INDEX('×入力'!$A$1:$L$1300,791+EF$3,2+EF$2)&lt;&gt;"",INDEX('×入力'!$A$1:$L$1300,790,2+EF$2)&lt;&gt;"",INDEX('×入力'!$A$1:$L$1300,791+EF$3,1)&lt;&gt;""),1,0),0)</f>
        <v/>
      </c>
      <c r="EG38">
        <f>IF(EG$4=1,IF(OR(INDEX('×入力'!$A$1:$L$1300,791+EG$3,2+EG$2)&lt;&gt;"",INDEX('×入力'!$A$1:$L$1300,790,2+EG$2)&lt;&gt;"",INDEX('×入力'!$A$1:$L$1300,791+EG$3,1)&lt;&gt;""),1,0),0)</f>
        <v/>
      </c>
      <c r="EH38">
        <f>IF(EH$4=1,IF(OR(INDEX('×入力'!$A$1:$L$1300,791+EH$3,2+EH$2)&lt;&gt;"",INDEX('×入力'!$A$1:$L$1300,790,2+EH$2)&lt;&gt;"",INDEX('×入力'!$A$1:$L$1300,791+EH$3,1)&lt;&gt;""),1,0),0)</f>
        <v/>
      </c>
      <c r="EI38">
        <f>IF(EI$4=1,IF(OR(INDEX('×入力'!$A$1:$L$1300,791+EI$3,2+EI$2)&lt;&gt;"",INDEX('×入力'!$A$1:$L$1300,790,2+EI$2)&lt;&gt;"",INDEX('×入力'!$A$1:$L$1300,791+EI$3,1)&lt;&gt;""),1,0),0)</f>
        <v/>
      </c>
      <c r="EJ38">
        <f>IF(EJ$4=1,IF(OR(INDEX('×入力'!$A$1:$L$1300,791+EJ$3,2+EJ$2)&lt;&gt;"",INDEX('×入力'!$A$1:$L$1300,790,2+EJ$2)&lt;&gt;"",INDEX('×入力'!$A$1:$L$1300,791+EJ$3,1)&lt;&gt;""),1,0),0)</f>
        <v/>
      </c>
      <c r="EK38">
        <f>IF(EK$4=1,IF(OR(INDEX('×入力'!$A$1:$L$1300,791+EK$3,2+EK$2)&lt;&gt;"",INDEX('×入力'!$A$1:$L$1300,790,2+EK$2)&lt;&gt;"",INDEX('×入力'!$A$1:$L$1300,791+EK$3,1)&lt;&gt;""),1,0),0)</f>
        <v/>
      </c>
      <c r="EL38">
        <f>IF(EL$4=1,IF(OR(INDEX('×入力'!$A$1:$L$1300,791+EL$3,2+EL$2)&lt;&gt;"",INDEX('×入力'!$A$1:$L$1300,790,2+EL$2)&lt;&gt;"",INDEX('×入力'!$A$1:$L$1300,791+EL$3,1)&lt;&gt;""),1,0),0)</f>
        <v/>
      </c>
      <c r="EM38">
        <f>IF(EM$4=1,IF(OR(INDEX('×入力'!$A$1:$L$1300,791+EM$3,2+EM$2)&lt;&gt;"",INDEX('×入力'!$A$1:$L$1300,790,2+EM$2)&lt;&gt;"",INDEX('×入力'!$A$1:$L$1300,791+EM$3,1)&lt;&gt;""),1,0),0)</f>
        <v/>
      </c>
      <c r="EN38">
        <f>IF(EN$4=1,IF(OR(INDEX('×入力'!$A$1:$L$1300,791+EN$3,2+EN$2)&lt;&gt;"",INDEX('×入力'!$A$1:$L$1300,790,2+EN$2)&lt;&gt;"",INDEX('×入力'!$A$1:$L$1300,791+EN$3,1)&lt;&gt;""),1,0),0)</f>
        <v/>
      </c>
      <c r="EO38">
        <f>IF(EO$4=1,IF(OR(INDEX('×入力'!$A$1:$L$1300,791+EO$3,2+EO$2)&lt;&gt;"",INDEX('×入力'!$A$1:$L$1300,790,2+EO$2)&lt;&gt;"",INDEX('×入力'!$A$1:$L$1300,791+EO$3,1)&lt;&gt;""),1,0),0)</f>
        <v/>
      </c>
      <c r="EP38">
        <f>IF(EP$4=1,IF(OR(INDEX('×入力'!$A$1:$L$1300,791+EP$3,2+EP$2)&lt;&gt;"",INDEX('×入力'!$A$1:$L$1300,790,2+EP$2)&lt;&gt;"",INDEX('×入力'!$A$1:$L$1300,791+EP$3,1)&lt;&gt;""),1,0),0)</f>
        <v/>
      </c>
      <c r="EQ38">
        <f>IF(EQ$4=1,IF(OR(INDEX('×入力'!$A$1:$L$1300,791+EQ$3,2+EQ$2)&lt;&gt;"",INDEX('×入力'!$A$1:$L$1300,790,2+EQ$2)&lt;&gt;"",INDEX('×入力'!$A$1:$L$1300,791+EQ$3,1)&lt;&gt;""),1,0),0)</f>
        <v/>
      </c>
      <c r="HA38">
        <f>MAX(0,IT38)</f>
        <v/>
      </c>
      <c r="HB38">
        <f>IF(HA38=0,0,INDEX($D$2:$EQ$2,HA38))</f>
        <v/>
      </c>
      <c r="HC38">
        <f>IF(HA38=0,0,INDEX($D$3:$EQ$3,HA38))</f>
        <v/>
      </c>
      <c r="HD38">
        <f>MAX(0,IY38)</f>
        <v/>
      </c>
      <c r="HE38">
        <f>IF(HD38=0,0,INDEX($D$2:$EQ$2,HD38))</f>
        <v/>
      </c>
      <c r="HF38">
        <f>IF(HD38=0,0,INDEX($D$3:$EQ$3,HD38))</f>
        <v/>
      </c>
      <c r="HG38">
        <f>MAX(0,IZ38)</f>
        <v/>
      </c>
      <c r="HH38">
        <f>IF(HG38=0,0,INDEX($D$2:$EQ$2,HG38))</f>
        <v/>
      </c>
      <c r="HI38">
        <f>IF(HG38=0,0,INDEX($D$3:$EQ$3,HG38))</f>
        <v/>
      </c>
      <c r="HJ38">
        <f>IF(AND(HA38&gt;0,HC38&gt;1,OR(HC38-1&lt;&gt;$A$3,$A$4=0)),HA38-1,-1)</f>
        <v/>
      </c>
      <c r="HK38">
        <f>IF(AND(HA38&gt;0,HC38&lt;24,OR(HC38&lt;&gt;$A$3,$A$4=0)),HA38+1,-1)</f>
        <v/>
      </c>
      <c r="HL38">
        <f>IF(AND(HD38&gt;0,HF38&gt;1,OR(HF38-1&lt;&gt;$A$3,$A$4=0)),HD38-1,-1)</f>
        <v/>
      </c>
      <c r="HM38">
        <f>IF(AND(HD38&gt;0,HF38&lt;24,OR(HF38&lt;&gt;$A$3,$A$4=0)),HD38+1,-1)</f>
        <v/>
      </c>
      <c r="HN38">
        <f>IF(AND(HG38&gt;0,HI38&gt;1,OR(HI38-1&lt;&gt;$A$3,$A$4=0)),HG38-1,-1)</f>
        <v/>
      </c>
      <c r="HO38">
        <f>IF(AND(HG38&gt;0,HI38&lt;24,OR(HI38&lt;&gt;$A$3,$A$4=0)),HG38+1,-1)</f>
        <v/>
      </c>
      <c r="IK38">
        <f>IFERROR(INDEX('calcB'!$C$3:$C$47,MATCH(A38,'calcB'!$B$3:$B$47,0)),0)</f>
        <v/>
      </c>
      <c r="IL38">
        <f>IF(AND(C38=1,IK38=0,calcA!$A$6&gt;0),1,0)</f>
        <v/>
      </c>
      <c r="IM38">
        <f>SUMPRODUCT(D88:EQ88*(1-$D$7:$EQ$7))</f>
        <v/>
      </c>
      <c r="IN38">
        <f>SUM(D38:EQ38)</f>
        <v/>
      </c>
      <c r="IO38">
        <f>IF(B38="",0,IF(COUNTIF('調整・決定'!$C$6:$H$29,B38)=1,SUMPRODUCT(('調整・決定'!$C$6:$H$29=B38)*((COLUMN('調整・決定'!$C$6:$H$29)-3)*24+ROW('調整・決定'!$C$6:$H$29)-5)),0))</f>
        <v/>
      </c>
      <c r="IP38">
        <f>IFERROR(MATCH('名簿'!C33,{"早い時刻","遅い時刻","早い日","遅い日"},0),0)</f>
        <v/>
      </c>
      <c r="IQ38">
        <f>IF('名簿'!D33="必ず空けたい",2,IF('名簿'!D33="出来れば空けたい",1,0))</f>
        <v/>
      </c>
      <c r="IR38">
        <f>IFERROR(INDEX('calcC'!$C$3:$C$47,MATCH(A38,'calcC'!$B$3:$B$47,0)),0)</f>
        <v/>
      </c>
      <c r="IS38">
        <f>IF(AND(C38=1,IR38=0,calcA!$A$6&gt;0),1,0)</f>
        <v/>
      </c>
      <c r="IT38">
        <f>IF(OR('名簿'!G33="",'名簿'!H33=""),0,IFERROR((MATCH('名簿'!G33,'設定'!$E$11:$E$16,0)-1)*24+MATCH('名簿'!H33,'設定'!$I$11:$I$34,0),-1))</f>
        <v/>
      </c>
      <c r="IV38">
        <f>IF(OR(JF38=0,IO38=0),1,IF(OR(IF(IT38&gt;0,AND(INDEX($D$2:$EQ$2,IO38)=INDEX($D$2:$EQ$2,IT38),OR(AND(IO38=IT38+1,OR(INDEX($D$3:$EQ$3,IT38)&lt;&gt;$A$3,$A$4=0)),AND(IO38=IT38-1,OR(INDEX($D$3:$EQ$3,IO38)&lt;&gt;$A$3,$A$4=0)))),FALSE),IF(IY38&gt;0,AND(INDEX($D$2:$EQ$2,IO38)=INDEX($D$2:$EQ$2,IY38),OR(AND(IO38=IY38+1,OR(INDEX($D$3:$EQ$3,IY38)&lt;&gt;$A$3,$A$4=0)),AND(IO38=IY38-1,OR(INDEX($D$3:$EQ$3,IO38)&lt;&gt;$A$3,$A$4=0)))),FALSE),IF(IZ38&gt;0,AND(INDEX($D$2:$EQ$2,IO38)=INDEX($D$2:$EQ$2,IZ38),OR(AND(IO38=IZ38+1,OR(INDEX($D$3:$EQ$3,IZ38)&lt;&gt;$A$3,$A$4=0)),AND(IO38=IZ38-1,OR(INDEX($D$3:$EQ$3,IO38)&lt;&gt;$A$3,$A$4=0)))),FALSE)),1,0))</f>
        <v/>
      </c>
      <c r="IW38">
        <f>IF(AND('名簿'!E33&lt;&gt;"",JF38=0),1,0)</f>
        <v/>
      </c>
      <c r="IX38">
        <f>IF('名簿'!D33="空けない",1,0)</f>
        <v/>
      </c>
      <c r="IY38">
        <f>IF(OR('名簿'!J33="",'名簿'!K33=""),0,IFERROR((MATCH('名簿'!J33,'設定'!$E$11:$E$16,0)-1)*24+MATCH('名簿'!K33,'設定'!$I$11:$I$34,0),-1))</f>
        <v/>
      </c>
      <c r="IZ38">
        <f>IF(OR('名簿'!M33="",'名簿'!N33=""),0,IFERROR((MATCH('名簿'!M33,'設定'!$E$11:$E$16,0)-1)*24+MATCH('名簿'!N33,'設定'!$I$11:$I$34,0),-1))</f>
        <v/>
      </c>
      <c r="JC38">
        <f>IF(RIGHT('名簿'!I33,2)="の前",1,IF(RIGHT('名簿'!I33,2)="の後",2,0))</f>
        <v/>
      </c>
      <c r="JD38">
        <f>IF(RIGHT('名簿'!L33,2)="の前",1,IF(RIGHT('名簿'!L33,2)="の後",2,0))</f>
        <v/>
      </c>
      <c r="JE38">
        <f>IF(RIGHT('名簿'!O33,2)="の前",1,IF(RIGHT('名簿'!O33,2)="の後",2,0))</f>
        <v/>
      </c>
      <c r="JF38">
        <f>IF(OR(IT38&gt;0,IY38&gt;0,IZ38&gt;0),1,0)</f>
        <v/>
      </c>
      <c r="JG38">
        <f>IF(OR(IT38&lt;0,IY38&lt;0,IZ38&lt;0),1,0)</f>
        <v/>
      </c>
    </row>
    <row r="39">
      <c r="A39" t="n">
        <v>30</v>
      </c>
      <c r="B39">
        <f>'名簿'!P34</f>
        <v/>
      </c>
      <c r="C39">
        <f>IF(AND(B39&lt;&gt;"",OR('名簿'!Q34="入力済み",'名簿'!Q34="×なし"),IO39=0,COUNTIF('調整・決定'!$C$6:$H$29,B39)=0),1,0)</f>
        <v/>
      </c>
      <c r="D39">
        <f>IF(D$4=1,IF(OR(INDEX('×入力'!$A$1:$L$1300,819+D$3,2+D$2)&lt;&gt;"",INDEX('×入力'!$A$1:$L$1300,818,2+D$2)&lt;&gt;"",INDEX('×入力'!$A$1:$L$1300,819+D$3,1)&lt;&gt;""),1,0),0)</f>
        <v/>
      </c>
      <c r="E39">
        <f>IF(E$4=1,IF(OR(INDEX('×入力'!$A$1:$L$1300,819+E$3,2+E$2)&lt;&gt;"",INDEX('×入力'!$A$1:$L$1300,818,2+E$2)&lt;&gt;"",INDEX('×入力'!$A$1:$L$1300,819+E$3,1)&lt;&gt;""),1,0),0)</f>
        <v/>
      </c>
      <c r="F39">
        <f>IF(F$4=1,IF(OR(INDEX('×入力'!$A$1:$L$1300,819+F$3,2+F$2)&lt;&gt;"",INDEX('×入力'!$A$1:$L$1300,818,2+F$2)&lt;&gt;"",INDEX('×入力'!$A$1:$L$1300,819+F$3,1)&lt;&gt;""),1,0),0)</f>
        <v/>
      </c>
      <c r="G39">
        <f>IF(G$4=1,IF(OR(INDEX('×入力'!$A$1:$L$1300,819+G$3,2+G$2)&lt;&gt;"",INDEX('×入力'!$A$1:$L$1300,818,2+G$2)&lt;&gt;"",INDEX('×入力'!$A$1:$L$1300,819+G$3,1)&lt;&gt;""),1,0),0)</f>
        <v/>
      </c>
      <c r="H39">
        <f>IF(H$4=1,IF(OR(INDEX('×入力'!$A$1:$L$1300,819+H$3,2+H$2)&lt;&gt;"",INDEX('×入力'!$A$1:$L$1300,818,2+H$2)&lt;&gt;"",INDEX('×入力'!$A$1:$L$1300,819+H$3,1)&lt;&gt;""),1,0),0)</f>
        <v/>
      </c>
      <c r="I39">
        <f>IF(I$4=1,IF(OR(INDEX('×入力'!$A$1:$L$1300,819+I$3,2+I$2)&lt;&gt;"",INDEX('×入力'!$A$1:$L$1300,818,2+I$2)&lt;&gt;"",INDEX('×入力'!$A$1:$L$1300,819+I$3,1)&lt;&gt;""),1,0),0)</f>
        <v/>
      </c>
      <c r="J39">
        <f>IF(J$4=1,IF(OR(INDEX('×入力'!$A$1:$L$1300,819+J$3,2+J$2)&lt;&gt;"",INDEX('×入力'!$A$1:$L$1300,818,2+J$2)&lt;&gt;"",INDEX('×入力'!$A$1:$L$1300,819+J$3,1)&lt;&gt;""),1,0),0)</f>
        <v/>
      </c>
      <c r="K39">
        <f>IF(K$4=1,IF(OR(INDEX('×入力'!$A$1:$L$1300,819+K$3,2+K$2)&lt;&gt;"",INDEX('×入力'!$A$1:$L$1300,818,2+K$2)&lt;&gt;"",INDEX('×入力'!$A$1:$L$1300,819+K$3,1)&lt;&gt;""),1,0),0)</f>
        <v/>
      </c>
      <c r="L39">
        <f>IF(L$4=1,IF(OR(INDEX('×入力'!$A$1:$L$1300,819+L$3,2+L$2)&lt;&gt;"",INDEX('×入力'!$A$1:$L$1300,818,2+L$2)&lt;&gt;"",INDEX('×入力'!$A$1:$L$1300,819+L$3,1)&lt;&gt;""),1,0),0)</f>
        <v/>
      </c>
      <c r="M39">
        <f>IF(M$4=1,IF(OR(INDEX('×入力'!$A$1:$L$1300,819+M$3,2+M$2)&lt;&gt;"",INDEX('×入力'!$A$1:$L$1300,818,2+M$2)&lt;&gt;"",INDEX('×入力'!$A$1:$L$1300,819+M$3,1)&lt;&gt;""),1,0),0)</f>
        <v/>
      </c>
      <c r="N39">
        <f>IF(N$4=1,IF(OR(INDEX('×入力'!$A$1:$L$1300,819+N$3,2+N$2)&lt;&gt;"",INDEX('×入力'!$A$1:$L$1300,818,2+N$2)&lt;&gt;"",INDEX('×入力'!$A$1:$L$1300,819+N$3,1)&lt;&gt;""),1,0),0)</f>
        <v/>
      </c>
      <c r="O39">
        <f>IF(O$4=1,IF(OR(INDEX('×入力'!$A$1:$L$1300,819+O$3,2+O$2)&lt;&gt;"",INDEX('×入力'!$A$1:$L$1300,818,2+O$2)&lt;&gt;"",INDEX('×入力'!$A$1:$L$1300,819+O$3,1)&lt;&gt;""),1,0),0)</f>
        <v/>
      </c>
      <c r="P39">
        <f>IF(P$4=1,IF(OR(INDEX('×入力'!$A$1:$L$1300,819+P$3,2+P$2)&lt;&gt;"",INDEX('×入力'!$A$1:$L$1300,818,2+P$2)&lt;&gt;"",INDEX('×入力'!$A$1:$L$1300,819+P$3,1)&lt;&gt;""),1,0),0)</f>
        <v/>
      </c>
      <c r="Q39">
        <f>IF(Q$4=1,IF(OR(INDEX('×入力'!$A$1:$L$1300,819+Q$3,2+Q$2)&lt;&gt;"",INDEX('×入力'!$A$1:$L$1300,818,2+Q$2)&lt;&gt;"",INDEX('×入力'!$A$1:$L$1300,819+Q$3,1)&lt;&gt;""),1,0),0)</f>
        <v/>
      </c>
      <c r="R39">
        <f>IF(R$4=1,IF(OR(INDEX('×入力'!$A$1:$L$1300,819+R$3,2+R$2)&lt;&gt;"",INDEX('×入力'!$A$1:$L$1300,818,2+R$2)&lt;&gt;"",INDEX('×入力'!$A$1:$L$1300,819+R$3,1)&lt;&gt;""),1,0),0)</f>
        <v/>
      </c>
      <c r="S39">
        <f>IF(S$4=1,IF(OR(INDEX('×入力'!$A$1:$L$1300,819+S$3,2+S$2)&lt;&gt;"",INDEX('×入力'!$A$1:$L$1300,818,2+S$2)&lt;&gt;"",INDEX('×入力'!$A$1:$L$1300,819+S$3,1)&lt;&gt;""),1,0),0)</f>
        <v/>
      </c>
      <c r="T39">
        <f>IF(T$4=1,IF(OR(INDEX('×入力'!$A$1:$L$1300,819+T$3,2+T$2)&lt;&gt;"",INDEX('×入力'!$A$1:$L$1300,818,2+T$2)&lt;&gt;"",INDEX('×入力'!$A$1:$L$1300,819+T$3,1)&lt;&gt;""),1,0),0)</f>
        <v/>
      </c>
      <c r="U39">
        <f>IF(U$4=1,IF(OR(INDEX('×入力'!$A$1:$L$1300,819+U$3,2+U$2)&lt;&gt;"",INDEX('×入力'!$A$1:$L$1300,818,2+U$2)&lt;&gt;"",INDEX('×入力'!$A$1:$L$1300,819+U$3,1)&lt;&gt;""),1,0),0)</f>
        <v/>
      </c>
      <c r="V39">
        <f>IF(V$4=1,IF(OR(INDEX('×入力'!$A$1:$L$1300,819+V$3,2+V$2)&lt;&gt;"",INDEX('×入力'!$A$1:$L$1300,818,2+V$2)&lt;&gt;"",INDEX('×入力'!$A$1:$L$1300,819+V$3,1)&lt;&gt;""),1,0),0)</f>
        <v/>
      </c>
      <c r="W39">
        <f>IF(W$4=1,IF(OR(INDEX('×入力'!$A$1:$L$1300,819+W$3,2+W$2)&lt;&gt;"",INDEX('×入力'!$A$1:$L$1300,818,2+W$2)&lt;&gt;"",INDEX('×入力'!$A$1:$L$1300,819+W$3,1)&lt;&gt;""),1,0),0)</f>
        <v/>
      </c>
      <c r="X39">
        <f>IF(X$4=1,IF(OR(INDEX('×入力'!$A$1:$L$1300,819+X$3,2+X$2)&lt;&gt;"",INDEX('×入力'!$A$1:$L$1300,818,2+X$2)&lt;&gt;"",INDEX('×入力'!$A$1:$L$1300,819+X$3,1)&lt;&gt;""),1,0),0)</f>
        <v/>
      </c>
      <c r="Y39">
        <f>IF(Y$4=1,IF(OR(INDEX('×入力'!$A$1:$L$1300,819+Y$3,2+Y$2)&lt;&gt;"",INDEX('×入力'!$A$1:$L$1300,818,2+Y$2)&lt;&gt;"",INDEX('×入力'!$A$1:$L$1300,819+Y$3,1)&lt;&gt;""),1,0),0)</f>
        <v/>
      </c>
      <c r="Z39">
        <f>IF(Z$4=1,IF(OR(INDEX('×入力'!$A$1:$L$1300,819+Z$3,2+Z$2)&lt;&gt;"",INDEX('×入力'!$A$1:$L$1300,818,2+Z$2)&lt;&gt;"",INDEX('×入力'!$A$1:$L$1300,819+Z$3,1)&lt;&gt;""),1,0),0)</f>
        <v/>
      </c>
      <c r="AA39">
        <f>IF(AA$4=1,IF(OR(INDEX('×入力'!$A$1:$L$1300,819+AA$3,2+AA$2)&lt;&gt;"",INDEX('×入力'!$A$1:$L$1300,818,2+AA$2)&lt;&gt;"",INDEX('×入力'!$A$1:$L$1300,819+AA$3,1)&lt;&gt;""),1,0),0)</f>
        <v/>
      </c>
      <c r="AB39">
        <f>IF(AB$4=1,IF(OR(INDEX('×入力'!$A$1:$L$1300,819+AB$3,2+AB$2)&lt;&gt;"",INDEX('×入力'!$A$1:$L$1300,818,2+AB$2)&lt;&gt;"",INDEX('×入力'!$A$1:$L$1300,819+AB$3,1)&lt;&gt;""),1,0),0)</f>
        <v/>
      </c>
      <c r="AC39">
        <f>IF(AC$4=1,IF(OR(INDEX('×入力'!$A$1:$L$1300,819+AC$3,2+AC$2)&lt;&gt;"",INDEX('×入力'!$A$1:$L$1300,818,2+AC$2)&lt;&gt;"",INDEX('×入力'!$A$1:$L$1300,819+AC$3,1)&lt;&gt;""),1,0),0)</f>
        <v/>
      </c>
      <c r="AD39">
        <f>IF(AD$4=1,IF(OR(INDEX('×入力'!$A$1:$L$1300,819+AD$3,2+AD$2)&lt;&gt;"",INDEX('×入力'!$A$1:$L$1300,818,2+AD$2)&lt;&gt;"",INDEX('×入力'!$A$1:$L$1300,819+AD$3,1)&lt;&gt;""),1,0),0)</f>
        <v/>
      </c>
      <c r="AE39">
        <f>IF(AE$4=1,IF(OR(INDEX('×入力'!$A$1:$L$1300,819+AE$3,2+AE$2)&lt;&gt;"",INDEX('×入力'!$A$1:$L$1300,818,2+AE$2)&lt;&gt;"",INDEX('×入力'!$A$1:$L$1300,819+AE$3,1)&lt;&gt;""),1,0),0)</f>
        <v/>
      </c>
      <c r="AF39">
        <f>IF(AF$4=1,IF(OR(INDEX('×入力'!$A$1:$L$1300,819+AF$3,2+AF$2)&lt;&gt;"",INDEX('×入力'!$A$1:$L$1300,818,2+AF$2)&lt;&gt;"",INDEX('×入力'!$A$1:$L$1300,819+AF$3,1)&lt;&gt;""),1,0),0)</f>
        <v/>
      </c>
      <c r="AG39">
        <f>IF(AG$4=1,IF(OR(INDEX('×入力'!$A$1:$L$1300,819+AG$3,2+AG$2)&lt;&gt;"",INDEX('×入力'!$A$1:$L$1300,818,2+AG$2)&lt;&gt;"",INDEX('×入力'!$A$1:$L$1300,819+AG$3,1)&lt;&gt;""),1,0),0)</f>
        <v/>
      </c>
      <c r="AH39">
        <f>IF(AH$4=1,IF(OR(INDEX('×入力'!$A$1:$L$1300,819+AH$3,2+AH$2)&lt;&gt;"",INDEX('×入力'!$A$1:$L$1300,818,2+AH$2)&lt;&gt;"",INDEX('×入力'!$A$1:$L$1300,819+AH$3,1)&lt;&gt;""),1,0),0)</f>
        <v/>
      </c>
      <c r="AI39">
        <f>IF(AI$4=1,IF(OR(INDEX('×入力'!$A$1:$L$1300,819+AI$3,2+AI$2)&lt;&gt;"",INDEX('×入力'!$A$1:$L$1300,818,2+AI$2)&lt;&gt;"",INDEX('×入力'!$A$1:$L$1300,819+AI$3,1)&lt;&gt;""),1,0),0)</f>
        <v/>
      </c>
      <c r="AJ39">
        <f>IF(AJ$4=1,IF(OR(INDEX('×入力'!$A$1:$L$1300,819+AJ$3,2+AJ$2)&lt;&gt;"",INDEX('×入力'!$A$1:$L$1300,818,2+AJ$2)&lt;&gt;"",INDEX('×入力'!$A$1:$L$1300,819+AJ$3,1)&lt;&gt;""),1,0),0)</f>
        <v/>
      </c>
      <c r="AK39">
        <f>IF(AK$4=1,IF(OR(INDEX('×入力'!$A$1:$L$1300,819+AK$3,2+AK$2)&lt;&gt;"",INDEX('×入力'!$A$1:$L$1300,818,2+AK$2)&lt;&gt;"",INDEX('×入力'!$A$1:$L$1300,819+AK$3,1)&lt;&gt;""),1,0),0)</f>
        <v/>
      </c>
      <c r="AL39">
        <f>IF(AL$4=1,IF(OR(INDEX('×入力'!$A$1:$L$1300,819+AL$3,2+AL$2)&lt;&gt;"",INDEX('×入力'!$A$1:$L$1300,818,2+AL$2)&lt;&gt;"",INDEX('×入力'!$A$1:$L$1300,819+AL$3,1)&lt;&gt;""),1,0),0)</f>
        <v/>
      </c>
      <c r="AM39">
        <f>IF(AM$4=1,IF(OR(INDEX('×入力'!$A$1:$L$1300,819+AM$3,2+AM$2)&lt;&gt;"",INDEX('×入力'!$A$1:$L$1300,818,2+AM$2)&lt;&gt;"",INDEX('×入力'!$A$1:$L$1300,819+AM$3,1)&lt;&gt;""),1,0),0)</f>
        <v/>
      </c>
      <c r="AN39">
        <f>IF(AN$4=1,IF(OR(INDEX('×入力'!$A$1:$L$1300,819+AN$3,2+AN$2)&lt;&gt;"",INDEX('×入力'!$A$1:$L$1300,818,2+AN$2)&lt;&gt;"",INDEX('×入力'!$A$1:$L$1300,819+AN$3,1)&lt;&gt;""),1,0),0)</f>
        <v/>
      </c>
      <c r="AO39">
        <f>IF(AO$4=1,IF(OR(INDEX('×入力'!$A$1:$L$1300,819+AO$3,2+AO$2)&lt;&gt;"",INDEX('×入力'!$A$1:$L$1300,818,2+AO$2)&lt;&gt;"",INDEX('×入力'!$A$1:$L$1300,819+AO$3,1)&lt;&gt;""),1,0),0)</f>
        <v/>
      </c>
      <c r="AP39">
        <f>IF(AP$4=1,IF(OR(INDEX('×入力'!$A$1:$L$1300,819+AP$3,2+AP$2)&lt;&gt;"",INDEX('×入力'!$A$1:$L$1300,818,2+AP$2)&lt;&gt;"",INDEX('×入力'!$A$1:$L$1300,819+AP$3,1)&lt;&gt;""),1,0),0)</f>
        <v/>
      </c>
      <c r="AQ39">
        <f>IF(AQ$4=1,IF(OR(INDEX('×入力'!$A$1:$L$1300,819+AQ$3,2+AQ$2)&lt;&gt;"",INDEX('×入力'!$A$1:$L$1300,818,2+AQ$2)&lt;&gt;"",INDEX('×入力'!$A$1:$L$1300,819+AQ$3,1)&lt;&gt;""),1,0),0)</f>
        <v/>
      </c>
      <c r="AR39">
        <f>IF(AR$4=1,IF(OR(INDEX('×入力'!$A$1:$L$1300,819+AR$3,2+AR$2)&lt;&gt;"",INDEX('×入力'!$A$1:$L$1300,818,2+AR$2)&lt;&gt;"",INDEX('×入力'!$A$1:$L$1300,819+AR$3,1)&lt;&gt;""),1,0),0)</f>
        <v/>
      </c>
      <c r="AS39">
        <f>IF(AS$4=1,IF(OR(INDEX('×入力'!$A$1:$L$1300,819+AS$3,2+AS$2)&lt;&gt;"",INDEX('×入力'!$A$1:$L$1300,818,2+AS$2)&lt;&gt;"",INDEX('×入力'!$A$1:$L$1300,819+AS$3,1)&lt;&gt;""),1,0),0)</f>
        <v/>
      </c>
      <c r="AT39">
        <f>IF(AT$4=1,IF(OR(INDEX('×入力'!$A$1:$L$1300,819+AT$3,2+AT$2)&lt;&gt;"",INDEX('×入力'!$A$1:$L$1300,818,2+AT$2)&lt;&gt;"",INDEX('×入力'!$A$1:$L$1300,819+AT$3,1)&lt;&gt;""),1,0),0)</f>
        <v/>
      </c>
      <c r="AU39">
        <f>IF(AU$4=1,IF(OR(INDEX('×入力'!$A$1:$L$1300,819+AU$3,2+AU$2)&lt;&gt;"",INDEX('×入力'!$A$1:$L$1300,818,2+AU$2)&lt;&gt;"",INDEX('×入力'!$A$1:$L$1300,819+AU$3,1)&lt;&gt;""),1,0),0)</f>
        <v/>
      </c>
      <c r="AV39">
        <f>IF(AV$4=1,IF(OR(INDEX('×入力'!$A$1:$L$1300,819+AV$3,2+AV$2)&lt;&gt;"",INDEX('×入力'!$A$1:$L$1300,818,2+AV$2)&lt;&gt;"",INDEX('×入力'!$A$1:$L$1300,819+AV$3,1)&lt;&gt;""),1,0),0)</f>
        <v/>
      </c>
      <c r="AW39">
        <f>IF(AW$4=1,IF(OR(INDEX('×入力'!$A$1:$L$1300,819+AW$3,2+AW$2)&lt;&gt;"",INDEX('×入力'!$A$1:$L$1300,818,2+AW$2)&lt;&gt;"",INDEX('×入力'!$A$1:$L$1300,819+AW$3,1)&lt;&gt;""),1,0),0)</f>
        <v/>
      </c>
      <c r="AX39">
        <f>IF(AX$4=1,IF(OR(INDEX('×入力'!$A$1:$L$1300,819+AX$3,2+AX$2)&lt;&gt;"",INDEX('×入力'!$A$1:$L$1300,818,2+AX$2)&lt;&gt;"",INDEX('×入力'!$A$1:$L$1300,819+AX$3,1)&lt;&gt;""),1,0),0)</f>
        <v/>
      </c>
      <c r="AY39">
        <f>IF(AY$4=1,IF(OR(INDEX('×入力'!$A$1:$L$1300,819+AY$3,2+AY$2)&lt;&gt;"",INDEX('×入力'!$A$1:$L$1300,818,2+AY$2)&lt;&gt;"",INDEX('×入力'!$A$1:$L$1300,819+AY$3,1)&lt;&gt;""),1,0),0)</f>
        <v/>
      </c>
      <c r="AZ39">
        <f>IF(AZ$4=1,IF(OR(INDEX('×入力'!$A$1:$L$1300,819+AZ$3,2+AZ$2)&lt;&gt;"",INDEX('×入力'!$A$1:$L$1300,818,2+AZ$2)&lt;&gt;"",INDEX('×入力'!$A$1:$L$1300,819+AZ$3,1)&lt;&gt;""),1,0),0)</f>
        <v/>
      </c>
      <c r="BA39">
        <f>IF(BA$4=1,IF(OR(INDEX('×入力'!$A$1:$L$1300,819+BA$3,2+BA$2)&lt;&gt;"",INDEX('×入力'!$A$1:$L$1300,818,2+BA$2)&lt;&gt;"",INDEX('×入力'!$A$1:$L$1300,819+BA$3,1)&lt;&gt;""),1,0),0)</f>
        <v/>
      </c>
      <c r="BB39">
        <f>IF(BB$4=1,IF(OR(INDEX('×入力'!$A$1:$L$1300,819+BB$3,2+BB$2)&lt;&gt;"",INDEX('×入力'!$A$1:$L$1300,818,2+BB$2)&lt;&gt;"",INDEX('×入力'!$A$1:$L$1300,819+BB$3,1)&lt;&gt;""),1,0),0)</f>
        <v/>
      </c>
      <c r="BC39">
        <f>IF(BC$4=1,IF(OR(INDEX('×入力'!$A$1:$L$1300,819+BC$3,2+BC$2)&lt;&gt;"",INDEX('×入力'!$A$1:$L$1300,818,2+BC$2)&lt;&gt;"",INDEX('×入力'!$A$1:$L$1300,819+BC$3,1)&lt;&gt;""),1,0),0)</f>
        <v/>
      </c>
      <c r="BD39">
        <f>IF(BD$4=1,IF(OR(INDEX('×入力'!$A$1:$L$1300,819+BD$3,2+BD$2)&lt;&gt;"",INDEX('×入力'!$A$1:$L$1300,818,2+BD$2)&lt;&gt;"",INDEX('×入力'!$A$1:$L$1300,819+BD$3,1)&lt;&gt;""),1,0),0)</f>
        <v/>
      </c>
      <c r="BE39">
        <f>IF(BE$4=1,IF(OR(INDEX('×入力'!$A$1:$L$1300,819+BE$3,2+BE$2)&lt;&gt;"",INDEX('×入力'!$A$1:$L$1300,818,2+BE$2)&lt;&gt;"",INDEX('×入力'!$A$1:$L$1300,819+BE$3,1)&lt;&gt;""),1,0),0)</f>
        <v/>
      </c>
      <c r="BF39">
        <f>IF(BF$4=1,IF(OR(INDEX('×入力'!$A$1:$L$1300,819+BF$3,2+BF$2)&lt;&gt;"",INDEX('×入力'!$A$1:$L$1300,818,2+BF$2)&lt;&gt;"",INDEX('×入力'!$A$1:$L$1300,819+BF$3,1)&lt;&gt;""),1,0),0)</f>
        <v/>
      </c>
      <c r="BG39">
        <f>IF(BG$4=1,IF(OR(INDEX('×入力'!$A$1:$L$1300,819+BG$3,2+BG$2)&lt;&gt;"",INDEX('×入力'!$A$1:$L$1300,818,2+BG$2)&lt;&gt;"",INDEX('×入力'!$A$1:$L$1300,819+BG$3,1)&lt;&gt;""),1,0),0)</f>
        <v/>
      </c>
      <c r="BH39">
        <f>IF(BH$4=1,IF(OR(INDEX('×入力'!$A$1:$L$1300,819+BH$3,2+BH$2)&lt;&gt;"",INDEX('×入力'!$A$1:$L$1300,818,2+BH$2)&lt;&gt;"",INDEX('×入力'!$A$1:$L$1300,819+BH$3,1)&lt;&gt;""),1,0),0)</f>
        <v/>
      </c>
      <c r="BI39">
        <f>IF(BI$4=1,IF(OR(INDEX('×入力'!$A$1:$L$1300,819+BI$3,2+BI$2)&lt;&gt;"",INDEX('×入力'!$A$1:$L$1300,818,2+BI$2)&lt;&gt;"",INDEX('×入力'!$A$1:$L$1300,819+BI$3,1)&lt;&gt;""),1,0),0)</f>
        <v/>
      </c>
      <c r="BJ39">
        <f>IF(BJ$4=1,IF(OR(INDEX('×入力'!$A$1:$L$1300,819+BJ$3,2+BJ$2)&lt;&gt;"",INDEX('×入力'!$A$1:$L$1300,818,2+BJ$2)&lt;&gt;"",INDEX('×入力'!$A$1:$L$1300,819+BJ$3,1)&lt;&gt;""),1,0),0)</f>
        <v/>
      </c>
      <c r="BK39">
        <f>IF(BK$4=1,IF(OR(INDEX('×入力'!$A$1:$L$1300,819+BK$3,2+BK$2)&lt;&gt;"",INDEX('×入力'!$A$1:$L$1300,818,2+BK$2)&lt;&gt;"",INDEX('×入力'!$A$1:$L$1300,819+BK$3,1)&lt;&gt;""),1,0),0)</f>
        <v/>
      </c>
      <c r="BL39">
        <f>IF(BL$4=1,IF(OR(INDEX('×入力'!$A$1:$L$1300,819+BL$3,2+BL$2)&lt;&gt;"",INDEX('×入力'!$A$1:$L$1300,818,2+BL$2)&lt;&gt;"",INDEX('×入力'!$A$1:$L$1300,819+BL$3,1)&lt;&gt;""),1,0),0)</f>
        <v/>
      </c>
      <c r="BM39">
        <f>IF(BM$4=1,IF(OR(INDEX('×入力'!$A$1:$L$1300,819+BM$3,2+BM$2)&lt;&gt;"",INDEX('×入力'!$A$1:$L$1300,818,2+BM$2)&lt;&gt;"",INDEX('×入力'!$A$1:$L$1300,819+BM$3,1)&lt;&gt;""),1,0),0)</f>
        <v/>
      </c>
      <c r="BN39">
        <f>IF(BN$4=1,IF(OR(INDEX('×入力'!$A$1:$L$1300,819+BN$3,2+BN$2)&lt;&gt;"",INDEX('×入力'!$A$1:$L$1300,818,2+BN$2)&lt;&gt;"",INDEX('×入力'!$A$1:$L$1300,819+BN$3,1)&lt;&gt;""),1,0),0)</f>
        <v/>
      </c>
      <c r="BO39">
        <f>IF(BO$4=1,IF(OR(INDEX('×入力'!$A$1:$L$1300,819+BO$3,2+BO$2)&lt;&gt;"",INDEX('×入力'!$A$1:$L$1300,818,2+BO$2)&lt;&gt;"",INDEX('×入力'!$A$1:$L$1300,819+BO$3,1)&lt;&gt;""),1,0),0)</f>
        <v/>
      </c>
      <c r="BP39">
        <f>IF(BP$4=1,IF(OR(INDEX('×入力'!$A$1:$L$1300,819+BP$3,2+BP$2)&lt;&gt;"",INDEX('×入力'!$A$1:$L$1300,818,2+BP$2)&lt;&gt;"",INDEX('×入力'!$A$1:$L$1300,819+BP$3,1)&lt;&gt;""),1,0),0)</f>
        <v/>
      </c>
      <c r="BQ39">
        <f>IF(BQ$4=1,IF(OR(INDEX('×入力'!$A$1:$L$1300,819+BQ$3,2+BQ$2)&lt;&gt;"",INDEX('×入力'!$A$1:$L$1300,818,2+BQ$2)&lt;&gt;"",INDEX('×入力'!$A$1:$L$1300,819+BQ$3,1)&lt;&gt;""),1,0),0)</f>
        <v/>
      </c>
      <c r="BR39">
        <f>IF(BR$4=1,IF(OR(INDEX('×入力'!$A$1:$L$1300,819+BR$3,2+BR$2)&lt;&gt;"",INDEX('×入力'!$A$1:$L$1300,818,2+BR$2)&lt;&gt;"",INDEX('×入力'!$A$1:$L$1300,819+BR$3,1)&lt;&gt;""),1,0),0)</f>
        <v/>
      </c>
      <c r="BS39">
        <f>IF(BS$4=1,IF(OR(INDEX('×入力'!$A$1:$L$1300,819+BS$3,2+BS$2)&lt;&gt;"",INDEX('×入力'!$A$1:$L$1300,818,2+BS$2)&lt;&gt;"",INDEX('×入力'!$A$1:$L$1300,819+BS$3,1)&lt;&gt;""),1,0),0)</f>
        <v/>
      </c>
      <c r="BT39">
        <f>IF(BT$4=1,IF(OR(INDEX('×入力'!$A$1:$L$1300,819+BT$3,2+BT$2)&lt;&gt;"",INDEX('×入力'!$A$1:$L$1300,818,2+BT$2)&lt;&gt;"",INDEX('×入力'!$A$1:$L$1300,819+BT$3,1)&lt;&gt;""),1,0),0)</f>
        <v/>
      </c>
      <c r="BU39">
        <f>IF(BU$4=1,IF(OR(INDEX('×入力'!$A$1:$L$1300,819+BU$3,2+BU$2)&lt;&gt;"",INDEX('×入力'!$A$1:$L$1300,818,2+BU$2)&lt;&gt;"",INDEX('×入力'!$A$1:$L$1300,819+BU$3,1)&lt;&gt;""),1,0),0)</f>
        <v/>
      </c>
      <c r="BV39">
        <f>IF(BV$4=1,IF(OR(INDEX('×入力'!$A$1:$L$1300,819+BV$3,2+BV$2)&lt;&gt;"",INDEX('×入力'!$A$1:$L$1300,818,2+BV$2)&lt;&gt;"",INDEX('×入力'!$A$1:$L$1300,819+BV$3,1)&lt;&gt;""),1,0),0)</f>
        <v/>
      </c>
      <c r="BW39">
        <f>IF(BW$4=1,IF(OR(INDEX('×入力'!$A$1:$L$1300,819+BW$3,2+BW$2)&lt;&gt;"",INDEX('×入力'!$A$1:$L$1300,818,2+BW$2)&lt;&gt;"",INDEX('×入力'!$A$1:$L$1300,819+BW$3,1)&lt;&gt;""),1,0),0)</f>
        <v/>
      </c>
      <c r="BX39">
        <f>IF(BX$4=1,IF(OR(INDEX('×入力'!$A$1:$L$1300,819+BX$3,2+BX$2)&lt;&gt;"",INDEX('×入力'!$A$1:$L$1300,818,2+BX$2)&lt;&gt;"",INDEX('×入力'!$A$1:$L$1300,819+BX$3,1)&lt;&gt;""),1,0),0)</f>
        <v/>
      </c>
      <c r="BY39">
        <f>IF(BY$4=1,IF(OR(INDEX('×入力'!$A$1:$L$1300,819+BY$3,2+BY$2)&lt;&gt;"",INDEX('×入力'!$A$1:$L$1300,818,2+BY$2)&lt;&gt;"",INDEX('×入力'!$A$1:$L$1300,819+BY$3,1)&lt;&gt;""),1,0),0)</f>
        <v/>
      </c>
      <c r="BZ39">
        <f>IF(BZ$4=1,IF(OR(INDEX('×入力'!$A$1:$L$1300,819+BZ$3,2+BZ$2)&lt;&gt;"",INDEX('×入力'!$A$1:$L$1300,818,2+BZ$2)&lt;&gt;"",INDEX('×入力'!$A$1:$L$1300,819+BZ$3,1)&lt;&gt;""),1,0),0)</f>
        <v/>
      </c>
      <c r="CA39">
        <f>IF(CA$4=1,IF(OR(INDEX('×入力'!$A$1:$L$1300,819+CA$3,2+CA$2)&lt;&gt;"",INDEX('×入力'!$A$1:$L$1300,818,2+CA$2)&lt;&gt;"",INDEX('×入力'!$A$1:$L$1300,819+CA$3,1)&lt;&gt;""),1,0),0)</f>
        <v/>
      </c>
      <c r="CB39">
        <f>IF(CB$4=1,IF(OR(INDEX('×入力'!$A$1:$L$1300,819+CB$3,2+CB$2)&lt;&gt;"",INDEX('×入力'!$A$1:$L$1300,818,2+CB$2)&lt;&gt;"",INDEX('×入力'!$A$1:$L$1300,819+CB$3,1)&lt;&gt;""),1,0),0)</f>
        <v/>
      </c>
      <c r="CC39">
        <f>IF(CC$4=1,IF(OR(INDEX('×入力'!$A$1:$L$1300,819+CC$3,2+CC$2)&lt;&gt;"",INDEX('×入力'!$A$1:$L$1300,818,2+CC$2)&lt;&gt;"",INDEX('×入力'!$A$1:$L$1300,819+CC$3,1)&lt;&gt;""),1,0),0)</f>
        <v/>
      </c>
      <c r="CD39">
        <f>IF(CD$4=1,IF(OR(INDEX('×入力'!$A$1:$L$1300,819+CD$3,2+CD$2)&lt;&gt;"",INDEX('×入力'!$A$1:$L$1300,818,2+CD$2)&lt;&gt;"",INDEX('×入力'!$A$1:$L$1300,819+CD$3,1)&lt;&gt;""),1,0),0)</f>
        <v/>
      </c>
      <c r="CE39">
        <f>IF(CE$4=1,IF(OR(INDEX('×入力'!$A$1:$L$1300,819+CE$3,2+CE$2)&lt;&gt;"",INDEX('×入力'!$A$1:$L$1300,818,2+CE$2)&lt;&gt;"",INDEX('×入力'!$A$1:$L$1300,819+CE$3,1)&lt;&gt;""),1,0),0)</f>
        <v/>
      </c>
      <c r="CF39">
        <f>IF(CF$4=1,IF(OR(INDEX('×入力'!$A$1:$L$1300,819+CF$3,2+CF$2)&lt;&gt;"",INDEX('×入力'!$A$1:$L$1300,818,2+CF$2)&lt;&gt;"",INDEX('×入力'!$A$1:$L$1300,819+CF$3,1)&lt;&gt;""),1,0),0)</f>
        <v/>
      </c>
      <c r="CG39">
        <f>IF(CG$4=1,IF(OR(INDEX('×入力'!$A$1:$L$1300,819+CG$3,2+CG$2)&lt;&gt;"",INDEX('×入力'!$A$1:$L$1300,818,2+CG$2)&lt;&gt;"",INDEX('×入力'!$A$1:$L$1300,819+CG$3,1)&lt;&gt;""),1,0),0)</f>
        <v/>
      </c>
      <c r="CH39">
        <f>IF(CH$4=1,IF(OR(INDEX('×入力'!$A$1:$L$1300,819+CH$3,2+CH$2)&lt;&gt;"",INDEX('×入力'!$A$1:$L$1300,818,2+CH$2)&lt;&gt;"",INDEX('×入力'!$A$1:$L$1300,819+CH$3,1)&lt;&gt;""),1,0),0)</f>
        <v/>
      </c>
      <c r="CI39">
        <f>IF(CI$4=1,IF(OR(INDEX('×入力'!$A$1:$L$1300,819+CI$3,2+CI$2)&lt;&gt;"",INDEX('×入力'!$A$1:$L$1300,818,2+CI$2)&lt;&gt;"",INDEX('×入力'!$A$1:$L$1300,819+CI$3,1)&lt;&gt;""),1,0),0)</f>
        <v/>
      </c>
      <c r="CJ39">
        <f>IF(CJ$4=1,IF(OR(INDEX('×入力'!$A$1:$L$1300,819+CJ$3,2+CJ$2)&lt;&gt;"",INDEX('×入力'!$A$1:$L$1300,818,2+CJ$2)&lt;&gt;"",INDEX('×入力'!$A$1:$L$1300,819+CJ$3,1)&lt;&gt;""),1,0),0)</f>
        <v/>
      </c>
      <c r="CK39">
        <f>IF(CK$4=1,IF(OR(INDEX('×入力'!$A$1:$L$1300,819+CK$3,2+CK$2)&lt;&gt;"",INDEX('×入力'!$A$1:$L$1300,818,2+CK$2)&lt;&gt;"",INDEX('×入力'!$A$1:$L$1300,819+CK$3,1)&lt;&gt;""),1,0),0)</f>
        <v/>
      </c>
      <c r="CL39">
        <f>IF(CL$4=1,IF(OR(INDEX('×入力'!$A$1:$L$1300,819+CL$3,2+CL$2)&lt;&gt;"",INDEX('×入力'!$A$1:$L$1300,818,2+CL$2)&lt;&gt;"",INDEX('×入力'!$A$1:$L$1300,819+CL$3,1)&lt;&gt;""),1,0),0)</f>
        <v/>
      </c>
      <c r="CM39">
        <f>IF(CM$4=1,IF(OR(INDEX('×入力'!$A$1:$L$1300,819+CM$3,2+CM$2)&lt;&gt;"",INDEX('×入力'!$A$1:$L$1300,818,2+CM$2)&lt;&gt;"",INDEX('×入力'!$A$1:$L$1300,819+CM$3,1)&lt;&gt;""),1,0),0)</f>
        <v/>
      </c>
      <c r="CN39">
        <f>IF(CN$4=1,IF(OR(INDEX('×入力'!$A$1:$L$1300,819+CN$3,2+CN$2)&lt;&gt;"",INDEX('×入力'!$A$1:$L$1300,818,2+CN$2)&lt;&gt;"",INDEX('×入力'!$A$1:$L$1300,819+CN$3,1)&lt;&gt;""),1,0),0)</f>
        <v/>
      </c>
      <c r="CO39">
        <f>IF(CO$4=1,IF(OR(INDEX('×入力'!$A$1:$L$1300,819+CO$3,2+CO$2)&lt;&gt;"",INDEX('×入力'!$A$1:$L$1300,818,2+CO$2)&lt;&gt;"",INDEX('×入力'!$A$1:$L$1300,819+CO$3,1)&lt;&gt;""),1,0),0)</f>
        <v/>
      </c>
      <c r="CP39">
        <f>IF(CP$4=1,IF(OR(INDEX('×入力'!$A$1:$L$1300,819+CP$3,2+CP$2)&lt;&gt;"",INDEX('×入力'!$A$1:$L$1300,818,2+CP$2)&lt;&gt;"",INDEX('×入力'!$A$1:$L$1300,819+CP$3,1)&lt;&gt;""),1,0),0)</f>
        <v/>
      </c>
      <c r="CQ39">
        <f>IF(CQ$4=1,IF(OR(INDEX('×入力'!$A$1:$L$1300,819+CQ$3,2+CQ$2)&lt;&gt;"",INDEX('×入力'!$A$1:$L$1300,818,2+CQ$2)&lt;&gt;"",INDEX('×入力'!$A$1:$L$1300,819+CQ$3,1)&lt;&gt;""),1,0),0)</f>
        <v/>
      </c>
      <c r="CR39">
        <f>IF(CR$4=1,IF(OR(INDEX('×入力'!$A$1:$L$1300,819+CR$3,2+CR$2)&lt;&gt;"",INDEX('×入力'!$A$1:$L$1300,818,2+CR$2)&lt;&gt;"",INDEX('×入力'!$A$1:$L$1300,819+CR$3,1)&lt;&gt;""),1,0),0)</f>
        <v/>
      </c>
      <c r="CS39">
        <f>IF(CS$4=1,IF(OR(INDEX('×入力'!$A$1:$L$1300,819+CS$3,2+CS$2)&lt;&gt;"",INDEX('×入力'!$A$1:$L$1300,818,2+CS$2)&lt;&gt;"",INDEX('×入力'!$A$1:$L$1300,819+CS$3,1)&lt;&gt;""),1,0),0)</f>
        <v/>
      </c>
      <c r="CT39">
        <f>IF(CT$4=1,IF(OR(INDEX('×入力'!$A$1:$L$1300,819+CT$3,2+CT$2)&lt;&gt;"",INDEX('×入力'!$A$1:$L$1300,818,2+CT$2)&lt;&gt;"",INDEX('×入力'!$A$1:$L$1300,819+CT$3,1)&lt;&gt;""),1,0),0)</f>
        <v/>
      </c>
      <c r="CU39">
        <f>IF(CU$4=1,IF(OR(INDEX('×入力'!$A$1:$L$1300,819+CU$3,2+CU$2)&lt;&gt;"",INDEX('×入力'!$A$1:$L$1300,818,2+CU$2)&lt;&gt;"",INDEX('×入力'!$A$1:$L$1300,819+CU$3,1)&lt;&gt;""),1,0),0)</f>
        <v/>
      </c>
      <c r="CV39">
        <f>IF(CV$4=1,IF(OR(INDEX('×入力'!$A$1:$L$1300,819+CV$3,2+CV$2)&lt;&gt;"",INDEX('×入力'!$A$1:$L$1300,818,2+CV$2)&lt;&gt;"",INDEX('×入力'!$A$1:$L$1300,819+CV$3,1)&lt;&gt;""),1,0),0)</f>
        <v/>
      </c>
      <c r="CW39">
        <f>IF(CW$4=1,IF(OR(INDEX('×入力'!$A$1:$L$1300,819+CW$3,2+CW$2)&lt;&gt;"",INDEX('×入力'!$A$1:$L$1300,818,2+CW$2)&lt;&gt;"",INDEX('×入力'!$A$1:$L$1300,819+CW$3,1)&lt;&gt;""),1,0),0)</f>
        <v/>
      </c>
      <c r="CX39">
        <f>IF(CX$4=1,IF(OR(INDEX('×入力'!$A$1:$L$1300,819+CX$3,2+CX$2)&lt;&gt;"",INDEX('×入力'!$A$1:$L$1300,818,2+CX$2)&lt;&gt;"",INDEX('×入力'!$A$1:$L$1300,819+CX$3,1)&lt;&gt;""),1,0),0)</f>
        <v/>
      </c>
      <c r="CY39">
        <f>IF(CY$4=1,IF(OR(INDEX('×入力'!$A$1:$L$1300,819+CY$3,2+CY$2)&lt;&gt;"",INDEX('×入力'!$A$1:$L$1300,818,2+CY$2)&lt;&gt;"",INDEX('×入力'!$A$1:$L$1300,819+CY$3,1)&lt;&gt;""),1,0),0)</f>
        <v/>
      </c>
      <c r="CZ39">
        <f>IF(CZ$4=1,IF(OR(INDEX('×入力'!$A$1:$L$1300,819+CZ$3,2+CZ$2)&lt;&gt;"",INDEX('×入力'!$A$1:$L$1300,818,2+CZ$2)&lt;&gt;"",INDEX('×入力'!$A$1:$L$1300,819+CZ$3,1)&lt;&gt;""),1,0),0)</f>
        <v/>
      </c>
      <c r="DA39">
        <f>IF(DA$4=1,IF(OR(INDEX('×入力'!$A$1:$L$1300,819+DA$3,2+DA$2)&lt;&gt;"",INDEX('×入力'!$A$1:$L$1300,818,2+DA$2)&lt;&gt;"",INDEX('×入力'!$A$1:$L$1300,819+DA$3,1)&lt;&gt;""),1,0),0)</f>
        <v/>
      </c>
      <c r="DB39">
        <f>IF(DB$4=1,IF(OR(INDEX('×入力'!$A$1:$L$1300,819+DB$3,2+DB$2)&lt;&gt;"",INDEX('×入力'!$A$1:$L$1300,818,2+DB$2)&lt;&gt;"",INDEX('×入力'!$A$1:$L$1300,819+DB$3,1)&lt;&gt;""),1,0),0)</f>
        <v/>
      </c>
      <c r="DC39">
        <f>IF(DC$4=1,IF(OR(INDEX('×入力'!$A$1:$L$1300,819+DC$3,2+DC$2)&lt;&gt;"",INDEX('×入力'!$A$1:$L$1300,818,2+DC$2)&lt;&gt;"",INDEX('×入力'!$A$1:$L$1300,819+DC$3,1)&lt;&gt;""),1,0),0)</f>
        <v/>
      </c>
      <c r="DD39">
        <f>IF(DD$4=1,IF(OR(INDEX('×入力'!$A$1:$L$1300,819+DD$3,2+DD$2)&lt;&gt;"",INDEX('×入力'!$A$1:$L$1300,818,2+DD$2)&lt;&gt;"",INDEX('×入力'!$A$1:$L$1300,819+DD$3,1)&lt;&gt;""),1,0),0)</f>
        <v/>
      </c>
      <c r="DE39">
        <f>IF(DE$4=1,IF(OR(INDEX('×入力'!$A$1:$L$1300,819+DE$3,2+DE$2)&lt;&gt;"",INDEX('×入力'!$A$1:$L$1300,818,2+DE$2)&lt;&gt;"",INDEX('×入力'!$A$1:$L$1300,819+DE$3,1)&lt;&gt;""),1,0),0)</f>
        <v/>
      </c>
      <c r="DF39">
        <f>IF(DF$4=1,IF(OR(INDEX('×入力'!$A$1:$L$1300,819+DF$3,2+DF$2)&lt;&gt;"",INDEX('×入力'!$A$1:$L$1300,818,2+DF$2)&lt;&gt;"",INDEX('×入力'!$A$1:$L$1300,819+DF$3,1)&lt;&gt;""),1,0),0)</f>
        <v/>
      </c>
      <c r="DG39">
        <f>IF(DG$4=1,IF(OR(INDEX('×入力'!$A$1:$L$1300,819+DG$3,2+DG$2)&lt;&gt;"",INDEX('×入力'!$A$1:$L$1300,818,2+DG$2)&lt;&gt;"",INDEX('×入力'!$A$1:$L$1300,819+DG$3,1)&lt;&gt;""),1,0),0)</f>
        <v/>
      </c>
      <c r="DH39">
        <f>IF(DH$4=1,IF(OR(INDEX('×入力'!$A$1:$L$1300,819+DH$3,2+DH$2)&lt;&gt;"",INDEX('×入力'!$A$1:$L$1300,818,2+DH$2)&lt;&gt;"",INDEX('×入力'!$A$1:$L$1300,819+DH$3,1)&lt;&gt;""),1,0),0)</f>
        <v/>
      </c>
      <c r="DI39">
        <f>IF(DI$4=1,IF(OR(INDEX('×入力'!$A$1:$L$1300,819+DI$3,2+DI$2)&lt;&gt;"",INDEX('×入力'!$A$1:$L$1300,818,2+DI$2)&lt;&gt;"",INDEX('×入力'!$A$1:$L$1300,819+DI$3,1)&lt;&gt;""),1,0),0)</f>
        <v/>
      </c>
      <c r="DJ39">
        <f>IF(DJ$4=1,IF(OR(INDEX('×入力'!$A$1:$L$1300,819+DJ$3,2+DJ$2)&lt;&gt;"",INDEX('×入力'!$A$1:$L$1300,818,2+DJ$2)&lt;&gt;"",INDEX('×入力'!$A$1:$L$1300,819+DJ$3,1)&lt;&gt;""),1,0),0)</f>
        <v/>
      </c>
      <c r="DK39">
        <f>IF(DK$4=1,IF(OR(INDEX('×入力'!$A$1:$L$1300,819+DK$3,2+DK$2)&lt;&gt;"",INDEX('×入力'!$A$1:$L$1300,818,2+DK$2)&lt;&gt;"",INDEX('×入力'!$A$1:$L$1300,819+DK$3,1)&lt;&gt;""),1,0),0)</f>
        <v/>
      </c>
      <c r="DL39">
        <f>IF(DL$4=1,IF(OR(INDEX('×入力'!$A$1:$L$1300,819+DL$3,2+DL$2)&lt;&gt;"",INDEX('×入力'!$A$1:$L$1300,818,2+DL$2)&lt;&gt;"",INDEX('×入力'!$A$1:$L$1300,819+DL$3,1)&lt;&gt;""),1,0),0)</f>
        <v/>
      </c>
      <c r="DM39">
        <f>IF(DM$4=1,IF(OR(INDEX('×入力'!$A$1:$L$1300,819+DM$3,2+DM$2)&lt;&gt;"",INDEX('×入力'!$A$1:$L$1300,818,2+DM$2)&lt;&gt;"",INDEX('×入力'!$A$1:$L$1300,819+DM$3,1)&lt;&gt;""),1,0),0)</f>
        <v/>
      </c>
      <c r="DN39">
        <f>IF(DN$4=1,IF(OR(INDEX('×入力'!$A$1:$L$1300,819+DN$3,2+DN$2)&lt;&gt;"",INDEX('×入力'!$A$1:$L$1300,818,2+DN$2)&lt;&gt;"",INDEX('×入力'!$A$1:$L$1300,819+DN$3,1)&lt;&gt;""),1,0),0)</f>
        <v/>
      </c>
      <c r="DO39">
        <f>IF(DO$4=1,IF(OR(INDEX('×入力'!$A$1:$L$1300,819+DO$3,2+DO$2)&lt;&gt;"",INDEX('×入力'!$A$1:$L$1300,818,2+DO$2)&lt;&gt;"",INDEX('×入力'!$A$1:$L$1300,819+DO$3,1)&lt;&gt;""),1,0),0)</f>
        <v/>
      </c>
      <c r="DP39">
        <f>IF(DP$4=1,IF(OR(INDEX('×入力'!$A$1:$L$1300,819+DP$3,2+DP$2)&lt;&gt;"",INDEX('×入力'!$A$1:$L$1300,818,2+DP$2)&lt;&gt;"",INDEX('×入力'!$A$1:$L$1300,819+DP$3,1)&lt;&gt;""),1,0),0)</f>
        <v/>
      </c>
      <c r="DQ39">
        <f>IF(DQ$4=1,IF(OR(INDEX('×入力'!$A$1:$L$1300,819+DQ$3,2+DQ$2)&lt;&gt;"",INDEX('×入力'!$A$1:$L$1300,818,2+DQ$2)&lt;&gt;"",INDEX('×入力'!$A$1:$L$1300,819+DQ$3,1)&lt;&gt;""),1,0),0)</f>
        <v/>
      </c>
      <c r="DR39">
        <f>IF(DR$4=1,IF(OR(INDEX('×入力'!$A$1:$L$1300,819+DR$3,2+DR$2)&lt;&gt;"",INDEX('×入力'!$A$1:$L$1300,818,2+DR$2)&lt;&gt;"",INDEX('×入力'!$A$1:$L$1300,819+DR$3,1)&lt;&gt;""),1,0),0)</f>
        <v/>
      </c>
      <c r="DS39">
        <f>IF(DS$4=1,IF(OR(INDEX('×入力'!$A$1:$L$1300,819+DS$3,2+DS$2)&lt;&gt;"",INDEX('×入力'!$A$1:$L$1300,818,2+DS$2)&lt;&gt;"",INDEX('×入力'!$A$1:$L$1300,819+DS$3,1)&lt;&gt;""),1,0),0)</f>
        <v/>
      </c>
      <c r="DT39">
        <f>IF(DT$4=1,IF(OR(INDEX('×入力'!$A$1:$L$1300,819+DT$3,2+DT$2)&lt;&gt;"",INDEX('×入力'!$A$1:$L$1300,818,2+DT$2)&lt;&gt;"",INDEX('×入力'!$A$1:$L$1300,819+DT$3,1)&lt;&gt;""),1,0),0)</f>
        <v/>
      </c>
      <c r="DU39">
        <f>IF(DU$4=1,IF(OR(INDEX('×入力'!$A$1:$L$1300,819+DU$3,2+DU$2)&lt;&gt;"",INDEX('×入力'!$A$1:$L$1300,818,2+DU$2)&lt;&gt;"",INDEX('×入力'!$A$1:$L$1300,819+DU$3,1)&lt;&gt;""),1,0),0)</f>
        <v/>
      </c>
      <c r="DV39">
        <f>IF(DV$4=1,IF(OR(INDEX('×入力'!$A$1:$L$1300,819+DV$3,2+DV$2)&lt;&gt;"",INDEX('×入力'!$A$1:$L$1300,818,2+DV$2)&lt;&gt;"",INDEX('×入力'!$A$1:$L$1300,819+DV$3,1)&lt;&gt;""),1,0),0)</f>
        <v/>
      </c>
      <c r="DW39">
        <f>IF(DW$4=1,IF(OR(INDEX('×入力'!$A$1:$L$1300,819+DW$3,2+DW$2)&lt;&gt;"",INDEX('×入力'!$A$1:$L$1300,818,2+DW$2)&lt;&gt;"",INDEX('×入力'!$A$1:$L$1300,819+DW$3,1)&lt;&gt;""),1,0),0)</f>
        <v/>
      </c>
      <c r="DX39">
        <f>IF(DX$4=1,IF(OR(INDEX('×入力'!$A$1:$L$1300,819+DX$3,2+DX$2)&lt;&gt;"",INDEX('×入力'!$A$1:$L$1300,818,2+DX$2)&lt;&gt;"",INDEX('×入力'!$A$1:$L$1300,819+DX$3,1)&lt;&gt;""),1,0),0)</f>
        <v/>
      </c>
      <c r="DY39">
        <f>IF(DY$4=1,IF(OR(INDEX('×入力'!$A$1:$L$1300,819+DY$3,2+DY$2)&lt;&gt;"",INDEX('×入力'!$A$1:$L$1300,818,2+DY$2)&lt;&gt;"",INDEX('×入力'!$A$1:$L$1300,819+DY$3,1)&lt;&gt;""),1,0),0)</f>
        <v/>
      </c>
      <c r="DZ39">
        <f>IF(DZ$4=1,IF(OR(INDEX('×入力'!$A$1:$L$1300,819+DZ$3,2+DZ$2)&lt;&gt;"",INDEX('×入力'!$A$1:$L$1300,818,2+DZ$2)&lt;&gt;"",INDEX('×入力'!$A$1:$L$1300,819+DZ$3,1)&lt;&gt;""),1,0),0)</f>
        <v/>
      </c>
      <c r="EA39">
        <f>IF(EA$4=1,IF(OR(INDEX('×入力'!$A$1:$L$1300,819+EA$3,2+EA$2)&lt;&gt;"",INDEX('×入力'!$A$1:$L$1300,818,2+EA$2)&lt;&gt;"",INDEX('×入力'!$A$1:$L$1300,819+EA$3,1)&lt;&gt;""),1,0),0)</f>
        <v/>
      </c>
      <c r="EB39">
        <f>IF(EB$4=1,IF(OR(INDEX('×入力'!$A$1:$L$1300,819+EB$3,2+EB$2)&lt;&gt;"",INDEX('×入力'!$A$1:$L$1300,818,2+EB$2)&lt;&gt;"",INDEX('×入力'!$A$1:$L$1300,819+EB$3,1)&lt;&gt;""),1,0),0)</f>
        <v/>
      </c>
      <c r="EC39">
        <f>IF(EC$4=1,IF(OR(INDEX('×入力'!$A$1:$L$1300,819+EC$3,2+EC$2)&lt;&gt;"",INDEX('×入力'!$A$1:$L$1300,818,2+EC$2)&lt;&gt;"",INDEX('×入力'!$A$1:$L$1300,819+EC$3,1)&lt;&gt;""),1,0),0)</f>
        <v/>
      </c>
      <c r="ED39">
        <f>IF(ED$4=1,IF(OR(INDEX('×入力'!$A$1:$L$1300,819+ED$3,2+ED$2)&lt;&gt;"",INDEX('×入力'!$A$1:$L$1300,818,2+ED$2)&lt;&gt;"",INDEX('×入力'!$A$1:$L$1300,819+ED$3,1)&lt;&gt;""),1,0),0)</f>
        <v/>
      </c>
      <c r="EE39">
        <f>IF(EE$4=1,IF(OR(INDEX('×入力'!$A$1:$L$1300,819+EE$3,2+EE$2)&lt;&gt;"",INDEX('×入力'!$A$1:$L$1300,818,2+EE$2)&lt;&gt;"",INDEX('×入力'!$A$1:$L$1300,819+EE$3,1)&lt;&gt;""),1,0),0)</f>
        <v/>
      </c>
      <c r="EF39">
        <f>IF(EF$4=1,IF(OR(INDEX('×入力'!$A$1:$L$1300,819+EF$3,2+EF$2)&lt;&gt;"",INDEX('×入力'!$A$1:$L$1300,818,2+EF$2)&lt;&gt;"",INDEX('×入力'!$A$1:$L$1300,819+EF$3,1)&lt;&gt;""),1,0),0)</f>
        <v/>
      </c>
      <c r="EG39">
        <f>IF(EG$4=1,IF(OR(INDEX('×入力'!$A$1:$L$1300,819+EG$3,2+EG$2)&lt;&gt;"",INDEX('×入力'!$A$1:$L$1300,818,2+EG$2)&lt;&gt;"",INDEX('×入力'!$A$1:$L$1300,819+EG$3,1)&lt;&gt;""),1,0),0)</f>
        <v/>
      </c>
      <c r="EH39">
        <f>IF(EH$4=1,IF(OR(INDEX('×入力'!$A$1:$L$1300,819+EH$3,2+EH$2)&lt;&gt;"",INDEX('×入力'!$A$1:$L$1300,818,2+EH$2)&lt;&gt;"",INDEX('×入力'!$A$1:$L$1300,819+EH$3,1)&lt;&gt;""),1,0),0)</f>
        <v/>
      </c>
      <c r="EI39">
        <f>IF(EI$4=1,IF(OR(INDEX('×入力'!$A$1:$L$1300,819+EI$3,2+EI$2)&lt;&gt;"",INDEX('×入力'!$A$1:$L$1300,818,2+EI$2)&lt;&gt;"",INDEX('×入力'!$A$1:$L$1300,819+EI$3,1)&lt;&gt;""),1,0),0)</f>
        <v/>
      </c>
      <c r="EJ39">
        <f>IF(EJ$4=1,IF(OR(INDEX('×入力'!$A$1:$L$1300,819+EJ$3,2+EJ$2)&lt;&gt;"",INDEX('×入力'!$A$1:$L$1300,818,2+EJ$2)&lt;&gt;"",INDEX('×入力'!$A$1:$L$1300,819+EJ$3,1)&lt;&gt;""),1,0),0)</f>
        <v/>
      </c>
      <c r="EK39">
        <f>IF(EK$4=1,IF(OR(INDEX('×入力'!$A$1:$L$1300,819+EK$3,2+EK$2)&lt;&gt;"",INDEX('×入力'!$A$1:$L$1300,818,2+EK$2)&lt;&gt;"",INDEX('×入力'!$A$1:$L$1300,819+EK$3,1)&lt;&gt;""),1,0),0)</f>
        <v/>
      </c>
      <c r="EL39">
        <f>IF(EL$4=1,IF(OR(INDEX('×入力'!$A$1:$L$1300,819+EL$3,2+EL$2)&lt;&gt;"",INDEX('×入力'!$A$1:$L$1300,818,2+EL$2)&lt;&gt;"",INDEX('×入力'!$A$1:$L$1300,819+EL$3,1)&lt;&gt;""),1,0),0)</f>
        <v/>
      </c>
      <c r="EM39">
        <f>IF(EM$4=1,IF(OR(INDEX('×入力'!$A$1:$L$1300,819+EM$3,2+EM$2)&lt;&gt;"",INDEX('×入力'!$A$1:$L$1300,818,2+EM$2)&lt;&gt;"",INDEX('×入力'!$A$1:$L$1300,819+EM$3,1)&lt;&gt;""),1,0),0)</f>
        <v/>
      </c>
      <c r="EN39">
        <f>IF(EN$4=1,IF(OR(INDEX('×入力'!$A$1:$L$1300,819+EN$3,2+EN$2)&lt;&gt;"",INDEX('×入力'!$A$1:$L$1300,818,2+EN$2)&lt;&gt;"",INDEX('×入力'!$A$1:$L$1300,819+EN$3,1)&lt;&gt;""),1,0),0)</f>
        <v/>
      </c>
      <c r="EO39">
        <f>IF(EO$4=1,IF(OR(INDEX('×入力'!$A$1:$L$1300,819+EO$3,2+EO$2)&lt;&gt;"",INDEX('×入力'!$A$1:$L$1300,818,2+EO$2)&lt;&gt;"",INDEX('×入力'!$A$1:$L$1300,819+EO$3,1)&lt;&gt;""),1,0),0)</f>
        <v/>
      </c>
      <c r="EP39">
        <f>IF(EP$4=1,IF(OR(INDEX('×入力'!$A$1:$L$1300,819+EP$3,2+EP$2)&lt;&gt;"",INDEX('×入力'!$A$1:$L$1300,818,2+EP$2)&lt;&gt;"",INDEX('×入力'!$A$1:$L$1300,819+EP$3,1)&lt;&gt;""),1,0),0)</f>
        <v/>
      </c>
      <c r="EQ39">
        <f>IF(EQ$4=1,IF(OR(INDEX('×入力'!$A$1:$L$1300,819+EQ$3,2+EQ$2)&lt;&gt;"",INDEX('×入力'!$A$1:$L$1300,818,2+EQ$2)&lt;&gt;"",INDEX('×入力'!$A$1:$L$1300,819+EQ$3,1)&lt;&gt;""),1,0),0)</f>
        <v/>
      </c>
      <c r="HA39">
        <f>MAX(0,IT39)</f>
        <v/>
      </c>
      <c r="HB39">
        <f>IF(HA39=0,0,INDEX($D$2:$EQ$2,HA39))</f>
        <v/>
      </c>
      <c r="HC39">
        <f>IF(HA39=0,0,INDEX($D$3:$EQ$3,HA39))</f>
        <v/>
      </c>
      <c r="HD39">
        <f>MAX(0,IY39)</f>
        <v/>
      </c>
      <c r="HE39">
        <f>IF(HD39=0,0,INDEX($D$2:$EQ$2,HD39))</f>
        <v/>
      </c>
      <c r="HF39">
        <f>IF(HD39=0,0,INDEX($D$3:$EQ$3,HD39))</f>
        <v/>
      </c>
      <c r="HG39">
        <f>MAX(0,IZ39)</f>
        <v/>
      </c>
      <c r="HH39">
        <f>IF(HG39=0,0,INDEX($D$2:$EQ$2,HG39))</f>
        <v/>
      </c>
      <c r="HI39">
        <f>IF(HG39=0,0,INDEX($D$3:$EQ$3,HG39))</f>
        <v/>
      </c>
      <c r="HJ39">
        <f>IF(AND(HA39&gt;0,HC39&gt;1,OR(HC39-1&lt;&gt;$A$3,$A$4=0)),HA39-1,-1)</f>
        <v/>
      </c>
      <c r="HK39">
        <f>IF(AND(HA39&gt;0,HC39&lt;24,OR(HC39&lt;&gt;$A$3,$A$4=0)),HA39+1,-1)</f>
        <v/>
      </c>
      <c r="HL39">
        <f>IF(AND(HD39&gt;0,HF39&gt;1,OR(HF39-1&lt;&gt;$A$3,$A$4=0)),HD39-1,-1)</f>
        <v/>
      </c>
      <c r="HM39">
        <f>IF(AND(HD39&gt;0,HF39&lt;24,OR(HF39&lt;&gt;$A$3,$A$4=0)),HD39+1,-1)</f>
        <v/>
      </c>
      <c r="HN39">
        <f>IF(AND(HG39&gt;0,HI39&gt;1,OR(HI39-1&lt;&gt;$A$3,$A$4=0)),HG39-1,-1)</f>
        <v/>
      </c>
      <c r="HO39">
        <f>IF(AND(HG39&gt;0,HI39&lt;24,OR(HI39&lt;&gt;$A$3,$A$4=0)),HG39+1,-1)</f>
        <v/>
      </c>
      <c r="IK39">
        <f>IFERROR(INDEX('calcB'!$C$3:$C$47,MATCH(A39,'calcB'!$B$3:$B$47,0)),0)</f>
        <v/>
      </c>
      <c r="IL39">
        <f>IF(AND(C39=1,IK39=0,calcA!$A$6&gt;0),1,0)</f>
        <v/>
      </c>
      <c r="IM39">
        <f>SUMPRODUCT(D89:EQ89*(1-$D$7:$EQ$7))</f>
        <v/>
      </c>
      <c r="IN39">
        <f>SUM(D39:EQ39)</f>
        <v/>
      </c>
      <c r="IO39">
        <f>IF(B39="",0,IF(COUNTIF('調整・決定'!$C$6:$H$29,B39)=1,SUMPRODUCT(('調整・決定'!$C$6:$H$29=B39)*((COLUMN('調整・決定'!$C$6:$H$29)-3)*24+ROW('調整・決定'!$C$6:$H$29)-5)),0))</f>
        <v/>
      </c>
      <c r="IP39">
        <f>IFERROR(MATCH('名簿'!C34,{"早い時刻","遅い時刻","早い日","遅い日"},0),0)</f>
        <v/>
      </c>
      <c r="IQ39">
        <f>IF('名簿'!D34="必ず空けたい",2,IF('名簿'!D34="出来れば空けたい",1,0))</f>
        <v/>
      </c>
      <c r="IR39">
        <f>IFERROR(INDEX('calcC'!$C$3:$C$47,MATCH(A39,'calcC'!$B$3:$B$47,0)),0)</f>
        <v/>
      </c>
      <c r="IS39">
        <f>IF(AND(C39=1,IR39=0,calcA!$A$6&gt;0),1,0)</f>
        <v/>
      </c>
      <c r="IT39">
        <f>IF(OR('名簿'!G34="",'名簿'!H34=""),0,IFERROR((MATCH('名簿'!G34,'設定'!$E$11:$E$16,0)-1)*24+MATCH('名簿'!H34,'設定'!$I$11:$I$34,0),-1))</f>
        <v/>
      </c>
      <c r="IV39">
        <f>IF(OR(JF39=0,IO39=0),1,IF(OR(IF(IT39&gt;0,AND(INDEX($D$2:$EQ$2,IO39)=INDEX($D$2:$EQ$2,IT39),OR(AND(IO39=IT39+1,OR(INDEX($D$3:$EQ$3,IT39)&lt;&gt;$A$3,$A$4=0)),AND(IO39=IT39-1,OR(INDEX($D$3:$EQ$3,IO39)&lt;&gt;$A$3,$A$4=0)))),FALSE),IF(IY39&gt;0,AND(INDEX($D$2:$EQ$2,IO39)=INDEX($D$2:$EQ$2,IY39),OR(AND(IO39=IY39+1,OR(INDEX($D$3:$EQ$3,IY39)&lt;&gt;$A$3,$A$4=0)),AND(IO39=IY39-1,OR(INDEX($D$3:$EQ$3,IO39)&lt;&gt;$A$3,$A$4=0)))),FALSE),IF(IZ39&gt;0,AND(INDEX($D$2:$EQ$2,IO39)=INDEX($D$2:$EQ$2,IZ39),OR(AND(IO39=IZ39+1,OR(INDEX($D$3:$EQ$3,IZ39)&lt;&gt;$A$3,$A$4=0)),AND(IO39=IZ39-1,OR(INDEX($D$3:$EQ$3,IO39)&lt;&gt;$A$3,$A$4=0)))),FALSE)),1,0))</f>
        <v/>
      </c>
      <c r="IW39">
        <f>IF(AND('名簿'!E34&lt;&gt;"",JF39=0),1,0)</f>
        <v/>
      </c>
      <c r="IX39">
        <f>IF('名簿'!D34="空けない",1,0)</f>
        <v/>
      </c>
      <c r="IY39">
        <f>IF(OR('名簿'!J34="",'名簿'!K34=""),0,IFERROR((MATCH('名簿'!J34,'設定'!$E$11:$E$16,0)-1)*24+MATCH('名簿'!K34,'設定'!$I$11:$I$34,0),-1))</f>
        <v/>
      </c>
      <c r="IZ39">
        <f>IF(OR('名簿'!M34="",'名簿'!N34=""),0,IFERROR((MATCH('名簿'!M34,'設定'!$E$11:$E$16,0)-1)*24+MATCH('名簿'!N34,'設定'!$I$11:$I$34,0),-1))</f>
        <v/>
      </c>
      <c r="JC39">
        <f>IF(RIGHT('名簿'!I34,2)="の前",1,IF(RIGHT('名簿'!I34,2)="の後",2,0))</f>
        <v/>
      </c>
      <c r="JD39">
        <f>IF(RIGHT('名簿'!L34,2)="の前",1,IF(RIGHT('名簿'!L34,2)="の後",2,0))</f>
        <v/>
      </c>
      <c r="JE39">
        <f>IF(RIGHT('名簿'!O34,2)="の前",1,IF(RIGHT('名簿'!O34,2)="の後",2,0))</f>
        <v/>
      </c>
      <c r="JF39">
        <f>IF(OR(IT39&gt;0,IY39&gt;0,IZ39&gt;0),1,0)</f>
        <v/>
      </c>
      <c r="JG39">
        <f>IF(OR(IT39&lt;0,IY39&lt;0,IZ39&lt;0),1,0)</f>
        <v/>
      </c>
    </row>
    <row r="40">
      <c r="A40" t="n">
        <v>31</v>
      </c>
      <c r="B40">
        <f>'名簿'!P35</f>
        <v/>
      </c>
      <c r="C40">
        <f>IF(AND(B40&lt;&gt;"",OR('名簿'!Q35="入力済み",'名簿'!Q35="×なし"),IO40=0,COUNTIF('調整・決定'!$C$6:$H$29,B40)=0),1,0)</f>
        <v/>
      </c>
      <c r="D40">
        <f>IF(D$4=1,IF(OR(INDEX('×入力'!$A$1:$L$1300,847+D$3,2+D$2)&lt;&gt;"",INDEX('×入力'!$A$1:$L$1300,846,2+D$2)&lt;&gt;"",INDEX('×入力'!$A$1:$L$1300,847+D$3,1)&lt;&gt;""),1,0),0)</f>
        <v/>
      </c>
      <c r="E40">
        <f>IF(E$4=1,IF(OR(INDEX('×入力'!$A$1:$L$1300,847+E$3,2+E$2)&lt;&gt;"",INDEX('×入力'!$A$1:$L$1300,846,2+E$2)&lt;&gt;"",INDEX('×入力'!$A$1:$L$1300,847+E$3,1)&lt;&gt;""),1,0),0)</f>
        <v/>
      </c>
      <c r="F40">
        <f>IF(F$4=1,IF(OR(INDEX('×入力'!$A$1:$L$1300,847+F$3,2+F$2)&lt;&gt;"",INDEX('×入力'!$A$1:$L$1300,846,2+F$2)&lt;&gt;"",INDEX('×入力'!$A$1:$L$1300,847+F$3,1)&lt;&gt;""),1,0),0)</f>
        <v/>
      </c>
      <c r="G40">
        <f>IF(G$4=1,IF(OR(INDEX('×入力'!$A$1:$L$1300,847+G$3,2+G$2)&lt;&gt;"",INDEX('×入力'!$A$1:$L$1300,846,2+G$2)&lt;&gt;"",INDEX('×入力'!$A$1:$L$1300,847+G$3,1)&lt;&gt;""),1,0),0)</f>
        <v/>
      </c>
      <c r="H40">
        <f>IF(H$4=1,IF(OR(INDEX('×入力'!$A$1:$L$1300,847+H$3,2+H$2)&lt;&gt;"",INDEX('×入力'!$A$1:$L$1300,846,2+H$2)&lt;&gt;"",INDEX('×入力'!$A$1:$L$1300,847+H$3,1)&lt;&gt;""),1,0),0)</f>
        <v/>
      </c>
      <c r="I40">
        <f>IF(I$4=1,IF(OR(INDEX('×入力'!$A$1:$L$1300,847+I$3,2+I$2)&lt;&gt;"",INDEX('×入力'!$A$1:$L$1300,846,2+I$2)&lt;&gt;"",INDEX('×入力'!$A$1:$L$1300,847+I$3,1)&lt;&gt;""),1,0),0)</f>
        <v/>
      </c>
      <c r="J40">
        <f>IF(J$4=1,IF(OR(INDEX('×入力'!$A$1:$L$1300,847+J$3,2+J$2)&lt;&gt;"",INDEX('×入力'!$A$1:$L$1300,846,2+J$2)&lt;&gt;"",INDEX('×入力'!$A$1:$L$1300,847+J$3,1)&lt;&gt;""),1,0),0)</f>
        <v/>
      </c>
      <c r="K40">
        <f>IF(K$4=1,IF(OR(INDEX('×入力'!$A$1:$L$1300,847+K$3,2+K$2)&lt;&gt;"",INDEX('×入力'!$A$1:$L$1300,846,2+K$2)&lt;&gt;"",INDEX('×入力'!$A$1:$L$1300,847+K$3,1)&lt;&gt;""),1,0),0)</f>
        <v/>
      </c>
      <c r="L40">
        <f>IF(L$4=1,IF(OR(INDEX('×入力'!$A$1:$L$1300,847+L$3,2+L$2)&lt;&gt;"",INDEX('×入力'!$A$1:$L$1300,846,2+L$2)&lt;&gt;"",INDEX('×入力'!$A$1:$L$1300,847+L$3,1)&lt;&gt;""),1,0),0)</f>
        <v/>
      </c>
      <c r="M40">
        <f>IF(M$4=1,IF(OR(INDEX('×入力'!$A$1:$L$1300,847+M$3,2+M$2)&lt;&gt;"",INDEX('×入力'!$A$1:$L$1300,846,2+M$2)&lt;&gt;"",INDEX('×入力'!$A$1:$L$1300,847+M$3,1)&lt;&gt;""),1,0),0)</f>
        <v/>
      </c>
      <c r="N40">
        <f>IF(N$4=1,IF(OR(INDEX('×入力'!$A$1:$L$1300,847+N$3,2+N$2)&lt;&gt;"",INDEX('×入力'!$A$1:$L$1300,846,2+N$2)&lt;&gt;"",INDEX('×入力'!$A$1:$L$1300,847+N$3,1)&lt;&gt;""),1,0),0)</f>
        <v/>
      </c>
      <c r="O40">
        <f>IF(O$4=1,IF(OR(INDEX('×入力'!$A$1:$L$1300,847+O$3,2+O$2)&lt;&gt;"",INDEX('×入力'!$A$1:$L$1300,846,2+O$2)&lt;&gt;"",INDEX('×入力'!$A$1:$L$1300,847+O$3,1)&lt;&gt;""),1,0),0)</f>
        <v/>
      </c>
      <c r="P40">
        <f>IF(P$4=1,IF(OR(INDEX('×入力'!$A$1:$L$1300,847+P$3,2+P$2)&lt;&gt;"",INDEX('×入力'!$A$1:$L$1300,846,2+P$2)&lt;&gt;"",INDEX('×入力'!$A$1:$L$1300,847+P$3,1)&lt;&gt;""),1,0),0)</f>
        <v/>
      </c>
      <c r="Q40">
        <f>IF(Q$4=1,IF(OR(INDEX('×入力'!$A$1:$L$1300,847+Q$3,2+Q$2)&lt;&gt;"",INDEX('×入力'!$A$1:$L$1300,846,2+Q$2)&lt;&gt;"",INDEX('×入力'!$A$1:$L$1300,847+Q$3,1)&lt;&gt;""),1,0),0)</f>
        <v/>
      </c>
      <c r="R40">
        <f>IF(R$4=1,IF(OR(INDEX('×入力'!$A$1:$L$1300,847+R$3,2+R$2)&lt;&gt;"",INDEX('×入力'!$A$1:$L$1300,846,2+R$2)&lt;&gt;"",INDEX('×入力'!$A$1:$L$1300,847+R$3,1)&lt;&gt;""),1,0),0)</f>
        <v/>
      </c>
      <c r="S40">
        <f>IF(S$4=1,IF(OR(INDEX('×入力'!$A$1:$L$1300,847+S$3,2+S$2)&lt;&gt;"",INDEX('×入力'!$A$1:$L$1300,846,2+S$2)&lt;&gt;"",INDEX('×入力'!$A$1:$L$1300,847+S$3,1)&lt;&gt;""),1,0),0)</f>
        <v/>
      </c>
      <c r="T40">
        <f>IF(T$4=1,IF(OR(INDEX('×入力'!$A$1:$L$1300,847+T$3,2+T$2)&lt;&gt;"",INDEX('×入力'!$A$1:$L$1300,846,2+T$2)&lt;&gt;"",INDEX('×入力'!$A$1:$L$1300,847+T$3,1)&lt;&gt;""),1,0),0)</f>
        <v/>
      </c>
      <c r="U40">
        <f>IF(U$4=1,IF(OR(INDEX('×入力'!$A$1:$L$1300,847+U$3,2+U$2)&lt;&gt;"",INDEX('×入力'!$A$1:$L$1300,846,2+U$2)&lt;&gt;"",INDEX('×入力'!$A$1:$L$1300,847+U$3,1)&lt;&gt;""),1,0),0)</f>
        <v/>
      </c>
      <c r="V40">
        <f>IF(V$4=1,IF(OR(INDEX('×入力'!$A$1:$L$1300,847+V$3,2+V$2)&lt;&gt;"",INDEX('×入力'!$A$1:$L$1300,846,2+V$2)&lt;&gt;"",INDEX('×入力'!$A$1:$L$1300,847+V$3,1)&lt;&gt;""),1,0),0)</f>
        <v/>
      </c>
      <c r="W40">
        <f>IF(W$4=1,IF(OR(INDEX('×入力'!$A$1:$L$1300,847+W$3,2+W$2)&lt;&gt;"",INDEX('×入力'!$A$1:$L$1300,846,2+W$2)&lt;&gt;"",INDEX('×入力'!$A$1:$L$1300,847+W$3,1)&lt;&gt;""),1,0),0)</f>
        <v/>
      </c>
      <c r="X40">
        <f>IF(X$4=1,IF(OR(INDEX('×入力'!$A$1:$L$1300,847+X$3,2+X$2)&lt;&gt;"",INDEX('×入力'!$A$1:$L$1300,846,2+X$2)&lt;&gt;"",INDEX('×入力'!$A$1:$L$1300,847+X$3,1)&lt;&gt;""),1,0),0)</f>
        <v/>
      </c>
      <c r="Y40">
        <f>IF(Y$4=1,IF(OR(INDEX('×入力'!$A$1:$L$1300,847+Y$3,2+Y$2)&lt;&gt;"",INDEX('×入力'!$A$1:$L$1300,846,2+Y$2)&lt;&gt;"",INDEX('×入力'!$A$1:$L$1300,847+Y$3,1)&lt;&gt;""),1,0),0)</f>
        <v/>
      </c>
      <c r="Z40">
        <f>IF(Z$4=1,IF(OR(INDEX('×入力'!$A$1:$L$1300,847+Z$3,2+Z$2)&lt;&gt;"",INDEX('×入力'!$A$1:$L$1300,846,2+Z$2)&lt;&gt;"",INDEX('×入力'!$A$1:$L$1300,847+Z$3,1)&lt;&gt;""),1,0),0)</f>
        <v/>
      </c>
      <c r="AA40">
        <f>IF(AA$4=1,IF(OR(INDEX('×入力'!$A$1:$L$1300,847+AA$3,2+AA$2)&lt;&gt;"",INDEX('×入力'!$A$1:$L$1300,846,2+AA$2)&lt;&gt;"",INDEX('×入力'!$A$1:$L$1300,847+AA$3,1)&lt;&gt;""),1,0),0)</f>
        <v/>
      </c>
      <c r="AB40">
        <f>IF(AB$4=1,IF(OR(INDEX('×入力'!$A$1:$L$1300,847+AB$3,2+AB$2)&lt;&gt;"",INDEX('×入力'!$A$1:$L$1300,846,2+AB$2)&lt;&gt;"",INDEX('×入力'!$A$1:$L$1300,847+AB$3,1)&lt;&gt;""),1,0),0)</f>
        <v/>
      </c>
      <c r="AC40">
        <f>IF(AC$4=1,IF(OR(INDEX('×入力'!$A$1:$L$1300,847+AC$3,2+AC$2)&lt;&gt;"",INDEX('×入力'!$A$1:$L$1300,846,2+AC$2)&lt;&gt;"",INDEX('×入力'!$A$1:$L$1300,847+AC$3,1)&lt;&gt;""),1,0),0)</f>
        <v/>
      </c>
      <c r="AD40">
        <f>IF(AD$4=1,IF(OR(INDEX('×入力'!$A$1:$L$1300,847+AD$3,2+AD$2)&lt;&gt;"",INDEX('×入力'!$A$1:$L$1300,846,2+AD$2)&lt;&gt;"",INDEX('×入力'!$A$1:$L$1300,847+AD$3,1)&lt;&gt;""),1,0),0)</f>
        <v/>
      </c>
      <c r="AE40">
        <f>IF(AE$4=1,IF(OR(INDEX('×入力'!$A$1:$L$1300,847+AE$3,2+AE$2)&lt;&gt;"",INDEX('×入力'!$A$1:$L$1300,846,2+AE$2)&lt;&gt;"",INDEX('×入力'!$A$1:$L$1300,847+AE$3,1)&lt;&gt;""),1,0),0)</f>
        <v/>
      </c>
      <c r="AF40">
        <f>IF(AF$4=1,IF(OR(INDEX('×入力'!$A$1:$L$1300,847+AF$3,2+AF$2)&lt;&gt;"",INDEX('×入力'!$A$1:$L$1300,846,2+AF$2)&lt;&gt;"",INDEX('×入力'!$A$1:$L$1300,847+AF$3,1)&lt;&gt;""),1,0),0)</f>
        <v/>
      </c>
      <c r="AG40">
        <f>IF(AG$4=1,IF(OR(INDEX('×入力'!$A$1:$L$1300,847+AG$3,2+AG$2)&lt;&gt;"",INDEX('×入力'!$A$1:$L$1300,846,2+AG$2)&lt;&gt;"",INDEX('×入力'!$A$1:$L$1300,847+AG$3,1)&lt;&gt;""),1,0),0)</f>
        <v/>
      </c>
      <c r="AH40">
        <f>IF(AH$4=1,IF(OR(INDEX('×入力'!$A$1:$L$1300,847+AH$3,2+AH$2)&lt;&gt;"",INDEX('×入力'!$A$1:$L$1300,846,2+AH$2)&lt;&gt;"",INDEX('×入力'!$A$1:$L$1300,847+AH$3,1)&lt;&gt;""),1,0),0)</f>
        <v/>
      </c>
      <c r="AI40">
        <f>IF(AI$4=1,IF(OR(INDEX('×入力'!$A$1:$L$1300,847+AI$3,2+AI$2)&lt;&gt;"",INDEX('×入力'!$A$1:$L$1300,846,2+AI$2)&lt;&gt;"",INDEX('×入力'!$A$1:$L$1300,847+AI$3,1)&lt;&gt;""),1,0),0)</f>
        <v/>
      </c>
      <c r="AJ40">
        <f>IF(AJ$4=1,IF(OR(INDEX('×入力'!$A$1:$L$1300,847+AJ$3,2+AJ$2)&lt;&gt;"",INDEX('×入力'!$A$1:$L$1300,846,2+AJ$2)&lt;&gt;"",INDEX('×入力'!$A$1:$L$1300,847+AJ$3,1)&lt;&gt;""),1,0),0)</f>
        <v/>
      </c>
      <c r="AK40">
        <f>IF(AK$4=1,IF(OR(INDEX('×入力'!$A$1:$L$1300,847+AK$3,2+AK$2)&lt;&gt;"",INDEX('×入力'!$A$1:$L$1300,846,2+AK$2)&lt;&gt;"",INDEX('×入力'!$A$1:$L$1300,847+AK$3,1)&lt;&gt;""),1,0),0)</f>
        <v/>
      </c>
      <c r="AL40">
        <f>IF(AL$4=1,IF(OR(INDEX('×入力'!$A$1:$L$1300,847+AL$3,2+AL$2)&lt;&gt;"",INDEX('×入力'!$A$1:$L$1300,846,2+AL$2)&lt;&gt;"",INDEX('×入力'!$A$1:$L$1300,847+AL$3,1)&lt;&gt;""),1,0),0)</f>
        <v/>
      </c>
      <c r="AM40">
        <f>IF(AM$4=1,IF(OR(INDEX('×入力'!$A$1:$L$1300,847+AM$3,2+AM$2)&lt;&gt;"",INDEX('×入力'!$A$1:$L$1300,846,2+AM$2)&lt;&gt;"",INDEX('×入力'!$A$1:$L$1300,847+AM$3,1)&lt;&gt;""),1,0),0)</f>
        <v/>
      </c>
      <c r="AN40">
        <f>IF(AN$4=1,IF(OR(INDEX('×入力'!$A$1:$L$1300,847+AN$3,2+AN$2)&lt;&gt;"",INDEX('×入力'!$A$1:$L$1300,846,2+AN$2)&lt;&gt;"",INDEX('×入力'!$A$1:$L$1300,847+AN$3,1)&lt;&gt;""),1,0),0)</f>
        <v/>
      </c>
      <c r="AO40">
        <f>IF(AO$4=1,IF(OR(INDEX('×入力'!$A$1:$L$1300,847+AO$3,2+AO$2)&lt;&gt;"",INDEX('×入力'!$A$1:$L$1300,846,2+AO$2)&lt;&gt;"",INDEX('×入力'!$A$1:$L$1300,847+AO$3,1)&lt;&gt;""),1,0),0)</f>
        <v/>
      </c>
      <c r="AP40">
        <f>IF(AP$4=1,IF(OR(INDEX('×入力'!$A$1:$L$1300,847+AP$3,2+AP$2)&lt;&gt;"",INDEX('×入力'!$A$1:$L$1300,846,2+AP$2)&lt;&gt;"",INDEX('×入力'!$A$1:$L$1300,847+AP$3,1)&lt;&gt;""),1,0),0)</f>
        <v/>
      </c>
      <c r="AQ40">
        <f>IF(AQ$4=1,IF(OR(INDEX('×入力'!$A$1:$L$1300,847+AQ$3,2+AQ$2)&lt;&gt;"",INDEX('×入力'!$A$1:$L$1300,846,2+AQ$2)&lt;&gt;"",INDEX('×入力'!$A$1:$L$1300,847+AQ$3,1)&lt;&gt;""),1,0),0)</f>
        <v/>
      </c>
      <c r="AR40">
        <f>IF(AR$4=1,IF(OR(INDEX('×入力'!$A$1:$L$1300,847+AR$3,2+AR$2)&lt;&gt;"",INDEX('×入力'!$A$1:$L$1300,846,2+AR$2)&lt;&gt;"",INDEX('×入力'!$A$1:$L$1300,847+AR$3,1)&lt;&gt;""),1,0),0)</f>
        <v/>
      </c>
      <c r="AS40">
        <f>IF(AS$4=1,IF(OR(INDEX('×入力'!$A$1:$L$1300,847+AS$3,2+AS$2)&lt;&gt;"",INDEX('×入力'!$A$1:$L$1300,846,2+AS$2)&lt;&gt;"",INDEX('×入力'!$A$1:$L$1300,847+AS$3,1)&lt;&gt;""),1,0),0)</f>
        <v/>
      </c>
      <c r="AT40">
        <f>IF(AT$4=1,IF(OR(INDEX('×入力'!$A$1:$L$1300,847+AT$3,2+AT$2)&lt;&gt;"",INDEX('×入力'!$A$1:$L$1300,846,2+AT$2)&lt;&gt;"",INDEX('×入力'!$A$1:$L$1300,847+AT$3,1)&lt;&gt;""),1,0),0)</f>
        <v/>
      </c>
      <c r="AU40">
        <f>IF(AU$4=1,IF(OR(INDEX('×入力'!$A$1:$L$1300,847+AU$3,2+AU$2)&lt;&gt;"",INDEX('×入力'!$A$1:$L$1300,846,2+AU$2)&lt;&gt;"",INDEX('×入力'!$A$1:$L$1300,847+AU$3,1)&lt;&gt;""),1,0),0)</f>
        <v/>
      </c>
      <c r="AV40">
        <f>IF(AV$4=1,IF(OR(INDEX('×入力'!$A$1:$L$1300,847+AV$3,2+AV$2)&lt;&gt;"",INDEX('×入力'!$A$1:$L$1300,846,2+AV$2)&lt;&gt;"",INDEX('×入力'!$A$1:$L$1300,847+AV$3,1)&lt;&gt;""),1,0),0)</f>
        <v/>
      </c>
      <c r="AW40">
        <f>IF(AW$4=1,IF(OR(INDEX('×入力'!$A$1:$L$1300,847+AW$3,2+AW$2)&lt;&gt;"",INDEX('×入力'!$A$1:$L$1300,846,2+AW$2)&lt;&gt;"",INDEX('×入力'!$A$1:$L$1300,847+AW$3,1)&lt;&gt;""),1,0),0)</f>
        <v/>
      </c>
      <c r="AX40">
        <f>IF(AX$4=1,IF(OR(INDEX('×入力'!$A$1:$L$1300,847+AX$3,2+AX$2)&lt;&gt;"",INDEX('×入力'!$A$1:$L$1300,846,2+AX$2)&lt;&gt;"",INDEX('×入力'!$A$1:$L$1300,847+AX$3,1)&lt;&gt;""),1,0),0)</f>
        <v/>
      </c>
      <c r="AY40">
        <f>IF(AY$4=1,IF(OR(INDEX('×入力'!$A$1:$L$1300,847+AY$3,2+AY$2)&lt;&gt;"",INDEX('×入力'!$A$1:$L$1300,846,2+AY$2)&lt;&gt;"",INDEX('×入力'!$A$1:$L$1300,847+AY$3,1)&lt;&gt;""),1,0),0)</f>
        <v/>
      </c>
      <c r="AZ40">
        <f>IF(AZ$4=1,IF(OR(INDEX('×入力'!$A$1:$L$1300,847+AZ$3,2+AZ$2)&lt;&gt;"",INDEX('×入力'!$A$1:$L$1300,846,2+AZ$2)&lt;&gt;"",INDEX('×入力'!$A$1:$L$1300,847+AZ$3,1)&lt;&gt;""),1,0),0)</f>
        <v/>
      </c>
      <c r="BA40">
        <f>IF(BA$4=1,IF(OR(INDEX('×入力'!$A$1:$L$1300,847+BA$3,2+BA$2)&lt;&gt;"",INDEX('×入力'!$A$1:$L$1300,846,2+BA$2)&lt;&gt;"",INDEX('×入力'!$A$1:$L$1300,847+BA$3,1)&lt;&gt;""),1,0),0)</f>
        <v/>
      </c>
      <c r="BB40">
        <f>IF(BB$4=1,IF(OR(INDEX('×入力'!$A$1:$L$1300,847+BB$3,2+BB$2)&lt;&gt;"",INDEX('×入力'!$A$1:$L$1300,846,2+BB$2)&lt;&gt;"",INDEX('×入力'!$A$1:$L$1300,847+BB$3,1)&lt;&gt;""),1,0),0)</f>
        <v/>
      </c>
      <c r="BC40">
        <f>IF(BC$4=1,IF(OR(INDEX('×入力'!$A$1:$L$1300,847+BC$3,2+BC$2)&lt;&gt;"",INDEX('×入力'!$A$1:$L$1300,846,2+BC$2)&lt;&gt;"",INDEX('×入力'!$A$1:$L$1300,847+BC$3,1)&lt;&gt;""),1,0),0)</f>
        <v/>
      </c>
      <c r="BD40">
        <f>IF(BD$4=1,IF(OR(INDEX('×入力'!$A$1:$L$1300,847+BD$3,2+BD$2)&lt;&gt;"",INDEX('×入力'!$A$1:$L$1300,846,2+BD$2)&lt;&gt;"",INDEX('×入力'!$A$1:$L$1300,847+BD$3,1)&lt;&gt;""),1,0),0)</f>
        <v/>
      </c>
      <c r="BE40">
        <f>IF(BE$4=1,IF(OR(INDEX('×入力'!$A$1:$L$1300,847+BE$3,2+BE$2)&lt;&gt;"",INDEX('×入力'!$A$1:$L$1300,846,2+BE$2)&lt;&gt;"",INDEX('×入力'!$A$1:$L$1300,847+BE$3,1)&lt;&gt;""),1,0),0)</f>
        <v/>
      </c>
      <c r="BF40">
        <f>IF(BF$4=1,IF(OR(INDEX('×入力'!$A$1:$L$1300,847+BF$3,2+BF$2)&lt;&gt;"",INDEX('×入力'!$A$1:$L$1300,846,2+BF$2)&lt;&gt;"",INDEX('×入力'!$A$1:$L$1300,847+BF$3,1)&lt;&gt;""),1,0),0)</f>
        <v/>
      </c>
      <c r="BG40">
        <f>IF(BG$4=1,IF(OR(INDEX('×入力'!$A$1:$L$1300,847+BG$3,2+BG$2)&lt;&gt;"",INDEX('×入力'!$A$1:$L$1300,846,2+BG$2)&lt;&gt;"",INDEX('×入力'!$A$1:$L$1300,847+BG$3,1)&lt;&gt;""),1,0),0)</f>
        <v/>
      </c>
      <c r="BH40">
        <f>IF(BH$4=1,IF(OR(INDEX('×入力'!$A$1:$L$1300,847+BH$3,2+BH$2)&lt;&gt;"",INDEX('×入力'!$A$1:$L$1300,846,2+BH$2)&lt;&gt;"",INDEX('×入力'!$A$1:$L$1300,847+BH$3,1)&lt;&gt;""),1,0),0)</f>
        <v/>
      </c>
      <c r="BI40">
        <f>IF(BI$4=1,IF(OR(INDEX('×入力'!$A$1:$L$1300,847+BI$3,2+BI$2)&lt;&gt;"",INDEX('×入力'!$A$1:$L$1300,846,2+BI$2)&lt;&gt;"",INDEX('×入力'!$A$1:$L$1300,847+BI$3,1)&lt;&gt;""),1,0),0)</f>
        <v/>
      </c>
      <c r="BJ40">
        <f>IF(BJ$4=1,IF(OR(INDEX('×入力'!$A$1:$L$1300,847+BJ$3,2+BJ$2)&lt;&gt;"",INDEX('×入力'!$A$1:$L$1300,846,2+BJ$2)&lt;&gt;"",INDEX('×入力'!$A$1:$L$1300,847+BJ$3,1)&lt;&gt;""),1,0),0)</f>
        <v/>
      </c>
      <c r="BK40">
        <f>IF(BK$4=1,IF(OR(INDEX('×入力'!$A$1:$L$1300,847+BK$3,2+BK$2)&lt;&gt;"",INDEX('×入力'!$A$1:$L$1300,846,2+BK$2)&lt;&gt;"",INDEX('×入力'!$A$1:$L$1300,847+BK$3,1)&lt;&gt;""),1,0),0)</f>
        <v/>
      </c>
      <c r="BL40">
        <f>IF(BL$4=1,IF(OR(INDEX('×入力'!$A$1:$L$1300,847+BL$3,2+BL$2)&lt;&gt;"",INDEX('×入力'!$A$1:$L$1300,846,2+BL$2)&lt;&gt;"",INDEX('×入力'!$A$1:$L$1300,847+BL$3,1)&lt;&gt;""),1,0),0)</f>
        <v/>
      </c>
      <c r="BM40">
        <f>IF(BM$4=1,IF(OR(INDEX('×入力'!$A$1:$L$1300,847+BM$3,2+BM$2)&lt;&gt;"",INDEX('×入力'!$A$1:$L$1300,846,2+BM$2)&lt;&gt;"",INDEX('×入力'!$A$1:$L$1300,847+BM$3,1)&lt;&gt;""),1,0),0)</f>
        <v/>
      </c>
      <c r="BN40">
        <f>IF(BN$4=1,IF(OR(INDEX('×入力'!$A$1:$L$1300,847+BN$3,2+BN$2)&lt;&gt;"",INDEX('×入力'!$A$1:$L$1300,846,2+BN$2)&lt;&gt;"",INDEX('×入力'!$A$1:$L$1300,847+BN$3,1)&lt;&gt;""),1,0),0)</f>
        <v/>
      </c>
      <c r="BO40">
        <f>IF(BO$4=1,IF(OR(INDEX('×入力'!$A$1:$L$1300,847+BO$3,2+BO$2)&lt;&gt;"",INDEX('×入力'!$A$1:$L$1300,846,2+BO$2)&lt;&gt;"",INDEX('×入力'!$A$1:$L$1300,847+BO$3,1)&lt;&gt;""),1,0),0)</f>
        <v/>
      </c>
      <c r="BP40">
        <f>IF(BP$4=1,IF(OR(INDEX('×入力'!$A$1:$L$1300,847+BP$3,2+BP$2)&lt;&gt;"",INDEX('×入力'!$A$1:$L$1300,846,2+BP$2)&lt;&gt;"",INDEX('×入力'!$A$1:$L$1300,847+BP$3,1)&lt;&gt;""),1,0),0)</f>
        <v/>
      </c>
      <c r="BQ40">
        <f>IF(BQ$4=1,IF(OR(INDEX('×入力'!$A$1:$L$1300,847+BQ$3,2+BQ$2)&lt;&gt;"",INDEX('×入力'!$A$1:$L$1300,846,2+BQ$2)&lt;&gt;"",INDEX('×入力'!$A$1:$L$1300,847+BQ$3,1)&lt;&gt;""),1,0),0)</f>
        <v/>
      </c>
      <c r="BR40">
        <f>IF(BR$4=1,IF(OR(INDEX('×入力'!$A$1:$L$1300,847+BR$3,2+BR$2)&lt;&gt;"",INDEX('×入力'!$A$1:$L$1300,846,2+BR$2)&lt;&gt;"",INDEX('×入力'!$A$1:$L$1300,847+BR$3,1)&lt;&gt;""),1,0),0)</f>
        <v/>
      </c>
      <c r="BS40">
        <f>IF(BS$4=1,IF(OR(INDEX('×入力'!$A$1:$L$1300,847+BS$3,2+BS$2)&lt;&gt;"",INDEX('×入力'!$A$1:$L$1300,846,2+BS$2)&lt;&gt;"",INDEX('×入力'!$A$1:$L$1300,847+BS$3,1)&lt;&gt;""),1,0),0)</f>
        <v/>
      </c>
      <c r="BT40">
        <f>IF(BT$4=1,IF(OR(INDEX('×入力'!$A$1:$L$1300,847+BT$3,2+BT$2)&lt;&gt;"",INDEX('×入力'!$A$1:$L$1300,846,2+BT$2)&lt;&gt;"",INDEX('×入力'!$A$1:$L$1300,847+BT$3,1)&lt;&gt;""),1,0),0)</f>
        <v/>
      </c>
      <c r="BU40">
        <f>IF(BU$4=1,IF(OR(INDEX('×入力'!$A$1:$L$1300,847+BU$3,2+BU$2)&lt;&gt;"",INDEX('×入力'!$A$1:$L$1300,846,2+BU$2)&lt;&gt;"",INDEX('×入力'!$A$1:$L$1300,847+BU$3,1)&lt;&gt;""),1,0),0)</f>
        <v/>
      </c>
      <c r="BV40">
        <f>IF(BV$4=1,IF(OR(INDEX('×入力'!$A$1:$L$1300,847+BV$3,2+BV$2)&lt;&gt;"",INDEX('×入力'!$A$1:$L$1300,846,2+BV$2)&lt;&gt;"",INDEX('×入力'!$A$1:$L$1300,847+BV$3,1)&lt;&gt;""),1,0),0)</f>
        <v/>
      </c>
      <c r="BW40">
        <f>IF(BW$4=1,IF(OR(INDEX('×入力'!$A$1:$L$1300,847+BW$3,2+BW$2)&lt;&gt;"",INDEX('×入力'!$A$1:$L$1300,846,2+BW$2)&lt;&gt;"",INDEX('×入力'!$A$1:$L$1300,847+BW$3,1)&lt;&gt;""),1,0),0)</f>
        <v/>
      </c>
      <c r="BX40">
        <f>IF(BX$4=1,IF(OR(INDEX('×入力'!$A$1:$L$1300,847+BX$3,2+BX$2)&lt;&gt;"",INDEX('×入力'!$A$1:$L$1300,846,2+BX$2)&lt;&gt;"",INDEX('×入力'!$A$1:$L$1300,847+BX$3,1)&lt;&gt;""),1,0),0)</f>
        <v/>
      </c>
      <c r="BY40">
        <f>IF(BY$4=1,IF(OR(INDEX('×入力'!$A$1:$L$1300,847+BY$3,2+BY$2)&lt;&gt;"",INDEX('×入力'!$A$1:$L$1300,846,2+BY$2)&lt;&gt;"",INDEX('×入力'!$A$1:$L$1300,847+BY$3,1)&lt;&gt;""),1,0),0)</f>
        <v/>
      </c>
      <c r="BZ40">
        <f>IF(BZ$4=1,IF(OR(INDEX('×入力'!$A$1:$L$1300,847+BZ$3,2+BZ$2)&lt;&gt;"",INDEX('×入力'!$A$1:$L$1300,846,2+BZ$2)&lt;&gt;"",INDEX('×入力'!$A$1:$L$1300,847+BZ$3,1)&lt;&gt;""),1,0),0)</f>
        <v/>
      </c>
      <c r="CA40">
        <f>IF(CA$4=1,IF(OR(INDEX('×入力'!$A$1:$L$1300,847+CA$3,2+CA$2)&lt;&gt;"",INDEX('×入力'!$A$1:$L$1300,846,2+CA$2)&lt;&gt;"",INDEX('×入力'!$A$1:$L$1300,847+CA$3,1)&lt;&gt;""),1,0),0)</f>
        <v/>
      </c>
      <c r="CB40">
        <f>IF(CB$4=1,IF(OR(INDEX('×入力'!$A$1:$L$1300,847+CB$3,2+CB$2)&lt;&gt;"",INDEX('×入力'!$A$1:$L$1300,846,2+CB$2)&lt;&gt;"",INDEX('×入力'!$A$1:$L$1300,847+CB$3,1)&lt;&gt;""),1,0),0)</f>
        <v/>
      </c>
      <c r="CC40">
        <f>IF(CC$4=1,IF(OR(INDEX('×入力'!$A$1:$L$1300,847+CC$3,2+CC$2)&lt;&gt;"",INDEX('×入力'!$A$1:$L$1300,846,2+CC$2)&lt;&gt;"",INDEX('×入力'!$A$1:$L$1300,847+CC$3,1)&lt;&gt;""),1,0),0)</f>
        <v/>
      </c>
      <c r="CD40">
        <f>IF(CD$4=1,IF(OR(INDEX('×入力'!$A$1:$L$1300,847+CD$3,2+CD$2)&lt;&gt;"",INDEX('×入力'!$A$1:$L$1300,846,2+CD$2)&lt;&gt;"",INDEX('×入力'!$A$1:$L$1300,847+CD$3,1)&lt;&gt;""),1,0),0)</f>
        <v/>
      </c>
      <c r="CE40">
        <f>IF(CE$4=1,IF(OR(INDEX('×入力'!$A$1:$L$1300,847+CE$3,2+CE$2)&lt;&gt;"",INDEX('×入力'!$A$1:$L$1300,846,2+CE$2)&lt;&gt;"",INDEX('×入力'!$A$1:$L$1300,847+CE$3,1)&lt;&gt;""),1,0),0)</f>
        <v/>
      </c>
      <c r="CF40">
        <f>IF(CF$4=1,IF(OR(INDEX('×入力'!$A$1:$L$1300,847+CF$3,2+CF$2)&lt;&gt;"",INDEX('×入力'!$A$1:$L$1300,846,2+CF$2)&lt;&gt;"",INDEX('×入力'!$A$1:$L$1300,847+CF$3,1)&lt;&gt;""),1,0),0)</f>
        <v/>
      </c>
      <c r="CG40">
        <f>IF(CG$4=1,IF(OR(INDEX('×入力'!$A$1:$L$1300,847+CG$3,2+CG$2)&lt;&gt;"",INDEX('×入力'!$A$1:$L$1300,846,2+CG$2)&lt;&gt;"",INDEX('×入力'!$A$1:$L$1300,847+CG$3,1)&lt;&gt;""),1,0),0)</f>
        <v/>
      </c>
      <c r="CH40">
        <f>IF(CH$4=1,IF(OR(INDEX('×入力'!$A$1:$L$1300,847+CH$3,2+CH$2)&lt;&gt;"",INDEX('×入力'!$A$1:$L$1300,846,2+CH$2)&lt;&gt;"",INDEX('×入力'!$A$1:$L$1300,847+CH$3,1)&lt;&gt;""),1,0),0)</f>
        <v/>
      </c>
      <c r="CI40">
        <f>IF(CI$4=1,IF(OR(INDEX('×入力'!$A$1:$L$1300,847+CI$3,2+CI$2)&lt;&gt;"",INDEX('×入力'!$A$1:$L$1300,846,2+CI$2)&lt;&gt;"",INDEX('×入力'!$A$1:$L$1300,847+CI$3,1)&lt;&gt;""),1,0),0)</f>
        <v/>
      </c>
      <c r="CJ40">
        <f>IF(CJ$4=1,IF(OR(INDEX('×入力'!$A$1:$L$1300,847+CJ$3,2+CJ$2)&lt;&gt;"",INDEX('×入力'!$A$1:$L$1300,846,2+CJ$2)&lt;&gt;"",INDEX('×入力'!$A$1:$L$1300,847+CJ$3,1)&lt;&gt;""),1,0),0)</f>
        <v/>
      </c>
      <c r="CK40">
        <f>IF(CK$4=1,IF(OR(INDEX('×入力'!$A$1:$L$1300,847+CK$3,2+CK$2)&lt;&gt;"",INDEX('×入力'!$A$1:$L$1300,846,2+CK$2)&lt;&gt;"",INDEX('×入力'!$A$1:$L$1300,847+CK$3,1)&lt;&gt;""),1,0),0)</f>
        <v/>
      </c>
      <c r="CL40">
        <f>IF(CL$4=1,IF(OR(INDEX('×入力'!$A$1:$L$1300,847+CL$3,2+CL$2)&lt;&gt;"",INDEX('×入力'!$A$1:$L$1300,846,2+CL$2)&lt;&gt;"",INDEX('×入力'!$A$1:$L$1300,847+CL$3,1)&lt;&gt;""),1,0),0)</f>
        <v/>
      </c>
      <c r="CM40">
        <f>IF(CM$4=1,IF(OR(INDEX('×入力'!$A$1:$L$1300,847+CM$3,2+CM$2)&lt;&gt;"",INDEX('×入力'!$A$1:$L$1300,846,2+CM$2)&lt;&gt;"",INDEX('×入力'!$A$1:$L$1300,847+CM$3,1)&lt;&gt;""),1,0),0)</f>
        <v/>
      </c>
      <c r="CN40">
        <f>IF(CN$4=1,IF(OR(INDEX('×入力'!$A$1:$L$1300,847+CN$3,2+CN$2)&lt;&gt;"",INDEX('×入力'!$A$1:$L$1300,846,2+CN$2)&lt;&gt;"",INDEX('×入力'!$A$1:$L$1300,847+CN$3,1)&lt;&gt;""),1,0),0)</f>
        <v/>
      </c>
      <c r="CO40">
        <f>IF(CO$4=1,IF(OR(INDEX('×入力'!$A$1:$L$1300,847+CO$3,2+CO$2)&lt;&gt;"",INDEX('×入力'!$A$1:$L$1300,846,2+CO$2)&lt;&gt;"",INDEX('×入力'!$A$1:$L$1300,847+CO$3,1)&lt;&gt;""),1,0),0)</f>
        <v/>
      </c>
      <c r="CP40">
        <f>IF(CP$4=1,IF(OR(INDEX('×入力'!$A$1:$L$1300,847+CP$3,2+CP$2)&lt;&gt;"",INDEX('×入力'!$A$1:$L$1300,846,2+CP$2)&lt;&gt;"",INDEX('×入力'!$A$1:$L$1300,847+CP$3,1)&lt;&gt;""),1,0),0)</f>
        <v/>
      </c>
      <c r="CQ40">
        <f>IF(CQ$4=1,IF(OR(INDEX('×入力'!$A$1:$L$1300,847+CQ$3,2+CQ$2)&lt;&gt;"",INDEX('×入力'!$A$1:$L$1300,846,2+CQ$2)&lt;&gt;"",INDEX('×入力'!$A$1:$L$1300,847+CQ$3,1)&lt;&gt;""),1,0),0)</f>
        <v/>
      </c>
      <c r="CR40">
        <f>IF(CR$4=1,IF(OR(INDEX('×入力'!$A$1:$L$1300,847+CR$3,2+CR$2)&lt;&gt;"",INDEX('×入力'!$A$1:$L$1300,846,2+CR$2)&lt;&gt;"",INDEX('×入力'!$A$1:$L$1300,847+CR$3,1)&lt;&gt;""),1,0),0)</f>
        <v/>
      </c>
      <c r="CS40">
        <f>IF(CS$4=1,IF(OR(INDEX('×入力'!$A$1:$L$1300,847+CS$3,2+CS$2)&lt;&gt;"",INDEX('×入力'!$A$1:$L$1300,846,2+CS$2)&lt;&gt;"",INDEX('×入力'!$A$1:$L$1300,847+CS$3,1)&lt;&gt;""),1,0),0)</f>
        <v/>
      </c>
      <c r="CT40">
        <f>IF(CT$4=1,IF(OR(INDEX('×入力'!$A$1:$L$1300,847+CT$3,2+CT$2)&lt;&gt;"",INDEX('×入力'!$A$1:$L$1300,846,2+CT$2)&lt;&gt;"",INDEX('×入力'!$A$1:$L$1300,847+CT$3,1)&lt;&gt;""),1,0),0)</f>
        <v/>
      </c>
      <c r="CU40">
        <f>IF(CU$4=1,IF(OR(INDEX('×入力'!$A$1:$L$1300,847+CU$3,2+CU$2)&lt;&gt;"",INDEX('×入力'!$A$1:$L$1300,846,2+CU$2)&lt;&gt;"",INDEX('×入力'!$A$1:$L$1300,847+CU$3,1)&lt;&gt;""),1,0),0)</f>
        <v/>
      </c>
      <c r="CV40">
        <f>IF(CV$4=1,IF(OR(INDEX('×入力'!$A$1:$L$1300,847+CV$3,2+CV$2)&lt;&gt;"",INDEX('×入力'!$A$1:$L$1300,846,2+CV$2)&lt;&gt;"",INDEX('×入力'!$A$1:$L$1300,847+CV$3,1)&lt;&gt;""),1,0),0)</f>
        <v/>
      </c>
      <c r="CW40">
        <f>IF(CW$4=1,IF(OR(INDEX('×入力'!$A$1:$L$1300,847+CW$3,2+CW$2)&lt;&gt;"",INDEX('×入力'!$A$1:$L$1300,846,2+CW$2)&lt;&gt;"",INDEX('×入力'!$A$1:$L$1300,847+CW$3,1)&lt;&gt;""),1,0),0)</f>
        <v/>
      </c>
      <c r="CX40">
        <f>IF(CX$4=1,IF(OR(INDEX('×入力'!$A$1:$L$1300,847+CX$3,2+CX$2)&lt;&gt;"",INDEX('×入力'!$A$1:$L$1300,846,2+CX$2)&lt;&gt;"",INDEX('×入力'!$A$1:$L$1300,847+CX$3,1)&lt;&gt;""),1,0),0)</f>
        <v/>
      </c>
      <c r="CY40">
        <f>IF(CY$4=1,IF(OR(INDEX('×入力'!$A$1:$L$1300,847+CY$3,2+CY$2)&lt;&gt;"",INDEX('×入力'!$A$1:$L$1300,846,2+CY$2)&lt;&gt;"",INDEX('×入力'!$A$1:$L$1300,847+CY$3,1)&lt;&gt;""),1,0),0)</f>
        <v/>
      </c>
      <c r="CZ40">
        <f>IF(CZ$4=1,IF(OR(INDEX('×入力'!$A$1:$L$1300,847+CZ$3,2+CZ$2)&lt;&gt;"",INDEX('×入力'!$A$1:$L$1300,846,2+CZ$2)&lt;&gt;"",INDEX('×入力'!$A$1:$L$1300,847+CZ$3,1)&lt;&gt;""),1,0),0)</f>
        <v/>
      </c>
      <c r="DA40">
        <f>IF(DA$4=1,IF(OR(INDEX('×入力'!$A$1:$L$1300,847+DA$3,2+DA$2)&lt;&gt;"",INDEX('×入力'!$A$1:$L$1300,846,2+DA$2)&lt;&gt;"",INDEX('×入力'!$A$1:$L$1300,847+DA$3,1)&lt;&gt;""),1,0),0)</f>
        <v/>
      </c>
      <c r="DB40">
        <f>IF(DB$4=1,IF(OR(INDEX('×入力'!$A$1:$L$1300,847+DB$3,2+DB$2)&lt;&gt;"",INDEX('×入力'!$A$1:$L$1300,846,2+DB$2)&lt;&gt;"",INDEX('×入力'!$A$1:$L$1300,847+DB$3,1)&lt;&gt;""),1,0),0)</f>
        <v/>
      </c>
      <c r="DC40">
        <f>IF(DC$4=1,IF(OR(INDEX('×入力'!$A$1:$L$1300,847+DC$3,2+DC$2)&lt;&gt;"",INDEX('×入力'!$A$1:$L$1300,846,2+DC$2)&lt;&gt;"",INDEX('×入力'!$A$1:$L$1300,847+DC$3,1)&lt;&gt;""),1,0),0)</f>
        <v/>
      </c>
      <c r="DD40">
        <f>IF(DD$4=1,IF(OR(INDEX('×入力'!$A$1:$L$1300,847+DD$3,2+DD$2)&lt;&gt;"",INDEX('×入力'!$A$1:$L$1300,846,2+DD$2)&lt;&gt;"",INDEX('×入力'!$A$1:$L$1300,847+DD$3,1)&lt;&gt;""),1,0),0)</f>
        <v/>
      </c>
      <c r="DE40">
        <f>IF(DE$4=1,IF(OR(INDEX('×入力'!$A$1:$L$1300,847+DE$3,2+DE$2)&lt;&gt;"",INDEX('×入力'!$A$1:$L$1300,846,2+DE$2)&lt;&gt;"",INDEX('×入力'!$A$1:$L$1300,847+DE$3,1)&lt;&gt;""),1,0),0)</f>
        <v/>
      </c>
      <c r="DF40">
        <f>IF(DF$4=1,IF(OR(INDEX('×入力'!$A$1:$L$1300,847+DF$3,2+DF$2)&lt;&gt;"",INDEX('×入力'!$A$1:$L$1300,846,2+DF$2)&lt;&gt;"",INDEX('×入力'!$A$1:$L$1300,847+DF$3,1)&lt;&gt;""),1,0),0)</f>
        <v/>
      </c>
      <c r="DG40">
        <f>IF(DG$4=1,IF(OR(INDEX('×入力'!$A$1:$L$1300,847+DG$3,2+DG$2)&lt;&gt;"",INDEX('×入力'!$A$1:$L$1300,846,2+DG$2)&lt;&gt;"",INDEX('×入力'!$A$1:$L$1300,847+DG$3,1)&lt;&gt;""),1,0),0)</f>
        <v/>
      </c>
      <c r="DH40">
        <f>IF(DH$4=1,IF(OR(INDEX('×入力'!$A$1:$L$1300,847+DH$3,2+DH$2)&lt;&gt;"",INDEX('×入力'!$A$1:$L$1300,846,2+DH$2)&lt;&gt;"",INDEX('×入力'!$A$1:$L$1300,847+DH$3,1)&lt;&gt;""),1,0),0)</f>
        <v/>
      </c>
      <c r="DI40">
        <f>IF(DI$4=1,IF(OR(INDEX('×入力'!$A$1:$L$1300,847+DI$3,2+DI$2)&lt;&gt;"",INDEX('×入力'!$A$1:$L$1300,846,2+DI$2)&lt;&gt;"",INDEX('×入力'!$A$1:$L$1300,847+DI$3,1)&lt;&gt;""),1,0),0)</f>
        <v/>
      </c>
      <c r="DJ40">
        <f>IF(DJ$4=1,IF(OR(INDEX('×入力'!$A$1:$L$1300,847+DJ$3,2+DJ$2)&lt;&gt;"",INDEX('×入力'!$A$1:$L$1300,846,2+DJ$2)&lt;&gt;"",INDEX('×入力'!$A$1:$L$1300,847+DJ$3,1)&lt;&gt;""),1,0),0)</f>
        <v/>
      </c>
      <c r="DK40">
        <f>IF(DK$4=1,IF(OR(INDEX('×入力'!$A$1:$L$1300,847+DK$3,2+DK$2)&lt;&gt;"",INDEX('×入力'!$A$1:$L$1300,846,2+DK$2)&lt;&gt;"",INDEX('×入力'!$A$1:$L$1300,847+DK$3,1)&lt;&gt;""),1,0),0)</f>
        <v/>
      </c>
      <c r="DL40">
        <f>IF(DL$4=1,IF(OR(INDEX('×入力'!$A$1:$L$1300,847+DL$3,2+DL$2)&lt;&gt;"",INDEX('×入力'!$A$1:$L$1300,846,2+DL$2)&lt;&gt;"",INDEX('×入力'!$A$1:$L$1300,847+DL$3,1)&lt;&gt;""),1,0),0)</f>
        <v/>
      </c>
      <c r="DM40">
        <f>IF(DM$4=1,IF(OR(INDEX('×入力'!$A$1:$L$1300,847+DM$3,2+DM$2)&lt;&gt;"",INDEX('×入力'!$A$1:$L$1300,846,2+DM$2)&lt;&gt;"",INDEX('×入力'!$A$1:$L$1300,847+DM$3,1)&lt;&gt;""),1,0),0)</f>
        <v/>
      </c>
      <c r="DN40">
        <f>IF(DN$4=1,IF(OR(INDEX('×入力'!$A$1:$L$1300,847+DN$3,2+DN$2)&lt;&gt;"",INDEX('×入力'!$A$1:$L$1300,846,2+DN$2)&lt;&gt;"",INDEX('×入力'!$A$1:$L$1300,847+DN$3,1)&lt;&gt;""),1,0),0)</f>
        <v/>
      </c>
      <c r="DO40">
        <f>IF(DO$4=1,IF(OR(INDEX('×入力'!$A$1:$L$1300,847+DO$3,2+DO$2)&lt;&gt;"",INDEX('×入力'!$A$1:$L$1300,846,2+DO$2)&lt;&gt;"",INDEX('×入力'!$A$1:$L$1300,847+DO$3,1)&lt;&gt;""),1,0),0)</f>
        <v/>
      </c>
      <c r="DP40">
        <f>IF(DP$4=1,IF(OR(INDEX('×入力'!$A$1:$L$1300,847+DP$3,2+DP$2)&lt;&gt;"",INDEX('×入力'!$A$1:$L$1300,846,2+DP$2)&lt;&gt;"",INDEX('×入力'!$A$1:$L$1300,847+DP$3,1)&lt;&gt;""),1,0),0)</f>
        <v/>
      </c>
      <c r="DQ40">
        <f>IF(DQ$4=1,IF(OR(INDEX('×入力'!$A$1:$L$1300,847+DQ$3,2+DQ$2)&lt;&gt;"",INDEX('×入力'!$A$1:$L$1300,846,2+DQ$2)&lt;&gt;"",INDEX('×入力'!$A$1:$L$1300,847+DQ$3,1)&lt;&gt;""),1,0),0)</f>
        <v/>
      </c>
      <c r="DR40">
        <f>IF(DR$4=1,IF(OR(INDEX('×入力'!$A$1:$L$1300,847+DR$3,2+DR$2)&lt;&gt;"",INDEX('×入力'!$A$1:$L$1300,846,2+DR$2)&lt;&gt;"",INDEX('×入力'!$A$1:$L$1300,847+DR$3,1)&lt;&gt;""),1,0),0)</f>
        <v/>
      </c>
      <c r="DS40">
        <f>IF(DS$4=1,IF(OR(INDEX('×入力'!$A$1:$L$1300,847+DS$3,2+DS$2)&lt;&gt;"",INDEX('×入力'!$A$1:$L$1300,846,2+DS$2)&lt;&gt;"",INDEX('×入力'!$A$1:$L$1300,847+DS$3,1)&lt;&gt;""),1,0),0)</f>
        <v/>
      </c>
      <c r="DT40">
        <f>IF(DT$4=1,IF(OR(INDEX('×入力'!$A$1:$L$1300,847+DT$3,2+DT$2)&lt;&gt;"",INDEX('×入力'!$A$1:$L$1300,846,2+DT$2)&lt;&gt;"",INDEX('×入力'!$A$1:$L$1300,847+DT$3,1)&lt;&gt;""),1,0),0)</f>
        <v/>
      </c>
      <c r="DU40">
        <f>IF(DU$4=1,IF(OR(INDEX('×入力'!$A$1:$L$1300,847+DU$3,2+DU$2)&lt;&gt;"",INDEX('×入力'!$A$1:$L$1300,846,2+DU$2)&lt;&gt;"",INDEX('×入力'!$A$1:$L$1300,847+DU$3,1)&lt;&gt;""),1,0),0)</f>
        <v/>
      </c>
      <c r="DV40">
        <f>IF(DV$4=1,IF(OR(INDEX('×入力'!$A$1:$L$1300,847+DV$3,2+DV$2)&lt;&gt;"",INDEX('×入力'!$A$1:$L$1300,846,2+DV$2)&lt;&gt;"",INDEX('×入力'!$A$1:$L$1300,847+DV$3,1)&lt;&gt;""),1,0),0)</f>
        <v/>
      </c>
      <c r="DW40">
        <f>IF(DW$4=1,IF(OR(INDEX('×入力'!$A$1:$L$1300,847+DW$3,2+DW$2)&lt;&gt;"",INDEX('×入力'!$A$1:$L$1300,846,2+DW$2)&lt;&gt;"",INDEX('×入力'!$A$1:$L$1300,847+DW$3,1)&lt;&gt;""),1,0),0)</f>
        <v/>
      </c>
      <c r="DX40">
        <f>IF(DX$4=1,IF(OR(INDEX('×入力'!$A$1:$L$1300,847+DX$3,2+DX$2)&lt;&gt;"",INDEX('×入力'!$A$1:$L$1300,846,2+DX$2)&lt;&gt;"",INDEX('×入力'!$A$1:$L$1300,847+DX$3,1)&lt;&gt;""),1,0),0)</f>
        <v/>
      </c>
      <c r="DY40">
        <f>IF(DY$4=1,IF(OR(INDEX('×入力'!$A$1:$L$1300,847+DY$3,2+DY$2)&lt;&gt;"",INDEX('×入力'!$A$1:$L$1300,846,2+DY$2)&lt;&gt;"",INDEX('×入力'!$A$1:$L$1300,847+DY$3,1)&lt;&gt;""),1,0),0)</f>
        <v/>
      </c>
      <c r="DZ40">
        <f>IF(DZ$4=1,IF(OR(INDEX('×入力'!$A$1:$L$1300,847+DZ$3,2+DZ$2)&lt;&gt;"",INDEX('×入力'!$A$1:$L$1300,846,2+DZ$2)&lt;&gt;"",INDEX('×入力'!$A$1:$L$1300,847+DZ$3,1)&lt;&gt;""),1,0),0)</f>
        <v/>
      </c>
      <c r="EA40">
        <f>IF(EA$4=1,IF(OR(INDEX('×入力'!$A$1:$L$1300,847+EA$3,2+EA$2)&lt;&gt;"",INDEX('×入力'!$A$1:$L$1300,846,2+EA$2)&lt;&gt;"",INDEX('×入力'!$A$1:$L$1300,847+EA$3,1)&lt;&gt;""),1,0),0)</f>
        <v/>
      </c>
      <c r="EB40">
        <f>IF(EB$4=1,IF(OR(INDEX('×入力'!$A$1:$L$1300,847+EB$3,2+EB$2)&lt;&gt;"",INDEX('×入力'!$A$1:$L$1300,846,2+EB$2)&lt;&gt;"",INDEX('×入力'!$A$1:$L$1300,847+EB$3,1)&lt;&gt;""),1,0),0)</f>
        <v/>
      </c>
      <c r="EC40">
        <f>IF(EC$4=1,IF(OR(INDEX('×入力'!$A$1:$L$1300,847+EC$3,2+EC$2)&lt;&gt;"",INDEX('×入力'!$A$1:$L$1300,846,2+EC$2)&lt;&gt;"",INDEX('×入力'!$A$1:$L$1300,847+EC$3,1)&lt;&gt;""),1,0),0)</f>
        <v/>
      </c>
      <c r="ED40">
        <f>IF(ED$4=1,IF(OR(INDEX('×入力'!$A$1:$L$1300,847+ED$3,2+ED$2)&lt;&gt;"",INDEX('×入力'!$A$1:$L$1300,846,2+ED$2)&lt;&gt;"",INDEX('×入力'!$A$1:$L$1300,847+ED$3,1)&lt;&gt;""),1,0),0)</f>
        <v/>
      </c>
      <c r="EE40">
        <f>IF(EE$4=1,IF(OR(INDEX('×入力'!$A$1:$L$1300,847+EE$3,2+EE$2)&lt;&gt;"",INDEX('×入力'!$A$1:$L$1300,846,2+EE$2)&lt;&gt;"",INDEX('×入力'!$A$1:$L$1300,847+EE$3,1)&lt;&gt;""),1,0),0)</f>
        <v/>
      </c>
      <c r="EF40">
        <f>IF(EF$4=1,IF(OR(INDEX('×入力'!$A$1:$L$1300,847+EF$3,2+EF$2)&lt;&gt;"",INDEX('×入力'!$A$1:$L$1300,846,2+EF$2)&lt;&gt;"",INDEX('×入力'!$A$1:$L$1300,847+EF$3,1)&lt;&gt;""),1,0),0)</f>
        <v/>
      </c>
      <c r="EG40">
        <f>IF(EG$4=1,IF(OR(INDEX('×入力'!$A$1:$L$1300,847+EG$3,2+EG$2)&lt;&gt;"",INDEX('×入力'!$A$1:$L$1300,846,2+EG$2)&lt;&gt;"",INDEX('×入力'!$A$1:$L$1300,847+EG$3,1)&lt;&gt;""),1,0),0)</f>
        <v/>
      </c>
      <c r="EH40">
        <f>IF(EH$4=1,IF(OR(INDEX('×入力'!$A$1:$L$1300,847+EH$3,2+EH$2)&lt;&gt;"",INDEX('×入力'!$A$1:$L$1300,846,2+EH$2)&lt;&gt;"",INDEX('×入力'!$A$1:$L$1300,847+EH$3,1)&lt;&gt;""),1,0),0)</f>
        <v/>
      </c>
      <c r="EI40">
        <f>IF(EI$4=1,IF(OR(INDEX('×入力'!$A$1:$L$1300,847+EI$3,2+EI$2)&lt;&gt;"",INDEX('×入力'!$A$1:$L$1300,846,2+EI$2)&lt;&gt;"",INDEX('×入力'!$A$1:$L$1300,847+EI$3,1)&lt;&gt;""),1,0),0)</f>
        <v/>
      </c>
      <c r="EJ40">
        <f>IF(EJ$4=1,IF(OR(INDEX('×入力'!$A$1:$L$1300,847+EJ$3,2+EJ$2)&lt;&gt;"",INDEX('×入力'!$A$1:$L$1300,846,2+EJ$2)&lt;&gt;"",INDEX('×入力'!$A$1:$L$1300,847+EJ$3,1)&lt;&gt;""),1,0),0)</f>
        <v/>
      </c>
      <c r="EK40">
        <f>IF(EK$4=1,IF(OR(INDEX('×入力'!$A$1:$L$1300,847+EK$3,2+EK$2)&lt;&gt;"",INDEX('×入力'!$A$1:$L$1300,846,2+EK$2)&lt;&gt;"",INDEX('×入力'!$A$1:$L$1300,847+EK$3,1)&lt;&gt;""),1,0),0)</f>
        <v/>
      </c>
      <c r="EL40">
        <f>IF(EL$4=1,IF(OR(INDEX('×入力'!$A$1:$L$1300,847+EL$3,2+EL$2)&lt;&gt;"",INDEX('×入力'!$A$1:$L$1300,846,2+EL$2)&lt;&gt;"",INDEX('×入力'!$A$1:$L$1300,847+EL$3,1)&lt;&gt;""),1,0),0)</f>
        <v/>
      </c>
      <c r="EM40">
        <f>IF(EM$4=1,IF(OR(INDEX('×入力'!$A$1:$L$1300,847+EM$3,2+EM$2)&lt;&gt;"",INDEX('×入力'!$A$1:$L$1300,846,2+EM$2)&lt;&gt;"",INDEX('×入力'!$A$1:$L$1300,847+EM$3,1)&lt;&gt;""),1,0),0)</f>
        <v/>
      </c>
      <c r="EN40">
        <f>IF(EN$4=1,IF(OR(INDEX('×入力'!$A$1:$L$1300,847+EN$3,2+EN$2)&lt;&gt;"",INDEX('×入力'!$A$1:$L$1300,846,2+EN$2)&lt;&gt;"",INDEX('×入力'!$A$1:$L$1300,847+EN$3,1)&lt;&gt;""),1,0),0)</f>
        <v/>
      </c>
      <c r="EO40">
        <f>IF(EO$4=1,IF(OR(INDEX('×入力'!$A$1:$L$1300,847+EO$3,2+EO$2)&lt;&gt;"",INDEX('×入力'!$A$1:$L$1300,846,2+EO$2)&lt;&gt;"",INDEX('×入力'!$A$1:$L$1300,847+EO$3,1)&lt;&gt;""),1,0),0)</f>
        <v/>
      </c>
      <c r="EP40">
        <f>IF(EP$4=1,IF(OR(INDEX('×入力'!$A$1:$L$1300,847+EP$3,2+EP$2)&lt;&gt;"",INDEX('×入力'!$A$1:$L$1300,846,2+EP$2)&lt;&gt;"",INDEX('×入力'!$A$1:$L$1300,847+EP$3,1)&lt;&gt;""),1,0),0)</f>
        <v/>
      </c>
      <c r="EQ40">
        <f>IF(EQ$4=1,IF(OR(INDEX('×入力'!$A$1:$L$1300,847+EQ$3,2+EQ$2)&lt;&gt;"",INDEX('×入力'!$A$1:$L$1300,846,2+EQ$2)&lt;&gt;"",INDEX('×入力'!$A$1:$L$1300,847+EQ$3,1)&lt;&gt;""),1,0),0)</f>
        <v/>
      </c>
      <c r="HA40">
        <f>MAX(0,IT40)</f>
        <v/>
      </c>
      <c r="HB40">
        <f>IF(HA40=0,0,INDEX($D$2:$EQ$2,HA40))</f>
        <v/>
      </c>
      <c r="HC40">
        <f>IF(HA40=0,0,INDEX($D$3:$EQ$3,HA40))</f>
        <v/>
      </c>
      <c r="HD40">
        <f>MAX(0,IY40)</f>
        <v/>
      </c>
      <c r="HE40">
        <f>IF(HD40=0,0,INDEX($D$2:$EQ$2,HD40))</f>
        <v/>
      </c>
      <c r="HF40">
        <f>IF(HD40=0,0,INDEX($D$3:$EQ$3,HD40))</f>
        <v/>
      </c>
      <c r="HG40">
        <f>MAX(0,IZ40)</f>
        <v/>
      </c>
      <c r="HH40">
        <f>IF(HG40=0,0,INDEX($D$2:$EQ$2,HG40))</f>
        <v/>
      </c>
      <c r="HI40">
        <f>IF(HG40=0,0,INDEX($D$3:$EQ$3,HG40))</f>
        <v/>
      </c>
      <c r="HJ40">
        <f>IF(AND(HA40&gt;0,HC40&gt;1,OR(HC40-1&lt;&gt;$A$3,$A$4=0)),HA40-1,-1)</f>
        <v/>
      </c>
      <c r="HK40">
        <f>IF(AND(HA40&gt;0,HC40&lt;24,OR(HC40&lt;&gt;$A$3,$A$4=0)),HA40+1,-1)</f>
        <v/>
      </c>
      <c r="HL40">
        <f>IF(AND(HD40&gt;0,HF40&gt;1,OR(HF40-1&lt;&gt;$A$3,$A$4=0)),HD40-1,-1)</f>
        <v/>
      </c>
      <c r="HM40">
        <f>IF(AND(HD40&gt;0,HF40&lt;24,OR(HF40&lt;&gt;$A$3,$A$4=0)),HD40+1,-1)</f>
        <v/>
      </c>
      <c r="HN40">
        <f>IF(AND(HG40&gt;0,HI40&gt;1,OR(HI40-1&lt;&gt;$A$3,$A$4=0)),HG40-1,-1)</f>
        <v/>
      </c>
      <c r="HO40">
        <f>IF(AND(HG40&gt;0,HI40&lt;24,OR(HI40&lt;&gt;$A$3,$A$4=0)),HG40+1,-1)</f>
        <v/>
      </c>
      <c r="IK40">
        <f>IFERROR(INDEX('calcB'!$C$3:$C$47,MATCH(A40,'calcB'!$B$3:$B$47,0)),0)</f>
        <v/>
      </c>
      <c r="IL40">
        <f>IF(AND(C40=1,IK40=0,calcA!$A$6&gt;0),1,0)</f>
        <v/>
      </c>
      <c r="IM40">
        <f>SUMPRODUCT(D90:EQ90*(1-$D$7:$EQ$7))</f>
        <v/>
      </c>
      <c r="IN40">
        <f>SUM(D40:EQ40)</f>
        <v/>
      </c>
      <c r="IO40">
        <f>IF(B40="",0,IF(COUNTIF('調整・決定'!$C$6:$H$29,B40)=1,SUMPRODUCT(('調整・決定'!$C$6:$H$29=B40)*((COLUMN('調整・決定'!$C$6:$H$29)-3)*24+ROW('調整・決定'!$C$6:$H$29)-5)),0))</f>
        <v/>
      </c>
      <c r="IP40">
        <f>IFERROR(MATCH('名簿'!C35,{"早い時刻","遅い時刻","早い日","遅い日"},0),0)</f>
        <v/>
      </c>
      <c r="IQ40">
        <f>IF('名簿'!D35="必ず空けたい",2,IF('名簿'!D35="出来れば空けたい",1,0))</f>
        <v/>
      </c>
      <c r="IR40">
        <f>IFERROR(INDEX('calcC'!$C$3:$C$47,MATCH(A40,'calcC'!$B$3:$B$47,0)),0)</f>
        <v/>
      </c>
      <c r="IS40">
        <f>IF(AND(C40=1,IR40=0,calcA!$A$6&gt;0),1,0)</f>
        <v/>
      </c>
      <c r="IT40">
        <f>IF(OR('名簿'!G35="",'名簿'!H35=""),0,IFERROR((MATCH('名簿'!G35,'設定'!$E$11:$E$16,0)-1)*24+MATCH('名簿'!H35,'設定'!$I$11:$I$34,0),-1))</f>
        <v/>
      </c>
      <c r="IV40">
        <f>IF(OR(JF40=0,IO40=0),1,IF(OR(IF(IT40&gt;0,AND(INDEX($D$2:$EQ$2,IO40)=INDEX($D$2:$EQ$2,IT40),OR(AND(IO40=IT40+1,OR(INDEX($D$3:$EQ$3,IT40)&lt;&gt;$A$3,$A$4=0)),AND(IO40=IT40-1,OR(INDEX($D$3:$EQ$3,IO40)&lt;&gt;$A$3,$A$4=0)))),FALSE),IF(IY40&gt;0,AND(INDEX($D$2:$EQ$2,IO40)=INDEX($D$2:$EQ$2,IY40),OR(AND(IO40=IY40+1,OR(INDEX($D$3:$EQ$3,IY40)&lt;&gt;$A$3,$A$4=0)),AND(IO40=IY40-1,OR(INDEX($D$3:$EQ$3,IO40)&lt;&gt;$A$3,$A$4=0)))),FALSE),IF(IZ40&gt;0,AND(INDEX($D$2:$EQ$2,IO40)=INDEX($D$2:$EQ$2,IZ40),OR(AND(IO40=IZ40+1,OR(INDEX($D$3:$EQ$3,IZ40)&lt;&gt;$A$3,$A$4=0)),AND(IO40=IZ40-1,OR(INDEX($D$3:$EQ$3,IO40)&lt;&gt;$A$3,$A$4=0)))),FALSE)),1,0))</f>
        <v/>
      </c>
      <c r="IW40">
        <f>IF(AND('名簿'!E35&lt;&gt;"",JF40=0),1,0)</f>
        <v/>
      </c>
      <c r="IX40">
        <f>IF('名簿'!D35="空けない",1,0)</f>
        <v/>
      </c>
      <c r="IY40">
        <f>IF(OR('名簿'!J35="",'名簿'!K35=""),0,IFERROR((MATCH('名簿'!J35,'設定'!$E$11:$E$16,0)-1)*24+MATCH('名簿'!K35,'設定'!$I$11:$I$34,0),-1))</f>
        <v/>
      </c>
      <c r="IZ40">
        <f>IF(OR('名簿'!M35="",'名簿'!N35=""),0,IFERROR((MATCH('名簿'!M35,'設定'!$E$11:$E$16,0)-1)*24+MATCH('名簿'!N35,'設定'!$I$11:$I$34,0),-1))</f>
        <v/>
      </c>
      <c r="JC40">
        <f>IF(RIGHT('名簿'!I35,2)="の前",1,IF(RIGHT('名簿'!I35,2)="の後",2,0))</f>
        <v/>
      </c>
      <c r="JD40">
        <f>IF(RIGHT('名簿'!L35,2)="の前",1,IF(RIGHT('名簿'!L35,2)="の後",2,0))</f>
        <v/>
      </c>
      <c r="JE40">
        <f>IF(RIGHT('名簿'!O35,2)="の前",1,IF(RIGHT('名簿'!O35,2)="の後",2,0))</f>
        <v/>
      </c>
      <c r="JF40">
        <f>IF(OR(IT40&gt;0,IY40&gt;0,IZ40&gt;0),1,0)</f>
        <v/>
      </c>
      <c r="JG40">
        <f>IF(OR(IT40&lt;0,IY40&lt;0,IZ40&lt;0),1,0)</f>
        <v/>
      </c>
    </row>
    <row r="41">
      <c r="A41" t="n">
        <v>32</v>
      </c>
      <c r="B41">
        <f>'名簿'!P36</f>
        <v/>
      </c>
      <c r="C41">
        <f>IF(AND(B41&lt;&gt;"",OR('名簿'!Q36="入力済み",'名簿'!Q36="×なし"),IO41=0,COUNTIF('調整・決定'!$C$6:$H$29,B41)=0),1,0)</f>
        <v/>
      </c>
      <c r="D41">
        <f>IF(D$4=1,IF(OR(INDEX('×入力'!$A$1:$L$1300,875+D$3,2+D$2)&lt;&gt;"",INDEX('×入力'!$A$1:$L$1300,874,2+D$2)&lt;&gt;"",INDEX('×入力'!$A$1:$L$1300,875+D$3,1)&lt;&gt;""),1,0),0)</f>
        <v/>
      </c>
      <c r="E41">
        <f>IF(E$4=1,IF(OR(INDEX('×入力'!$A$1:$L$1300,875+E$3,2+E$2)&lt;&gt;"",INDEX('×入力'!$A$1:$L$1300,874,2+E$2)&lt;&gt;"",INDEX('×入力'!$A$1:$L$1300,875+E$3,1)&lt;&gt;""),1,0),0)</f>
        <v/>
      </c>
      <c r="F41">
        <f>IF(F$4=1,IF(OR(INDEX('×入力'!$A$1:$L$1300,875+F$3,2+F$2)&lt;&gt;"",INDEX('×入力'!$A$1:$L$1300,874,2+F$2)&lt;&gt;"",INDEX('×入力'!$A$1:$L$1300,875+F$3,1)&lt;&gt;""),1,0),0)</f>
        <v/>
      </c>
      <c r="G41">
        <f>IF(G$4=1,IF(OR(INDEX('×入力'!$A$1:$L$1300,875+G$3,2+G$2)&lt;&gt;"",INDEX('×入力'!$A$1:$L$1300,874,2+G$2)&lt;&gt;"",INDEX('×入力'!$A$1:$L$1300,875+G$3,1)&lt;&gt;""),1,0),0)</f>
        <v/>
      </c>
      <c r="H41">
        <f>IF(H$4=1,IF(OR(INDEX('×入力'!$A$1:$L$1300,875+H$3,2+H$2)&lt;&gt;"",INDEX('×入力'!$A$1:$L$1300,874,2+H$2)&lt;&gt;"",INDEX('×入力'!$A$1:$L$1300,875+H$3,1)&lt;&gt;""),1,0),0)</f>
        <v/>
      </c>
      <c r="I41">
        <f>IF(I$4=1,IF(OR(INDEX('×入力'!$A$1:$L$1300,875+I$3,2+I$2)&lt;&gt;"",INDEX('×入力'!$A$1:$L$1300,874,2+I$2)&lt;&gt;"",INDEX('×入力'!$A$1:$L$1300,875+I$3,1)&lt;&gt;""),1,0),0)</f>
        <v/>
      </c>
      <c r="J41">
        <f>IF(J$4=1,IF(OR(INDEX('×入力'!$A$1:$L$1300,875+J$3,2+J$2)&lt;&gt;"",INDEX('×入力'!$A$1:$L$1300,874,2+J$2)&lt;&gt;"",INDEX('×入力'!$A$1:$L$1300,875+J$3,1)&lt;&gt;""),1,0),0)</f>
        <v/>
      </c>
      <c r="K41">
        <f>IF(K$4=1,IF(OR(INDEX('×入力'!$A$1:$L$1300,875+K$3,2+K$2)&lt;&gt;"",INDEX('×入力'!$A$1:$L$1300,874,2+K$2)&lt;&gt;"",INDEX('×入力'!$A$1:$L$1300,875+K$3,1)&lt;&gt;""),1,0),0)</f>
        <v/>
      </c>
      <c r="L41">
        <f>IF(L$4=1,IF(OR(INDEX('×入力'!$A$1:$L$1300,875+L$3,2+L$2)&lt;&gt;"",INDEX('×入力'!$A$1:$L$1300,874,2+L$2)&lt;&gt;"",INDEX('×入力'!$A$1:$L$1300,875+L$3,1)&lt;&gt;""),1,0),0)</f>
        <v/>
      </c>
      <c r="M41">
        <f>IF(M$4=1,IF(OR(INDEX('×入力'!$A$1:$L$1300,875+M$3,2+M$2)&lt;&gt;"",INDEX('×入力'!$A$1:$L$1300,874,2+M$2)&lt;&gt;"",INDEX('×入力'!$A$1:$L$1300,875+M$3,1)&lt;&gt;""),1,0),0)</f>
        <v/>
      </c>
      <c r="N41">
        <f>IF(N$4=1,IF(OR(INDEX('×入力'!$A$1:$L$1300,875+N$3,2+N$2)&lt;&gt;"",INDEX('×入力'!$A$1:$L$1300,874,2+N$2)&lt;&gt;"",INDEX('×入力'!$A$1:$L$1300,875+N$3,1)&lt;&gt;""),1,0),0)</f>
        <v/>
      </c>
      <c r="O41">
        <f>IF(O$4=1,IF(OR(INDEX('×入力'!$A$1:$L$1300,875+O$3,2+O$2)&lt;&gt;"",INDEX('×入力'!$A$1:$L$1300,874,2+O$2)&lt;&gt;"",INDEX('×入力'!$A$1:$L$1300,875+O$3,1)&lt;&gt;""),1,0),0)</f>
        <v/>
      </c>
      <c r="P41">
        <f>IF(P$4=1,IF(OR(INDEX('×入力'!$A$1:$L$1300,875+P$3,2+P$2)&lt;&gt;"",INDEX('×入力'!$A$1:$L$1300,874,2+P$2)&lt;&gt;"",INDEX('×入力'!$A$1:$L$1300,875+P$3,1)&lt;&gt;""),1,0),0)</f>
        <v/>
      </c>
      <c r="Q41">
        <f>IF(Q$4=1,IF(OR(INDEX('×入力'!$A$1:$L$1300,875+Q$3,2+Q$2)&lt;&gt;"",INDEX('×入力'!$A$1:$L$1300,874,2+Q$2)&lt;&gt;"",INDEX('×入力'!$A$1:$L$1300,875+Q$3,1)&lt;&gt;""),1,0),0)</f>
        <v/>
      </c>
      <c r="R41">
        <f>IF(R$4=1,IF(OR(INDEX('×入力'!$A$1:$L$1300,875+R$3,2+R$2)&lt;&gt;"",INDEX('×入力'!$A$1:$L$1300,874,2+R$2)&lt;&gt;"",INDEX('×入力'!$A$1:$L$1300,875+R$3,1)&lt;&gt;""),1,0),0)</f>
        <v/>
      </c>
      <c r="S41">
        <f>IF(S$4=1,IF(OR(INDEX('×入力'!$A$1:$L$1300,875+S$3,2+S$2)&lt;&gt;"",INDEX('×入力'!$A$1:$L$1300,874,2+S$2)&lt;&gt;"",INDEX('×入力'!$A$1:$L$1300,875+S$3,1)&lt;&gt;""),1,0),0)</f>
        <v/>
      </c>
      <c r="T41">
        <f>IF(T$4=1,IF(OR(INDEX('×入力'!$A$1:$L$1300,875+T$3,2+T$2)&lt;&gt;"",INDEX('×入力'!$A$1:$L$1300,874,2+T$2)&lt;&gt;"",INDEX('×入力'!$A$1:$L$1300,875+T$3,1)&lt;&gt;""),1,0),0)</f>
        <v/>
      </c>
      <c r="U41">
        <f>IF(U$4=1,IF(OR(INDEX('×入力'!$A$1:$L$1300,875+U$3,2+U$2)&lt;&gt;"",INDEX('×入力'!$A$1:$L$1300,874,2+U$2)&lt;&gt;"",INDEX('×入力'!$A$1:$L$1300,875+U$3,1)&lt;&gt;""),1,0),0)</f>
        <v/>
      </c>
      <c r="V41">
        <f>IF(V$4=1,IF(OR(INDEX('×入力'!$A$1:$L$1300,875+V$3,2+V$2)&lt;&gt;"",INDEX('×入力'!$A$1:$L$1300,874,2+V$2)&lt;&gt;"",INDEX('×入力'!$A$1:$L$1300,875+V$3,1)&lt;&gt;""),1,0),0)</f>
        <v/>
      </c>
      <c r="W41">
        <f>IF(W$4=1,IF(OR(INDEX('×入力'!$A$1:$L$1300,875+W$3,2+W$2)&lt;&gt;"",INDEX('×入力'!$A$1:$L$1300,874,2+W$2)&lt;&gt;"",INDEX('×入力'!$A$1:$L$1300,875+W$3,1)&lt;&gt;""),1,0),0)</f>
        <v/>
      </c>
      <c r="X41">
        <f>IF(X$4=1,IF(OR(INDEX('×入力'!$A$1:$L$1300,875+X$3,2+X$2)&lt;&gt;"",INDEX('×入力'!$A$1:$L$1300,874,2+X$2)&lt;&gt;"",INDEX('×入力'!$A$1:$L$1300,875+X$3,1)&lt;&gt;""),1,0),0)</f>
        <v/>
      </c>
      <c r="Y41">
        <f>IF(Y$4=1,IF(OR(INDEX('×入力'!$A$1:$L$1300,875+Y$3,2+Y$2)&lt;&gt;"",INDEX('×入力'!$A$1:$L$1300,874,2+Y$2)&lt;&gt;"",INDEX('×入力'!$A$1:$L$1300,875+Y$3,1)&lt;&gt;""),1,0),0)</f>
        <v/>
      </c>
      <c r="Z41">
        <f>IF(Z$4=1,IF(OR(INDEX('×入力'!$A$1:$L$1300,875+Z$3,2+Z$2)&lt;&gt;"",INDEX('×入力'!$A$1:$L$1300,874,2+Z$2)&lt;&gt;"",INDEX('×入力'!$A$1:$L$1300,875+Z$3,1)&lt;&gt;""),1,0),0)</f>
        <v/>
      </c>
      <c r="AA41">
        <f>IF(AA$4=1,IF(OR(INDEX('×入力'!$A$1:$L$1300,875+AA$3,2+AA$2)&lt;&gt;"",INDEX('×入力'!$A$1:$L$1300,874,2+AA$2)&lt;&gt;"",INDEX('×入力'!$A$1:$L$1300,875+AA$3,1)&lt;&gt;""),1,0),0)</f>
        <v/>
      </c>
      <c r="AB41">
        <f>IF(AB$4=1,IF(OR(INDEX('×入力'!$A$1:$L$1300,875+AB$3,2+AB$2)&lt;&gt;"",INDEX('×入力'!$A$1:$L$1300,874,2+AB$2)&lt;&gt;"",INDEX('×入力'!$A$1:$L$1300,875+AB$3,1)&lt;&gt;""),1,0),0)</f>
        <v/>
      </c>
      <c r="AC41">
        <f>IF(AC$4=1,IF(OR(INDEX('×入力'!$A$1:$L$1300,875+AC$3,2+AC$2)&lt;&gt;"",INDEX('×入力'!$A$1:$L$1300,874,2+AC$2)&lt;&gt;"",INDEX('×入力'!$A$1:$L$1300,875+AC$3,1)&lt;&gt;""),1,0),0)</f>
        <v/>
      </c>
      <c r="AD41">
        <f>IF(AD$4=1,IF(OR(INDEX('×入力'!$A$1:$L$1300,875+AD$3,2+AD$2)&lt;&gt;"",INDEX('×入力'!$A$1:$L$1300,874,2+AD$2)&lt;&gt;"",INDEX('×入力'!$A$1:$L$1300,875+AD$3,1)&lt;&gt;""),1,0),0)</f>
        <v/>
      </c>
      <c r="AE41">
        <f>IF(AE$4=1,IF(OR(INDEX('×入力'!$A$1:$L$1300,875+AE$3,2+AE$2)&lt;&gt;"",INDEX('×入力'!$A$1:$L$1300,874,2+AE$2)&lt;&gt;"",INDEX('×入力'!$A$1:$L$1300,875+AE$3,1)&lt;&gt;""),1,0),0)</f>
        <v/>
      </c>
      <c r="AF41">
        <f>IF(AF$4=1,IF(OR(INDEX('×入力'!$A$1:$L$1300,875+AF$3,2+AF$2)&lt;&gt;"",INDEX('×入力'!$A$1:$L$1300,874,2+AF$2)&lt;&gt;"",INDEX('×入力'!$A$1:$L$1300,875+AF$3,1)&lt;&gt;""),1,0),0)</f>
        <v/>
      </c>
      <c r="AG41">
        <f>IF(AG$4=1,IF(OR(INDEX('×入力'!$A$1:$L$1300,875+AG$3,2+AG$2)&lt;&gt;"",INDEX('×入力'!$A$1:$L$1300,874,2+AG$2)&lt;&gt;"",INDEX('×入力'!$A$1:$L$1300,875+AG$3,1)&lt;&gt;""),1,0),0)</f>
        <v/>
      </c>
      <c r="AH41">
        <f>IF(AH$4=1,IF(OR(INDEX('×入力'!$A$1:$L$1300,875+AH$3,2+AH$2)&lt;&gt;"",INDEX('×入力'!$A$1:$L$1300,874,2+AH$2)&lt;&gt;"",INDEX('×入力'!$A$1:$L$1300,875+AH$3,1)&lt;&gt;""),1,0),0)</f>
        <v/>
      </c>
      <c r="AI41">
        <f>IF(AI$4=1,IF(OR(INDEX('×入力'!$A$1:$L$1300,875+AI$3,2+AI$2)&lt;&gt;"",INDEX('×入力'!$A$1:$L$1300,874,2+AI$2)&lt;&gt;"",INDEX('×入力'!$A$1:$L$1300,875+AI$3,1)&lt;&gt;""),1,0),0)</f>
        <v/>
      </c>
      <c r="AJ41">
        <f>IF(AJ$4=1,IF(OR(INDEX('×入力'!$A$1:$L$1300,875+AJ$3,2+AJ$2)&lt;&gt;"",INDEX('×入力'!$A$1:$L$1300,874,2+AJ$2)&lt;&gt;"",INDEX('×入力'!$A$1:$L$1300,875+AJ$3,1)&lt;&gt;""),1,0),0)</f>
        <v/>
      </c>
      <c r="AK41">
        <f>IF(AK$4=1,IF(OR(INDEX('×入力'!$A$1:$L$1300,875+AK$3,2+AK$2)&lt;&gt;"",INDEX('×入力'!$A$1:$L$1300,874,2+AK$2)&lt;&gt;"",INDEX('×入力'!$A$1:$L$1300,875+AK$3,1)&lt;&gt;""),1,0),0)</f>
        <v/>
      </c>
      <c r="AL41">
        <f>IF(AL$4=1,IF(OR(INDEX('×入力'!$A$1:$L$1300,875+AL$3,2+AL$2)&lt;&gt;"",INDEX('×入力'!$A$1:$L$1300,874,2+AL$2)&lt;&gt;"",INDEX('×入力'!$A$1:$L$1300,875+AL$3,1)&lt;&gt;""),1,0),0)</f>
        <v/>
      </c>
      <c r="AM41">
        <f>IF(AM$4=1,IF(OR(INDEX('×入力'!$A$1:$L$1300,875+AM$3,2+AM$2)&lt;&gt;"",INDEX('×入力'!$A$1:$L$1300,874,2+AM$2)&lt;&gt;"",INDEX('×入力'!$A$1:$L$1300,875+AM$3,1)&lt;&gt;""),1,0),0)</f>
        <v/>
      </c>
      <c r="AN41">
        <f>IF(AN$4=1,IF(OR(INDEX('×入力'!$A$1:$L$1300,875+AN$3,2+AN$2)&lt;&gt;"",INDEX('×入力'!$A$1:$L$1300,874,2+AN$2)&lt;&gt;"",INDEX('×入力'!$A$1:$L$1300,875+AN$3,1)&lt;&gt;""),1,0),0)</f>
        <v/>
      </c>
      <c r="AO41">
        <f>IF(AO$4=1,IF(OR(INDEX('×入力'!$A$1:$L$1300,875+AO$3,2+AO$2)&lt;&gt;"",INDEX('×入力'!$A$1:$L$1300,874,2+AO$2)&lt;&gt;"",INDEX('×入力'!$A$1:$L$1300,875+AO$3,1)&lt;&gt;""),1,0),0)</f>
        <v/>
      </c>
      <c r="AP41">
        <f>IF(AP$4=1,IF(OR(INDEX('×入力'!$A$1:$L$1300,875+AP$3,2+AP$2)&lt;&gt;"",INDEX('×入力'!$A$1:$L$1300,874,2+AP$2)&lt;&gt;"",INDEX('×入力'!$A$1:$L$1300,875+AP$3,1)&lt;&gt;""),1,0),0)</f>
        <v/>
      </c>
      <c r="AQ41">
        <f>IF(AQ$4=1,IF(OR(INDEX('×入力'!$A$1:$L$1300,875+AQ$3,2+AQ$2)&lt;&gt;"",INDEX('×入力'!$A$1:$L$1300,874,2+AQ$2)&lt;&gt;"",INDEX('×入力'!$A$1:$L$1300,875+AQ$3,1)&lt;&gt;""),1,0),0)</f>
        <v/>
      </c>
      <c r="AR41">
        <f>IF(AR$4=1,IF(OR(INDEX('×入力'!$A$1:$L$1300,875+AR$3,2+AR$2)&lt;&gt;"",INDEX('×入力'!$A$1:$L$1300,874,2+AR$2)&lt;&gt;"",INDEX('×入力'!$A$1:$L$1300,875+AR$3,1)&lt;&gt;""),1,0),0)</f>
        <v/>
      </c>
      <c r="AS41">
        <f>IF(AS$4=1,IF(OR(INDEX('×入力'!$A$1:$L$1300,875+AS$3,2+AS$2)&lt;&gt;"",INDEX('×入力'!$A$1:$L$1300,874,2+AS$2)&lt;&gt;"",INDEX('×入力'!$A$1:$L$1300,875+AS$3,1)&lt;&gt;""),1,0),0)</f>
        <v/>
      </c>
      <c r="AT41">
        <f>IF(AT$4=1,IF(OR(INDEX('×入力'!$A$1:$L$1300,875+AT$3,2+AT$2)&lt;&gt;"",INDEX('×入力'!$A$1:$L$1300,874,2+AT$2)&lt;&gt;"",INDEX('×入力'!$A$1:$L$1300,875+AT$3,1)&lt;&gt;""),1,0),0)</f>
        <v/>
      </c>
      <c r="AU41">
        <f>IF(AU$4=1,IF(OR(INDEX('×入力'!$A$1:$L$1300,875+AU$3,2+AU$2)&lt;&gt;"",INDEX('×入力'!$A$1:$L$1300,874,2+AU$2)&lt;&gt;"",INDEX('×入力'!$A$1:$L$1300,875+AU$3,1)&lt;&gt;""),1,0),0)</f>
        <v/>
      </c>
      <c r="AV41">
        <f>IF(AV$4=1,IF(OR(INDEX('×入力'!$A$1:$L$1300,875+AV$3,2+AV$2)&lt;&gt;"",INDEX('×入力'!$A$1:$L$1300,874,2+AV$2)&lt;&gt;"",INDEX('×入力'!$A$1:$L$1300,875+AV$3,1)&lt;&gt;""),1,0),0)</f>
        <v/>
      </c>
      <c r="AW41">
        <f>IF(AW$4=1,IF(OR(INDEX('×入力'!$A$1:$L$1300,875+AW$3,2+AW$2)&lt;&gt;"",INDEX('×入力'!$A$1:$L$1300,874,2+AW$2)&lt;&gt;"",INDEX('×入力'!$A$1:$L$1300,875+AW$3,1)&lt;&gt;""),1,0),0)</f>
        <v/>
      </c>
      <c r="AX41">
        <f>IF(AX$4=1,IF(OR(INDEX('×入力'!$A$1:$L$1300,875+AX$3,2+AX$2)&lt;&gt;"",INDEX('×入力'!$A$1:$L$1300,874,2+AX$2)&lt;&gt;"",INDEX('×入力'!$A$1:$L$1300,875+AX$3,1)&lt;&gt;""),1,0),0)</f>
        <v/>
      </c>
      <c r="AY41">
        <f>IF(AY$4=1,IF(OR(INDEX('×入力'!$A$1:$L$1300,875+AY$3,2+AY$2)&lt;&gt;"",INDEX('×入力'!$A$1:$L$1300,874,2+AY$2)&lt;&gt;"",INDEX('×入力'!$A$1:$L$1300,875+AY$3,1)&lt;&gt;""),1,0),0)</f>
        <v/>
      </c>
      <c r="AZ41">
        <f>IF(AZ$4=1,IF(OR(INDEX('×入力'!$A$1:$L$1300,875+AZ$3,2+AZ$2)&lt;&gt;"",INDEX('×入力'!$A$1:$L$1300,874,2+AZ$2)&lt;&gt;"",INDEX('×入力'!$A$1:$L$1300,875+AZ$3,1)&lt;&gt;""),1,0),0)</f>
        <v/>
      </c>
      <c r="BA41">
        <f>IF(BA$4=1,IF(OR(INDEX('×入力'!$A$1:$L$1300,875+BA$3,2+BA$2)&lt;&gt;"",INDEX('×入力'!$A$1:$L$1300,874,2+BA$2)&lt;&gt;"",INDEX('×入力'!$A$1:$L$1300,875+BA$3,1)&lt;&gt;""),1,0),0)</f>
        <v/>
      </c>
      <c r="BB41">
        <f>IF(BB$4=1,IF(OR(INDEX('×入力'!$A$1:$L$1300,875+BB$3,2+BB$2)&lt;&gt;"",INDEX('×入力'!$A$1:$L$1300,874,2+BB$2)&lt;&gt;"",INDEX('×入力'!$A$1:$L$1300,875+BB$3,1)&lt;&gt;""),1,0),0)</f>
        <v/>
      </c>
      <c r="BC41">
        <f>IF(BC$4=1,IF(OR(INDEX('×入力'!$A$1:$L$1300,875+BC$3,2+BC$2)&lt;&gt;"",INDEX('×入力'!$A$1:$L$1300,874,2+BC$2)&lt;&gt;"",INDEX('×入力'!$A$1:$L$1300,875+BC$3,1)&lt;&gt;""),1,0),0)</f>
        <v/>
      </c>
      <c r="BD41">
        <f>IF(BD$4=1,IF(OR(INDEX('×入力'!$A$1:$L$1300,875+BD$3,2+BD$2)&lt;&gt;"",INDEX('×入力'!$A$1:$L$1300,874,2+BD$2)&lt;&gt;"",INDEX('×入力'!$A$1:$L$1300,875+BD$3,1)&lt;&gt;""),1,0),0)</f>
        <v/>
      </c>
      <c r="BE41">
        <f>IF(BE$4=1,IF(OR(INDEX('×入力'!$A$1:$L$1300,875+BE$3,2+BE$2)&lt;&gt;"",INDEX('×入力'!$A$1:$L$1300,874,2+BE$2)&lt;&gt;"",INDEX('×入力'!$A$1:$L$1300,875+BE$3,1)&lt;&gt;""),1,0),0)</f>
        <v/>
      </c>
      <c r="BF41">
        <f>IF(BF$4=1,IF(OR(INDEX('×入力'!$A$1:$L$1300,875+BF$3,2+BF$2)&lt;&gt;"",INDEX('×入力'!$A$1:$L$1300,874,2+BF$2)&lt;&gt;"",INDEX('×入力'!$A$1:$L$1300,875+BF$3,1)&lt;&gt;""),1,0),0)</f>
        <v/>
      </c>
      <c r="BG41">
        <f>IF(BG$4=1,IF(OR(INDEX('×入力'!$A$1:$L$1300,875+BG$3,2+BG$2)&lt;&gt;"",INDEX('×入力'!$A$1:$L$1300,874,2+BG$2)&lt;&gt;"",INDEX('×入力'!$A$1:$L$1300,875+BG$3,1)&lt;&gt;""),1,0),0)</f>
        <v/>
      </c>
      <c r="BH41">
        <f>IF(BH$4=1,IF(OR(INDEX('×入力'!$A$1:$L$1300,875+BH$3,2+BH$2)&lt;&gt;"",INDEX('×入力'!$A$1:$L$1300,874,2+BH$2)&lt;&gt;"",INDEX('×入力'!$A$1:$L$1300,875+BH$3,1)&lt;&gt;""),1,0),0)</f>
        <v/>
      </c>
      <c r="BI41">
        <f>IF(BI$4=1,IF(OR(INDEX('×入力'!$A$1:$L$1300,875+BI$3,2+BI$2)&lt;&gt;"",INDEX('×入力'!$A$1:$L$1300,874,2+BI$2)&lt;&gt;"",INDEX('×入力'!$A$1:$L$1300,875+BI$3,1)&lt;&gt;""),1,0),0)</f>
        <v/>
      </c>
      <c r="BJ41">
        <f>IF(BJ$4=1,IF(OR(INDEX('×入力'!$A$1:$L$1300,875+BJ$3,2+BJ$2)&lt;&gt;"",INDEX('×入力'!$A$1:$L$1300,874,2+BJ$2)&lt;&gt;"",INDEX('×入力'!$A$1:$L$1300,875+BJ$3,1)&lt;&gt;""),1,0),0)</f>
        <v/>
      </c>
      <c r="BK41">
        <f>IF(BK$4=1,IF(OR(INDEX('×入力'!$A$1:$L$1300,875+BK$3,2+BK$2)&lt;&gt;"",INDEX('×入力'!$A$1:$L$1300,874,2+BK$2)&lt;&gt;"",INDEX('×入力'!$A$1:$L$1300,875+BK$3,1)&lt;&gt;""),1,0),0)</f>
        <v/>
      </c>
      <c r="BL41">
        <f>IF(BL$4=1,IF(OR(INDEX('×入力'!$A$1:$L$1300,875+BL$3,2+BL$2)&lt;&gt;"",INDEX('×入力'!$A$1:$L$1300,874,2+BL$2)&lt;&gt;"",INDEX('×入力'!$A$1:$L$1300,875+BL$3,1)&lt;&gt;""),1,0),0)</f>
        <v/>
      </c>
      <c r="BM41">
        <f>IF(BM$4=1,IF(OR(INDEX('×入力'!$A$1:$L$1300,875+BM$3,2+BM$2)&lt;&gt;"",INDEX('×入力'!$A$1:$L$1300,874,2+BM$2)&lt;&gt;"",INDEX('×入力'!$A$1:$L$1300,875+BM$3,1)&lt;&gt;""),1,0),0)</f>
        <v/>
      </c>
      <c r="BN41">
        <f>IF(BN$4=1,IF(OR(INDEX('×入力'!$A$1:$L$1300,875+BN$3,2+BN$2)&lt;&gt;"",INDEX('×入力'!$A$1:$L$1300,874,2+BN$2)&lt;&gt;"",INDEX('×入力'!$A$1:$L$1300,875+BN$3,1)&lt;&gt;""),1,0),0)</f>
        <v/>
      </c>
      <c r="BO41">
        <f>IF(BO$4=1,IF(OR(INDEX('×入力'!$A$1:$L$1300,875+BO$3,2+BO$2)&lt;&gt;"",INDEX('×入力'!$A$1:$L$1300,874,2+BO$2)&lt;&gt;"",INDEX('×入力'!$A$1:$L$1300,875+BO$3,1)&lt;&gt;""),1,0),0)</f>
        <v/>
      </c>
      <c r="BP41">
        <f>IF(BP$4=1,IF(OR(INDEX('×入力'!$A$1:$L$1300,875+BP$3,2+BP$2)&lt;&gt;"",INDEX('×入力'!$A$1:$L$1300,874,2+BP$2)&lt;&gt;"",INDEX('×入力'!$A$1:$L$1300,875+BP$3,1)&lt;&gt;""),1,0),0)</f>
        <v/>
      </c>
      <c r="BQ41">
        <f>IF(BQ$4=1,IF(OR(INDEX('×入力'!$A$1:$L$1300,875+BQ$3,2+BQ$2)&lt;&gt;"",INDEX('×入力'!$A$1:$L$1300,874,2+BQ$2)&lt;&gt;"",INDEX('×入力'!$A$1:$L$1300,875+BQ$3,1)&lt;&gt;""),1,0),0)</f>
        <v/>
      </c>
      <c r="BR41">
        <f>IF(BR$4=1,IF(OR(INDEX('×入力'!$A$1:$L$1300,875+BR$3,2+BR$2)&lt;&gt;"",INDEX('×入力'!$A$1:$L$1300,874,2+BR$2)&lt;&gt;"",INDEX('×入力'!$A$1:$L$1300,875+BR$3,1)&lt;&gt;""),1,0),0)</f>
        <v/>
      </c>
      <c r="BS41">
        <f>IF(BS$4=1,IF(OR(INDEX('×入力'!$A$1:$L$1300,875+BS$3,2+BS$2)&lt;&gt;"",INDEX('×入力'!$A$1:$L$1300,874,2+BS$2)&lt;&gt;"",INDEX('×入力'!$A$1:$L$1300,875+BS$3,1)&lt;&gt;""),1,0),0)</f>
        <v/>
      </c>
      <c r="BT41">
        <f>IF(BT$4=1,IF(OR(INDEX('×入力'!$A$1:$L$1300,875+BT$3,2+BT$2)&lt;&gt;"",INDEX('×入力'!$A$1:$L$1300,874,2+BT$2)&lt;&gt;"",INDEX('×入力'!$A$1:$L$1300,875+BT$3,1)&lt;&gt;""),1,0),0)</f>
        <v/>
      </c>
      <c r="BU41">
        <f>IF(BU$4=1,IF(OR(INDEX('×入力'!$A$1:$L$1300,875+BU$3,2+BU$2)&lt;&gt;"",INDEX('×入力'!$A$1:$L$1300,874,2+BU$2)&lt;&gt;"",INDEX('×入力'!$A$1:$L$1300,875+BU$3,1)&lt;&gt;""),1,0),0)</f>
        <v/>
      </c>
      <c r="BV41">
        <f>IF(BV$4=1,IF(OR(INDEX('×入力'!$A$1:$L$1300,875+BV$3,2+BV$2)&lt;&gt;"",INDEX('×入力'!$A$1:$L$1300,874,2+BV$2)&lt;&gt;"",INDEX('×入力'!$A$1:$L$1300,875+BV$3,1)&lt;&gt;""),1,0),0)</f>
        <v/>
      </c>
      <c r="BW41">
        <f>IF(BW$4=1,IF(OR(INDEX('×入力'!$A$1:$L$1300,875+BW$3,2+BW$2)&lt;&gt;"",INDEX('×入力'!$A$1:$L$1300,874,2+BW$2)&lt;&gt;"",INDEX('×入力'!$A$1:$L$1300,875+BW$3,1)&lt;&gt;""),1,0),0)</f>
        <v/>
      </c>
      <c r="BX41">
        <f>IF(BX$4=1,IF(OR(INDEX('×入力'!$A$1:$L$1300,875+BX$3,2+BX$2)&lt;&gt;"",INDEX('×入力'!$A$1:$L$1300,874,2+BX$2)&lt;&gt;"",INDEX('×入力'!$A$1:$L$1300,875+BX$3,1)&lt;&gt;""),1,0),0)</f>
        <v/>
      </c>
      <c r="BY41">
        <f>IF(BY$4=1,IF(OR(INDEX('×入力'!$A$1:$L$1300,875+BY$3,2+BY$2)&lt;&gt;"",INDEX('×入力'!$A$1:$L$1300,874,2+BY$2)&lt;&gt;"",INDEX('×入力'!$A$1:$L$1300,875+BY$3,1)&lt;&gt;""),1,0),0)</f>
        <v/>
      </c>
      <c r="BZ41">
        <f>IF(BZ$4=1,IF(OR(INDEX('×入力'!$A$1:$L$1300,875+BZ$3,2+BZ$2)&lt;&gt;"",INDEX('×入力'!$A$1:$L$1300,874,2+BZ$2)&lt;&gt;"",INDEX('×入力'!$A$1:$L$1300,875+BZ$3,1)&lt;&gt;""),1,0),0)</f>
        <v/>
      </c>
      <c r="CA41">
        <f>IF(CA$4=1,IF(OR(INDEX('×入力'!$A$1:$L$1300,875+CA$3,2+CA$2)&lt;&gt;"",INDEX('×入力'!$A$1:$L$1300,874,2+CA$2)&lt;&gt;"",INDEX('×入力'!$A$1:$L$1300,875+CA$3,1)&lt;&gt;""),1,0),0)</f>
        <v/>
      </c>
      <c r="CB41">
        <f>IF(CB$4=1,IF(OR(INDEX('×入力'!$A$1:$L$1300,875+CB$3,2+CB$2)&lt;&gt;"",INDEX('×入力'!$A$1:$L$1300,874,2+CB$2)&lt;&gt;"",INDEX('×入力'!$A$1:$L$1300,875+CB$3,1)&lt;&gt;""),1,0),0)</f>
        <v/>
      </c>
      <c r="CC41">
        <f>IF(CC$4=1,IF(OR(INDEX('×入力'!$A$1:$L$1300,875+CC$3,2+CC$2)&lt;&gt;"",INDEX('×入力'!$A$1:$L$1300,874,2+CC$2)&lt;&gt;"",INDEX('×入力'!$A$1:$L$1300,875+CC$3,1)&lt;&gt;""),1,0),0)</f>
        <v/>
      </c>
      <c r="CD41">
        <f>IF(CD$4=1,IF(OR(INDEX('×入力'!$A$1:$L$1300,875+CD$3,2+CD$2)&lt;&gt;"",INDEX('×入力'!$A$1:$L$1300,874,2+CD$2)&lt;&gt;"",INDEX('×入力'!$A$1:$L$1300,875+CD$3,1)&lt;&gt;""),1,0),0)</f>
        <v/>
      </c>
      <c r="CE41">
        <f>IF(CE$4=1,IF(OR(INDEX('×入力'!$A$1:$L$1300,875+CE$3,2+CE$2)&lt;&gt;"",INDEX('×入力'!$A$1:$L$1300,874,2+CE$2)&lt;&gt;"",INDEX('×入力'!$A$1:$L$1300,875+CE$3,1)&lt;&gt;""),1,0),0)</f>
        <v/>
      </c>
      <c r="CF41">
        <f>IF(CF$4=1,IF(OR(INDEX('×入力'!$A$1:$L$1300,875+CF$3,2+CF$2)&lt;&gt;"",INDEX('×入力'!$A$1:$L$1300,874,2+CF$2)&lt;&gt;"",INDEX('×入力'!$A$1:$L$1300,875+CF$3,1)&lt;&gt;""),1,0),0)</f>
        <v/>
      </c>
      <c r="CG41">
        <f>IF(CG$4=1,IF(OR(INDEX('×入力'!$A$1:$L$1300,875+CG$3,2+CG$2)&lt;&gt;"",INDEX('×入力'!$A$1:$L$1300,874,2+CG$2)&lt;&gt;"",INDEX('×入力'!$A$1:$L$1300,875+CG$3,1)&lt;&gt;""),1,0),0)</f>
        <v/>
      </c>
      <c r="CH41">
        <f>IF(CH$4=1,IF(OR(INDEX('×入力'!$A$1:$L$1300,875+CH$3,2+CH$2)&lt;&gt;"",INDEX('×入力'!$A$1:$L$1300,874,2+CH$2)&lt;&gt;"",INDEX('×入力'!$A$1:$L$1300,875+CH$3,1)&lt;&gt;""),1,0),0)</f>
        <v/>
      </c>
      <c r="CI41">
        <f>IF(CI$4=1,IF(OR(INDEX('×入力'!$A$1:$L$1300,875+CI$3,2+CI$2)&lt;&gt;"",INDEX('×入力'!$A$1:$L$1300,874,2+CI$2)&lt;&gt;"",INDEX('×入力'!$A$1:$L$1300,875+CI$3,1)&lt;&gt;""),1,0),0)</f>
        <v/>
      </c>
      <c r="CJ41">
        <f>IF(CJ$4=1,IF(OR(INDEX('×入力'!$A$1:$L$1300,875+CJ$3,2+CJ$2)&lt;&gt;"",INDEX('×入力'!$A$1:$L$1300,874,2+CJ$2)&lt;&gt;"",INDEX('×入力'!$A$1:$L$1300,875+CJ$3,1)&lt;&gt;""),1,0),0)</f>
        <v/>
      </c>
      <c r="CK41">
        <f>IF(CK$4=1,IF(OR(INDEX('×入力'!$A$1:$L$1300,875+CK$3,2+CK$2)&lt;&gt;"",INDEX('×入力'!$A$1:$L$1300,874,2+CK$2)&lt;&gt;"",INDEX('×入力'!$A$1:$L$1300,875+CK$3,1)&lt;&gt;""),1,0),0)</f>
        <v/>
      </c>
      <c r="CL41">
        <f>IF(CL$4=1,IF(OR(INDEX('×入力'!$A$1:$L$1300,875+CL$3,2+CL$2)&lt;&gt;"",INDEX('×入力'!$A$1:$L$1300,874,2+CL$2)&lt;&gt;"",INDEX('×入力'!$A$1:$L$1300,875+CL$3,1)&lt;&gt;""),1,0),0)</f>
        <v/>
      </c>
      <c r="CM41">
        <f>IF(CM$4=1,IF(OR(INDEX('×入力'!$A$1:$L$1300,875+CM$3,2+CM$2)&lt;&gt;"",INDEX('×入力'!$A$1:$L$1300,874,2+CM$2)&lt;&gt;"",INDEX('×入力'!$A$1:$L$1300,875+CM$3,1)&lt;&gt;""),1,0),0)</f>
        <v/>
      </c>
      <c r="CN41">
        <f>IF(CN$4=1,IF(OR(INDEX('×入力'!$A$1:$L$1300,875+CN$3,2+CN$2)&lt;&gt;"",INDEX('×入力'!$A$1:$L$1300,874,2+CN$2)&lt;&gt;"",INDEX('×入力'!$A$1:$L$1300,875+CN$3,1)&lt;&gt;""),1,0),0)</f>
        <v/>
      </c>
      <c r="CO41">
        <f>IF(CO$4=1,IF(OR(INDEX('×入力'!$A$1:$L$1300,875+CO$3,2+CO$2)&lt;&gt;"",INDEX('×入力'!$A$1:$L$1300,874,2+CO$2)&lt;&gt;"",INDEX('×入力'!$A$1:$L$1300,875+CO$3,1)&lt;&gt;""),1,0),0)</f>
        <v/>
      </c>
      <c r="CP41">
        <f>IF(CP$4=1,IF(OR(INDEX('×入力'!$A$1:$L$1300,875+CP$3,2+CP$2)&lt;&gt;"",INDEX('×入力'!$A$1:$L$1300,874,2+CP$2)&lt;&gt;"",INDEX('×入力'!$A$1:$L$1300,875+CP$3,1)&lt;&gt;""),1,0),0)</f>
        <v/>
      </c>
      <c r="CQ41">
        <f>IF(CQ$4=1,IF(OR(INDEX('×入力'!$A$1:$L$1300,875+CQ$3,2+CQ$2)&lt;&gt;"",INDEX('×入力'!$A$1:$L$1300,874,2+CQ$2)&lt;&gt;"",INDEX('×入力'!$A$1:$L$1300,875+CQ$3,1)&lt;&gt;""),1,0),0)</f>
        <v/>
      </c>
      <c r="CR41">
        <f>IF(CR$4=1,IF(OR(INDEX('×入力'!$A$1:$L$1300,875+CR$3,2+CR$2)&lt;&gt;"",INDEX('×入力'!$A$1:$L$1300,874,2+CR$2)&lt;&gt;"",INDEX('×入力'!$A$1:$L$1300,875+CR$3,1)&lt;&gt;""),1,0),0)</f>
        <v/>
      </c>
      <c r="CS41">
        <f>IF(CS$4=1,IF(OR(INDEX('×入力'!$A$1:$L$1300,875+CS$3,2+CS$2)&lt;&gt;"",INDEX('×入力'!$A$1:$L$1300,874,2+CS$2)&lt;&gt;"",INDEX('×入力'!$A$1:$L$1300,875+CS$3,1)&lt;&gt;""),1,0),0)</f>
        <v/>
      </c>
      <c r="CT41">
        <f>IF(CT$4=1,IF(OR(INDEX('×入力'!$A$1:$L$1300,875+CT$3,2+CT$2)&lt;&gt;"",INDEX('×入力'!$A$1:$L$1300,874,2+CT$2)&lt;&gt;"",INDEX('×入力'!$A$1:$L$1300,875+CT$3,1)&lt;&gt;""),1,0),0)</f>
        <v/>
      </c>
      <c r="CU41">
        <f>IF(CU$4=1,IF(OR(INDEX('×入力'!$A$1:$L$1300,875+CU$3,2+CU$2)&lt;&gt;"",INDEX('×入力'!$A$1:$L$1300,874,2+CU$2)&lt;&gt;"",INDEX('×入力'!$A$1:$L$1300,875+CU$3,1)&lt;&gt;""),1,0),0)</f>
        <v/>
      </c>
      <c r="CV41">
        <f>IF(CV$4=1,IF(OR(INDEX('×入力'!$A$1:$L$1300,875+CV$3,2+CV$2)&lt;&gt;"",INDEX('×入力'!$A$1:$L$1300,874,2+CV$2)&lt;&gt;"",INDEX('×入力'!$A$1:$L$1300,875+CV$3,1)&lt;&gt;""),1,0),0)</f>
        <v/>
      </c>
      <c r="CW41">
        <f>IF(CW$4=1,IF(OR(INDEX('×入力'!$A$1:$L$1300,875+CW$3,2+CW$2)&lt;&gt;"",INDEX('×入力'!$A$1:$L$1300,874,2+CW$2)&lt;&gt;"",INDEX('×入力'!$A$1:$L$1300,875+CW$3,1)&lt;&gt;""),1,0),0)</f>
        <v/>
      </c>
      <c r="CX41">
        <f>IF(CX$4=1,IF(OR(INDEX('×入力'!$A$1:$L$1300,875+CX$3,2+CX$2)&lt;&gt;"",INDEX('×入力'!$A$1:$L$1300,874,2+CX$2)&lt;&gt;"",INDEX('×入力'!$A$1:$L$1300,875+CX$3,1)&lt;&gt;""),1,0),0)</f>
        <v/>
      </c>
      <c r="CY41">
        <f>IF(CY$4=1,IF(OR(INDEX('×入力'!$A$1:$L$1300,875+CY$3,2+CY$2)&lt;&gt;"",INDEX('×入力'!$A$1:$L$1300,874,2+CY$2)&lt;&gt;"",INDEX('×入力'!$A$1:$L$1300,875+CY$3,1)&lt;&gt;""),1,0),0)</f>
        <v/>
      </c>
      <c r="CZ41">
        <f>IF(CZ$4=1,IF(OR(INDEX('×入力'!$A$1:$L$1300,875+CZ$3,2+CZ$2)&lt;&gt;"",INDEX('×入力'!$A$1:$L$1300,874,2+CZ$2)&lt;&gt;"",INDEX('×入力'!$A$1:$L$1300,875+CZ$3,1)&lt;&gt;""),1,0),0)</f>
        <v/>
      </c>
      <c r="DA41">
        <f>IF(DA$4=1,IF(OR(INDEX('×入力'!$A$1:$L$1300,875+DA$3,2+DA$2)&lt;&gt;"",INDEX('×入力'!$A$1:$L$1300,874,2+DA$2)&lt;&gt;"",INDEX('×入力'!$A$1:$L$1300,875+DA$3,1)&lt;&gt;""),1,0),0)</f>
        <v/>
      </c>
      <c r="DB41">
        <f>IF(DB$4=1,IF(OR(INDEX('×入力'!$A$1:$L$1300,875+DB$3,2+DB$2)&lt;&gt;"",INDEX('×入力'!$A$1:$L$1300,874,2+DB$2)&lt;&gt;"",INDEX('×入力'!$A$1:$L$1300,875+DB$3,1)&lt;&gt;""),1,0),0)</f>
        <v/>
      </c>
      <c r="DC41">
        <f>IF(DC$4=1,IF(OR(INDEX('×入力'!$A$1:$L$1300,875+DC$3,2+DC$2)&lt;&gt;"",INDEX('×入力'!$A$1:$L$1300,874,2+DC$2)&lt;&gt;"",INDEX('×入力'!$A$1:$L$1300,875+DC$3,1)&lt;&gt;""),1,0),0)</f>
        <v/>
      </c>
      <c r="DD41">
        <f>IF(DD$4=1,IF(OR(INDEX('×入力'!$A$1:$L$1300,875+DD$3,2+DD$2)&lt;&gt;"",INDEX('×入力'!$A$1:$L$1300,874,2+DD$2)&lt;&gt;"",INDEX('×入力'!$A$1:$L$1300,875+DD$3,1)&lt;&gt;""),1,0),0)</f>
        <v/>
      </c>
      <c r="DE41">
        <f>IF(DE$4=1,IF(OR(INDEX('×入力'!$A$1:$L$1300,875+DE$3,2+DE$2)&lt;&gt;"",INDEX('×入力'!$A$1:$L$1300,874,2+DE$2)&lt;&gt;"",INDEX('×入力'!$A$1:$L$1300,875+DE$3,1)&lt;&gt;""),1,0),0)</f>
        <v/>
      </c>
      <c r="DF41">
        <f>IF(DF$4=1,IF(OR(INDEX('×入力'!$A$1:$L$1300,875+DF$3,2+DF$2)&lt;&gt;"",INDEX('×入力'!$A$1:$L$1300,874,2+DF$2)&lt;&gt;"",INDEX('×入力'!$A$1:$L$1300,875+DF$3,1)&lt;&gt;""),1,0),0)</f>
        <v/>
      </c>
      <c r="DG41">
        <f>IF(DG$4=1,IF(OR(INDEX('×入力'!$A$1:$L$1300,875+DG$3,2+DG$2)&lt;&gt;"",INDEX('×入力'!$A$1:$L$1300,874,2+DG$2)&lt;&gt;"",INDEX('×入力'!$A$1:$L$1300,875+DG$3,1)&lt;&gt;""),1,0),0)</f>
        <v/>
      </c>
      <c r="DH41">
        <f>IF(DH$4=1,IF(OR(INDEX('×入力'!$A$1:$L$1300,875+DH$3,2+DH$2)&lt;&gt;"",INDEX('×入力'!$A$1:$L$1300,874,2+DH$2)&lt;&gt;"",INDEX('×入力'!$A$1:$L$1300,875+DH$3,1)&lt;&gt;""),1,0),0)</f>
        <v/>
      </c>
      <c r="DI41">
        <f>IF(DI$4=1,IF(OR(INDEX('×入力'!$A$1:$L$1300,875+DI$3,2+DI$2)&lt;&gt;"",INDEX('×入力'!$A$1:$L$1300,874,2+DI$2)&lt;&gt;"",INDEX('×入力'!$A$1:$L$1300,875+DI$3,1)&lt;&gt;""),1,0),0)</f>
        <v/>
      </c>
      <c r="DJ41">
        <f>IF(DJ$4=1,IF(OR(INDEX('×入力'!$A$1:$L$1300,875+DJ$3,2+DJ$2)&lt;&gt;"",INDEX('×入力'!$A$1:$L$1300,874,2+DJ$2)&lt;&gt;"",INDEX('×入力'!$A$1:$L$1300,875+DJ$3,1)&lt;&gt;""),1,0),0)</f>
        <v/>
      </c>
      <c r="DK41">
        <f>IF(DK$4=1,IF(OR(INDEX('×入力'!$A$1:$L$1300,875+DK$3,2+DK$2)&lt;&gt;"",INDEX('×入力'!$A$1:$L$1300,874,2+DK$2)&lt;&gt;"",INDEX('×入力'!$A$1:$L$1300,875+DK$3,1)&lt;&gt;""),1,0),0)</f>
        <v/>
      </c>
      <c r="DL41">
        <f>IF(DL$4=1,IF(OR(INDEX('×入力'!$A$1:$L$1300,875+DL$3,2+DL$2)&lt;&gt;"",INDEX('×入力'!$A$1:$L$1300,874,2+DL$2)&lt;&gt;"",INDEX('×入力'!$A$1:$L$1300,875+DL$3,1)&lt;&gt;""),1,0),0)</f>
        <v/>
      </c>
      <c r="DM41">
        <f>IF(DM$4=1,IF(OR(INDEX('×入力'!$A$1:$L$1300,875+DM$3,2+DM$2)&lt;&gt;"",INDEX('×入力'!$A$1:$L$1300,874,2+DM$2)&lt;&gt;"",INDEX('×入力'!$A$1:$L$1300,875+DM$3,1)&lt;&gt;""),1,0),0)</f>
        <v/>
      </c>
      <c r="DN41">
        <f>IF(DN$4=1,IF(OR(INDEX('×入力'!$A$1:$L$1300,875+DN$3,2+DN$2)&lt;&gt;"",INDEX('×入力'!$A$1:$L$1300,874,2+DN$2)&lt;&gt;"",INDEX('×入力'!$A$1:$L$1300,875+DN$3,1)&lt;&gt;""),1,0),0)</f>
        <v/>
      </c>
      <c r="DO41">
        <f>IF(DO$4=1,IF(OR(INDEX('×入力'!$A$1:$L$1300,875+DO$3,2+DO$2)&lt;&gt;"",INDEX('×入力'!$A$1:$L$1300,874,2+DO$2)&lt;&gt;"",INDEX('×入力'!$A$1:$L$1300,875+DO$3,1)&lt;&gt;""),1,0),0)</f>
        <v/>
      </c>
      <c r="DP41">
        <f>IF(DP$4=1,IF(OR(INDEX('×入力'!$A$1:$L$1300,875+DP$3,2+DP$2)&lt;&gt;"",INDEX('×入力'!$A$1:$L$1300,874,2+DP$2)&lt;&gt;"",INDEX('×入力'!$A$1:$L$1300,875+DP$3,1)&lt;&gt;""),1,0),0)</f>
        <v/>
      </c>
      <c r="DQ41">
        <f>IF(DQ$4=1,IF(OR(INDEX('×入力'!$A$1:$L$1300,875+DQ$3,2+DQ$2)&lt;&gt;"",INDEX('×入力'!$A$1:$L$1300,874,2+DQ$2)&lt;&gt;"",INDEX('×入力'!$A$1:$L$1300,875+DQ$3,1)&lt;&gt;""),1,0),0)</f>
        <v/>
      </c>
      <c r="DR41">
        <f>IF(DR$4=1,IF(OR(INDEX('×入力'!$A$1:$L$1300,875+DR$3,2+DR$2)&lt;&gt;"",INDEX('×入力'!$A$1:$L$1300,874,2+DR$2)&lt;&gt;"",INDEX('×入力'!$A$1:$L$1300,875+DR$3,1)&lt;&gt;""),1,0),0)</f>
        <v/>
      </c>
      <c r="DS41">
        <f>IF(DS$4=1,IF(OR(INDEX('×入力'!$A$1:$L$1300,875+DS$3,2+DS$2)&lt;&gt;"",INDEX('×入力'!$A$1:$L$1300,874,2+DS$2)&lt;&gt;"",INDEX('×入力'!$A$1:$L$1300,875+DS$3,1)&lt;&gt;""),1,0),0)</f>
        <v/>
      </c>
      <c r="DT41">
        <f>IF(DT$4=1,IF(OR(INDEX('×入力'!$A$1:$L$1300,875+DT$3,2+DT$2)&lt;&gt;"",INDEX('×入力'!$A$1:$L$1300,874,2+DT$2)&lt;&gt;"",INDEX('×入力'!$A$1:$L$1300,875+DT$3,1)&lt;&gt;""),1,0),0)</f>
        <v/>
      </c>
      <c r="DU41">
        <f>IF(DU$4=1,IF(OR(INDEX('×入力'!$A$1:$L$1300,875+DU$3,2+DU$2)&lt;&gt;"",INDEX('×入力'!$A$1:$L$1300,874,2+DU$2)&lt;&gt;"",INDEX('×入力'!$A$1:$L$1300,875+DU$3,1)&lt;&gt;""),1,0),0)</f>
        <v/>
      </c>
      <c r="DV41">
        <f>IF(DV$4=1,IF(OR(INDEX('×入力'!$A$1:$L$1300,875+DV$3,2+DV$2)&lt;&gt;"",INDEX('×入力'!$A$1:$L$1300,874,2+DV$2)&lt;&gt;"",INDEX('×入力'!$A$1:$L$1300,875+DV$3,1)&lt;&gt;""),1,0),0)</f>
        <v/>
      </c>
      <c r="DW41">
        <f>IF(DW$4=1,IF(OR(INDEX('×入力'!$A$1:$L$1300,875+DW$3,2+DW$2)&lt;&gt;"",INDEX('×入力'!$A$1:$L$1300,874,2+DW$2)&lt;&gt;"",INDEX('×入力'!$A$1:$L$1300,875+DW$3,1)&lt;&gt;""),1,0),0)</f>
        <v/>
      </c>
      <c r="DX41">
        <f>IF(DX$4=1,IF(OR(INDEX('×入力'!$A$1:$L$1300,875+DX$3,2+DX$2)&lt;&gt;"",INDEX('×入力'!$A$1:$L$1300,874,2+DX$2)&lt;&gt;"",INDEX('×入力'!$A$1:$L$1300,875+DX$3,1)&lt;&gt;""),1,0),0)</f>
        <v/>
      </c>
      <c r="DY41">
        <f>IF(DY$4=1,IF(OR(INDEX('×入力'!$A$1:$L$1300,875+DY$3,2+DY$2)&lt;&gt;"",INDEX('×入力'!$A$1:$L$1300,874,2+DY$2)&lt;&gt;"",INDEX('×入力'!$A$1:$L$1300,875+DY$3,1)&lt;&gt;""),1,0),0)</f>
        <v/>
      </c>
      <c r="DZ41">
        <f>IF(DZ$4=1,IF(OR(INDEX('×入力'!$A$1:$L$1300,875+DZ$3,2+DZ$2)&lt;&gt;"",INDEX('×入力'!$A$1:$L$1300,874,2+DZ$2)&lt;&gt;"",INDEX('×入力'!$A$1:$L$1300,875+DZ$3,1)&lt;&gt;""),1,0),0)</f>
        <v/>
      </c>
      <c r="EA41">
        <f>IF(EA$4=1,IF(OR(INDEX('×入力'!$A$1:$L$1300,875+EA$3,2+EA$2)&lt;&gt;"",INDEX('×入力'!$A$1:$L$1300,874,2+EA$2)&lt;&gt;"",INDEX('×入力'!$A$1:$L$1300,875+EA$3,1)&lt;&gt;""),1,0),0)</f>
        <v/>
      </c>
      <c r="EB41">
        <f>IF(EB$4=1,IF(OR(INDEX('×入力'!$A$1:$L$1300,875+EB$3,2+EB$2)&lt;&gt;"",INDEX('×入力'!$A$1:$L$1300,874,2+EB$2)&lt;&gt;"",INDEX('×入力'!$A$1:$L$1300,875+EB$3,1)&lt;&gt;""),1,0),0)</f>
        <v/>
      </c>
      <c r="EC41">
        <f>IF(EC$4=1,IF(OR(INDEX('×入力'!$A$1:$L$1300,875+EC$3,2+EC$2)&lt;&gt;"",INDEX('×入力'!$A$1:$L$1300,874,2+EC$2)&lt;&gt;"",INDEX('×入力'!$A$1:$L$1300,875+EC$3,1)&lt;&gt;""),1,0),0)</f>
        <v/>
      </c>
      <c r="ED41">
        <f>IF(ED$4=1,IF(OR(INDEX('×入力'!$A$1:$L$1300,875+ED$3,2+ED$2)&lt;&gt;"",INDEX('×入力'!$A$1:$L$1300,874,2+ED$2)&lt;&gt;"",INDEX('×入力'!$A$1:$L$1300,875+ED$3,1)&lt;&gt;""),1,0),0)</f>
        <v/>
      </c>
      <c r="EE41">
        <f>IF(EE$4=1,IF(OR(INDEX('×入力'!$A$1:$L$1300,875+EE$3,2+EE$2)&lt;&gt;"",INDEX('×入力'!$A$1:$L$1300,874,2+EE$2)&lt;&gt;"",INDEX('×入力'!$A$1:$L$1300,875+EE$3,1)&lt;&gt;""),1,0),0)</f>
        <v/>
      </c>
      <c r="EF41">
        <f>IF(EF$4=1,IF(OR(INDEX('×入力'!$A$1:$L$1300,875+EF$3,2+EF$2)&lt;&gt;"",INDEX('×入力'!$A$1:$L$1300,874,2+EF$2)&lt;&gt;"",INDEX('×入力'!$A$1:$L$1300,875+EF$3,1)&lt;&gt;""),1,0),0)</f>
        <v/>
      </c>
      <c r="EG41">
        <f>IF(EG$4=1,IF(OR(INDEX('×入力'!$A$1:$L$1300,875+EG$3,2+EG$2)&lt;&gt;"",INDEX('×入力'!$A$1:$L$1300,874,2+EG$2)&lt;&gt;"",INDEX('×入力'!$A$1:$L$1300,875+EG$3,1)&lt;&gt;""),1,0),0)</f>
        <v/>
      </c>
      <c r="EH41">
        <f>IF(EH$4=1,IF(OR(INDEX('×入力'!$A$1:$L$1300,875+EH$3,2+EH$2)&lt;&gt;"",INDEX('×入力'!$A$1:$L$1300,874,2+EH$2)&lt;&gt;"",INDEX('×入力'!$A$1:$L$1300,875+EH$3,1)&lt;&gt;""),1,0),0)</f>
        <v/>
      </c>
      <c r="EI41">
        <f>IF(EI$4=1,IF(OR(INDEX('×入力'!$A$1:$L$1300,875+EI$3,2+EI$2)&lt;&gt;"",INDEX('×入力'!$A$1:$L$1300,874,2+EI$2)&lt;&gt;"",INDEX('×入力'!$A$1:$L$1300,875+EI$3,1)&lt;&gt;""),1,0),0)</f>
        <v/>
      </c>
      <c r="EJ41">
        <f>IF(EJ$4=1,IF(OR(INDEX('×入力'!$A$1:$L$1300,875+EJ$3,2+EJ$2)&lt;&gt;"",INDEX('×入力'!$A$1:$L$1300,874,2+EJ$2)&lt;&gt;"",INDEX('×入力'!$A$1:$L$1300,875+EJ$3,1)&lt;&gt;""),1,0),0)</f>
        <v/>
      </c>
      <c r="EK41">
        <f>IF(EK$4=1,IF(OR(INDEX('×入力'!$A$1:$L$1300,875+EK$3,2+EK$2)&lt;&gt;"",INDEX('×入力'!$A$1:$L$1300,874,2+EK$2)&lt;&gt;"",INDEX('×入力'!$A$1:$L$1300,875+EK$3,1)&lt;&gt;""),1,0),0)</f>
        <v/>
      </c>
      <c r="EL41">
        <f>IF(EL$4=1,IF(OR(INDEX('×入力'!$A$1:$L$1300,875+EL$3,2+EL$2)&lt;&gt;"",INDEX('×入力'!$A$1:$L$1300,874,2+EL$2)&lt;&gt;"",INDEX('×入力'!$A$1:$L$1300,875+EL$3,1)&lt;&gt;""),1,0),0)</f>
        <v/>
      </c>
      <c r="EM41">
        <f>IF(EM$4=1,IF(OR(INDEX('×入力'!$A$1:$L$1300,875+EM$3,2+EM$2)&lt;&gt;"",INDEX('×入力'!$A$1:$L$1300,874,2+EM$2)&lt;&gt;"",INDEX('×入力'!$A$1:$L$1300,875+EM$3,1)&lt;&gt;""),1,0),0)</f>
        <v/>
      </c>
      <c r="EN41">
        <f>IF(EN$4=1,IF(OR(INDEX('×入力'!$A$1:$L$1300,875+EN$3,2+EN$2)&lt;&gt;"",INDEX('×入力'!$A$1:$L$1300,874,2+EN$2)&lt;&gt;"",INDEX('×入力'!$A$1:$L$1300,875+EN$3,1)&lt;&gt;""),1,0),0)</f>
        <v/>
      </c>
      <c r="EO41">
        <f>IF(EO$4=1,IF(OR(INDEX('×入力'!$A$1:$L$1300,875+EO$3,2+EO$2)&lt;&gt;"",INDEX('×入力'!$A$1:$L$1300,874,2+EO$2)&lt;&gt;"",INDEX('×入力'!$A$1:$L$1300,875+EO$3,1)&lt;&gt;""),1,0),0)</f>
        <v/>
      </c>
      <c r="EP41">
        <f>IF(EP$4=1,IF(OR(INDEX('×入力'!$A$1:$L$1300,875+EP$3,2+EP$2)&lt;&gt;"",INDEX('×入力'!$A$1:$L$1300,874,2+EP$2)&lt;&gt;"",INDEX('×入力'!$A$1:$L$1300,875+EP$3,1)&lt;&gt;""),1,0),0)</f>
        <v/>
      </c>
      <c r="EQ41">
        <f>IF(EQ$4=1,IF(OR(INDEX('×入力'!$A$1:$L$1300,875+EQ$3,2+EQ$2)&lt;&gt;"",INDEX('×入力'!$A$1:$L$1300,874,2+EQ$2)&lt;&gt;"",INDEX('×入力'!$A$1:$L$1300,875+EQ$3,1)&lt;&gt;""),1,0),0)</f>
        <v/>
      </c>
      <c r="HA41">
        <f>MAX(0,IT41)</f>
        <v/>
      </c>
      <c r="HB41">
        <f>IF(HA41=0,0,INDEX($D$2:$EQ$2,HA41))</f>
        <v/>
      </c>
      <c r="HC41">
        <f>IF(HA41=0,0,INDEX($D$3:$EQ$3,HA41))</f>
        <v/>
      </c>
      <c r="HD41">
        <f>MAX(0,IY41)</f>
        <v/>
      </c>
      <c r="HE41">
        <f>IF(HD41=0,0,INDEX($D$2:$EQ$2,HD41))</f>
        <v/>
      </c>
      <c r="HF41">
        <f>IF(HD41=0,0,INDEX($D$3:$EQ$3,HD41))</f>
        <v/>
      </c>
      <c r="HG41">
        <f>MAX(0,IZ41)</f>
        <v/>
      </c>
      <c r="HH41">
        <f>IF(HG41=0,0,INDEX($D$2:$EQ$2,HG41))</f>
        <v/>
      </c>
      <c r="HI41">
        <f>IF(HG41=0,0,INDEX($D$3:$EQ$3,HG41))</f>
        <v/>
      </c>
      <c r="HJ41">
        <f>IF(AND(HA41&gt;0,HC41&gt;1,OR(HC41-1&lt;&gt;$A$3,$A$4=0)),HA41-1,-1)</f>
        <v/>
      </c>
      <c r="HK41">
        <f>IF(AND(HA41&gt;0,HC41&lt;24,OR(HC41&lt;&gt;$A$3,$A$4=0)),HA41+1,-1)</f>
        <v/>
      </c>
      <c r="HL41">
        <f>IF(AND(HD41&gt;0,HF41&gt;1,OR(HF41-1&lt;&gt;$A$3,$A$4=0)),HD41-1,-1)</f>
        <v/>
      </c>
      <c r="HM41">
        <f>IF(AND(HD41&gt;0,HF41&lt;24,OR(HF41&lt;&gt;$A$3,$A$4=0)),HD41+1,-1)</f>
        <v/>
      </c>
      <c r="HN41">
        <f>IF(AND(HG41&gt;0,HI41&gt;1,OR(HI41-1&lt;&gt;$A$3,$A$4=0)),HG41-1,-1)</f>
        <v/>
      </c>
      <c r="HO41">
        <f>IF(AND(HG41&gt;0,HI41&lt;24,OR(HI41&lt;&gt;$A$3,$A$4=0)),HG41+1,-1)</f>
        <v/>
      </c>
      <c r="IK41">
        <f>IFERROR(INDEX('calcB'!$C$3:$C$47,MATCH(A41,'calcB'!$B$3:$B$47,0)),0)</f>
        <v/>
      </c>
      <c r="IL41">
        <f>IF(AND(C41=1,IK41=0,calcA!$A$6&gt;0),1,0)</f>
        <v/>
      </c>
      <c r="IM41">
        <f>SUMPRODUCT(D91:EQ91*(1-$D$7:$EQ$7))</f>
        <v/>
      </c>
      <c r="IN41">
        <f>SUM(D41:EQ41)</f>
        <v/>
      </c>
      <c r="IO41">
        <f>IF(B41="",0,IF(COUNTIF('調整・決定'!$C$6:$H$29,B41)=1,SUMPRODUCT(('調整・決定'!$C$6:$H$29=B41)*((COLUMN('調整・決定'!$C$6:$H$29)-3)*24+ROW('調整・決定'!$C$6:$H$29)-5)),0))</f>
        <v/>
      </c>
      <c r="IP41">
        <f>IFERROR(MATCH('名簿'!C36,{"早い時刻","遅い時刻","早い日","遅い日"},0),0)</f>
        <v/>
      </c>
      <c r="IQ41">
        <f>IF('名簿'!D36="必ず空けたい",2,IF('名簿'!D36="出来れば空けたい",1,0))</f>
        <v/>
      </c>
      <c r="IR41">
        <f>IFERROR(INDEX('calcC'!$C$3:$C$47,MATCH(A41,'calcC'!$B$3:$B$47,0)),0)</f>
        <v/>
      </c>
      <c r="IS41">
        <f>IF(AND(C41=1,IR41=0,calcA!$A$6&gt;0),1,0)</f>
        <v/>
      </c>
      <c r="IT41">
        <f>IF(OR('名簿'!G36="",'名簿'!H36=""),0,IFERROR((MATCH('名簿'!G36,'設定'!$E$11:$E$16,0)-1)*24+MATCH('名簿'!H36,'設定'!$I$11:$I$34,0),-1))</f>
        <v/>
      </c>
      <c r="IV41">
        <f>IF(OR(JF41=0,IO41=0),1,IF(OR(IF(IT41&gt;0,AND(INDEX($D$2:$EQ$2,IO41)=INDEX($D$2:$EQ$2,IT41),OR(AND(IO41=IT41+1,OR(INDEX($D$3:$EQ$3,IT41)&lt;&gt;$A$3,$A$4=0)),AND(IO41=IT41-1,OR(INDEX($D$3:$EQ$3,IO41)&lt;&gt;$A$3,$A$4=0)))),FALSE),IF(IY41&gt;0,AND(INDEX($D$2:$EQ$2,IO41)=INDEX($D$2:$EQ$2,IY41),OR(AND(IO41=IY41+1,OR(INDEX($D$3:$EQ$3,IY41)&lt;&gt;$A$3,$A$4=0)),AND(IO41=IY41-1,OR(INDEX($D$3:$EQ$3,IO41)&lt;&gt;$A$3,$A$4=0)))),FALSE),IF(IZ41&gt;0,AND(INDEX($D$2:$EQ$2,IO41)=INDEX($D$2:$EQ$2,IZ41),OR(AND(IO41=IZ41+1,OR(INDEX($D$3:$EQ$3,IZ41)&lt;&gt;$A$3,$A$4=0)),AND(IO41=IZ41-1,OR(INDEX($D$3:$EQ$3,IO41)&lt;&gt;$A$3,$A$4=0)))),FALSE)),1,0))</f>
        <v/>
      </c>
      <c r="IW41">
        <f>IF(AND('名簿'!E36&lt;&gt;"",JF41=0),1,0)</f>
        <v/>
      </c>
      <c r="IX41">
        <f>IF('名簿'!D36="空けない",1,0)</f>
        <v/>
      </c>
      <c r="IY41">
        <f>IF(OR('名簿'!J36="",'名簿'!K36=""),0,IFERROR((MATCH('名簿'!J36,'設定'!$E$11:$E$16,0)-1)*24+MATCH('名簿'!K36,'設定'!$I$11:$I$34,0),-1))</f>
        <v/>
      </c>
      <c r="IZ41">
        <f>IF(OR('名簿'!M36="",'名簿'!N36=""),0,IFERROR((MATCH('名簿'!M36,'設定'!$E$11:$E$16,0)-1)*24+MATCH('名簿'!N36,'設定'!$I$11:$I$34,0),-1))</f>
        <v/>
      </c>
      <c r="JC41">
        <f>IF(RIGHT('名簿'!I36,2)="の前",1,IF(RIGHT('名簿'!I36,2)="の後",2,0))</f>
        <v/>
      </c>
      <c r="JD41">
        <f>IF(RIGHT('名簿'!L36,2)="の前",1,IF(RIGHT('名簿'!L36,2)="の後",2,0))</f>
        <v/>
      </c>
      <c r="JE41">
        <f>IF(RIGHT('名簿'!O36,2)="の前",1,IF(RIGHT('名簿'!O36,2)="の後",2,0))</f>
        <v/>
      </c>
      <c r="JF41">
        <f>IF(OR(IT41&gt;0,IY41&gt;0,IZ41&gt;0),1,0)</f>
        <v/>
      </c>
      <c r="JG41">
        <f>IF(OR(IT41&lt;0,IY41&lt;0,IZ41&lt;0),1,0)</f>
        <v/>
      </c>
    </row>
    <row r="42">
      <c r="A42" t="n">
        <v>33</v>
      </c>
      <c r="B42">
        <f>'名簿'!P37</f>
        <v/>
      </c>
      <c r="C42">
        <f>IF(AND(B42&lt;&gt;"",OR('名簿'!Q37="入力済み",'名簿'!Q37="×なし"),IO42=0,COUNTIF('調整・決定'!$C$6:$H$29,B42)=0),1,0)</f>
        <v/>
      </c>
      <c r="D42">
        <f>IF(D$4=1,IF(OR(INDEX('×入力'!$A$1:$L$1300,903+D$3,2+D$2)&lt;&gt;"",INDEX('×入力'!$A$1:$L$1300,902,2+D$2)&lt;&gt;"",INDEX('×入力'!$A$1:$L$1300,903+D$3,1)&lt;&gt;""),1,0),0)</f>
        <v/>
      </c>
      <c r="E42">
        <f>IF(E$4=1,IF(OR(INDEX('×入力'!$A$1:$L$1300,903+E$3,2+E$2)&lt;&gt;"",INDEX('×入力'!$A$1:$L$1300,902,2+E$2)&lt;&gt;"",INDEX('×入力'!$A$1:$L$1300,903+E$3,1)&lt;&gt;""),1,0),0)</f>
        <v/>
      </c>
      <c r="F42">
        <f>IF(F$4=1,IF(OR(INDEX('×入力'!$A$1:$L$1300,903+F$3,2+F$2)&lt;&gt;"",INDEX('×入力'!$A$1:$L$1300,902,2+F$2)&lt;&gt;"",INDEX('×入力'!$A$1:$L$1300,903+F$3,1)&lt;&gt;""),1,0),0)</f>
        <v/>
      </c>
      <c r="G42">
        <f>IF(G$4=1,IF(OR(INDEX('×入力'!$A$1:$L$1300,903+G$3,2+G$2)&lt;&gt;"",INDEX('×入力'!$A$1:$L$1300,902,2+G$2)&lt;&gt;"",INDEX('×入力'!$A$1:$L$1300,903+G$3,1)&lt;&gt;""),1,0),0)</f>
        <v/>
      </c>
      <c r="H42">
        <f>IF(H$4=1,IF(OR(INDEX('×入力'!$A$1:$L$1300,903+H$3,2+H$2)&lt;&gt;"",INDEX('×入力'!$A$1:$L$1300,902,2+H$2)&lt;&gt;"",INDEX('×入力'!$A$1:$L$1300,903+H$3,1)&lt;&gt;""),1,0),0)</f>
        <v/>
      </c>
      <c r="I42">
        <f>IF(I$4=1,IF(OR(INDEX('×入力'!$A$1:$L$1300,903+I$3,2+I$2)&lt;&gt;"",INDEX('×入力'!$A$1:$L$1300,902,2+I$2)&lt;&gt;"",INDEX('×入力'!$A$1:$L$1300,903+I$3,1)&lt;&gt;""),1,0),0)</f>
        <v/>
      </c>
      <c r="J42">
        <f>IF(J$4=1,IF(OR(INDEX('×入力'!$A$1:$L$1300,903+J$3,2+J$2)&lt;&gt;"",INDEX('×入力'!$A$1:$L$1300,902,2+J$2)&lt;&gt;"",INDEX('×入力'!$A$1:$L$1300,903+J$3,1)&lt;&gt;""),1,0),0)</f>
        <v/>
      </c>
      <c r="K42">
        <f>IF(K$4=1,IF(OR(INDEX('×入力'!$A$1:$L$1300,903+K$3,2+K$2)&lt;&gt;"",INDEX('×入力'!$A$1:$L$1300,902,2+K$2)&lt;&gt;"",INDEX('×入力'!$A$1:$L$1300,903+K$3,1)&lt;&gt;""),1,0),0)</f>
        <v/>
      </c>
      <c r="L42">
        <f>IF(L$4=1,IF(OR(INDEX('×入力'!$A$1:$L$1300,903+L$3,2+L$2)&lt;&gt;"",INDEX('×入力'!$A$1:$L$1300,902,2+L$2)&lt;&gt;"",INDEX('×入力'!$A$1:$L$1300,903+L$3,1)&lt;&gt;""),1,0),0)</f>
        <v/>
      </c>
      <c r="M42">
        <f>IF(M$4=1,IF(OR(INDEX('×入力'!$A$1:$L$1300,903+M$3,2+M$2)&lt;&gt;"",INDEX('×入力'!$A$1:$L$1300,902,2+M$2)&lt;&gt;"",INDEX('×入力'!$A$1:$L$1300,903+M$3,1)&lt;&gt;""),1,0),0)</f>
        <v/>
      </c>
      <c r="N42">
        <f>IF(N$4=1,IF(OR(INDEX('×入力'!$A$1:$L$1300,903+N$3,2+N$2)&lt;&gt;"",INDEX('×入力'!$A$1:$L$1300,902,2+N$2)&lt;&gt;"",INDEX('×入力'!$A$1:$L$1300,903+N$3,1)&lt;&gt;""),1,0),0)</f>
        <v/>
      </c>
      <c r="O42">
        <f>IF(O$4=1,IF(OR(INDEX('×入力'!$A$1:$L$1300,903+O$3,2+O$2)&lt;&gt;"",INDEX('×入力'!$A$1:$L$1300,902,2+O$2)&lt;&gt;"",INDEX('×入力'!$A$1:$L$1300,903+O$3,1)&lt;&gt;""),1,0),0)</f>
        <v/>
      </c>
      <c r="P42">
        <f>IF(P$4=1,IF(OR(INDEX('×入力'!$A$1:$L$1300,903+P$3,2+P$2)&lt;&gt;"",INDEX('×入力'!$A$1:$L$1300,902,2+P$2)&lt;&gt;"",INDEX('×入力'!$A$1:$L$1300,903+P$3,1)&lt;&gt;""),1,0),0)</f>
        <v/>
      </c>
      <c r="Q42">
        <f>IF(Q$4=1,IF(OR(INDEX('×入力'!$A$1:$L$1300,903+Q$3,2+Q$2)&lt;&gt;"",INDEX('×入力'!$A$1:$L$1300,902,2+Q$2)&lt;&gt;"",INDEX('×入力'!$A$1:$L$1300,903+Q$3,1)&lt;&gt;""),1,0),0)</f>
        <v/>
      </c>
      <c r="R42">
        <f>IF(R$4=1,IF(OR(INDEX('×入力'!$A$1:$L$1300,903+R$3,2+R$2)&lt;&gt;"",INDEX('×入力'!$A$1:$L$1300,902,2+R$2)&lt;&gt;"",INDEX('×入力'!$A$1:$L$1300,903+R$3,1)&lt;&gt;""),1,0),0)</f>
        <v/>
      </c>
      <c r="S42">
        <f>IF(S$4=1,IF(OR(INDEX('×入力'!$A$1:$L$1300,903+S$3,2+S$2)&lt;&gt;"",INDEX('×入力'!$A$1:$L$1300,902,2+S$2)&lt;&gt;"",INDEX('×入力'!$A$1:$L$1300,903+S$3,1)&lt;&gt;""),1,0),0)</f>
        <v/>
      </c>
      <c r="T42">
        <f>IF(T$4=1,IF(OR(INDEX('×入力'!$A$1:$L$1300,903+T$3,2+T$2)&lt;&gt;"",INDEX('×入力'!$A$1:$L$1300,902,2+T$2)&lt;&gt;"",INDEX('×入力'!$A$1:$L$1300,903+T$3,1)&lt;&gt;""),1,0),0)</f>
        <v/>
      </c>
      <c r="U42">
        <f>IF(U$4=1,IF(OR(INDEX('×入力'!$A$1:$L$1300,903+U$3,2+U$2)&lt;&gt;"",INDEX('×入力'!$A$1:$L$1300,902,2+U$2)&lt;&gt;"",INDEX('×入力'!$A$1:$L$1300,903+U$3,1)&lt;&gt;""),1,0),0)</f>
        <v/>
      </c>
      <c r="V42">
        <f>IF(V$4=1,IF(OR(INDEX('×入力'!$A$1:$L$1300,903+V$3,2+V$2)&lt;&gt;"",INDEX('×入力'!$A$1:$L$1300,902,2+V$2)&lt;&gt;"",INDEX('×入力'!$A$1:$L$1300,903+V$3,1)&lt;&gt;""),1,0),0)</f>
        <v/>
      </c>
      <c r="W42">
        <f>IF(W$4=1,IF(OR(INDEX('×入力'!$A$1:$L$1300,903+W$3,2+W$2)&lt;&gt;"",INDEX('×入力'!$A$1:$L$1300,902,2+W$2)&lt;&gt;"",INDEX('×入力'!$A$1:$L$1300,903+W$3,1)&lt;&gt;""),1,0),0)</f>
        <v/>
      </c>
      <c r="X42">
        <f>IF(X$4=1,IF(OR(INDEX('×入力'!$A$1:$L$1300,903+X$3,2+X$2)&lt;&gt;"",INDEX('×入力'!$A$1:$L$1300,902,2+X$2)&lt;&gt;"",INDEX('×入力'!$A$1:$L$1300,903+X$3,1)&lt;&gt;""),1,0),0)</f>
        <v/>
      </c>
      <c r="Y42">
        <f>IF(Y$4=1,IF(OR(INDEX('×入力'!$A$1:$L$1300,903+Y$3,2+Y$2)&lt;&gt;"",INDEX('×入力'!$A$1:$L$1300,902,2+Y$2)&lt;&gt;"",INDEX('×入力'!$A$1:$L$1300,903+Y$3,1)&lt;&gt;""),1,0),0)</f>
        <v/>
      </c>
      <c r="Z42">
        <f>IF(Z$4=1,IF(OR(INDEX('×入力'!$A$1:$L$1300,903+Z$3,2+Z$2)&lt;&gt;"",INDEX('×入力'!$A$1:$L$1300,902,2+Z$2)&lt;&gt;"",INDEX('×入力'!$A$1:$L$1300,903+Z$3,1)&lt;&gt;""),1,0),0)</f>
        <v/>
      </c>
      <c r="AA42">
        <f>IF(AA$4=1,IF(OR(INDEX('×入力'!$A$1:$L$1300,903+AA$3,2+AA$2)&lt;&gt;"",INDEX('×入力'!$A$1:$L$1300,902,2+AA$2)&lt;&gt;"",INDEX('×入力'!$A$1:$L$1300,903+AA$3,1)&lt;&gt;""),1,0),0)</f>
        <v/>
      </c>
      <c r="AB42">
        <f>IF(AB$4=1,IF(OR(INDEX('×入力'!$A$1:$L$1300,903+AB$3,2+AB$2)&lt;&gt;"",INDEX('×入力'!$A$1:$L$1300,902,2+AB$2)&lt;&gt;"",INDEX('×入力'!$A$1:$L$1300,903+AB$3,1)&lt;&gt;""),1,0),0)</f>
        <v/>
      </c>
      <c r="AC42">
        <f>IF(AC$4=1,IF(OR(INDEX('×入力'!$A$1:$L$1300,903+AC$3,2+AC$2)&lt;&gt;"",INDEX('×入力'!$A$1:$L$1300,902,2+AC$2)&lt;&gt;"",INDEX('×入力'!$A$1:$L$1300,903+AC$3,1)&lt;&gt;""),1,0),0)</f>
        <v/>
      </c>
      <c r="AD42">
        <f>IF(AD$4=1,IF(OR(INDEX('×入力'!$A$1:$L$1300,903+AD$3,2+AD$2)&lt;&gt;"",INDEX('×入力'!$A$1:$L$1300,902,2+AD$2)&lt;&gt;"",INDEX('×入力'!$A$1:$L$1300,903+AD$3,1)&lt;&gt;""),1,0),0)</f>
        <v/>
      </c>
      <c r="AE42">
        <f>IF(AE$4=1,IF(OR(INDEX('×入力'!$A$1:$L$1300,903+AE$3,2+AE$2)&lt;&gt;"",INDEX('×入力'!$A$1:$L$1300,902,2+AE$2)&lt;&gt;"",INDEX('×入力'!$A$1:$L$1300,903+AE$3,1)&lt;&gt;""),1,0),0)</f>
        <v/>
      </c>
      <c r="AF42">
        <f>IF(AF$4=1,IF(OR(INDEX('×入力'!$A$1:$L$1300,903+AF$3,2+AF$2)&lt;&gt;"",INDEX('×入力'!$A$1:$L$1300,902,2+AF$2)&lt;&gt;"",INDEX('×入力'!$A$1:$L$1300,903+AF$3,1)&lt;&gt;""),1,0),0)</f>
        <v/>
      </c>
      <c r="AG42">
        <f>IF(AG$4=1,IF(OR(INDEX('×入力'!$A$1:$L$1300,903+AG$3,2+AG$2)&lt;&gt;"",INDEX('×入力'!$A$1:$L$1300,902,2+AG$2)&lt;&gt;"",INDEX('×入力'!$A$1:$L$1300,903+AG$3,1)&lt;&gt;""),1,0),0)</f>
        <v/>
      </c>
      <c r="AH42">
        <f>IF(AH$4=1,IF(OR(INDEX('×入力'!$A$1:$L$1300,903+AH$3,2+AH$2)&lt;&gt;"",INDEX('×入力'!$A$1:$L$1300,902,2+AH$2)&lt;&gt;"",INDEX('×入力'!$A$1:$L$1300,903+AH$3,1)&lt;&gt;""),1,0),0)</f>
        <v/>
      </c>
      <c r="AI42">
        <f>IF(AI$4=1,IF(OR(INDEX('×入力'!$A$1:$L$1300,903+AI$3,2+AI$2)&lt;&gt;"",INDEX('×入力'!$A$1:$L$1300,902,2+AI$2)&lt;&gt;"",INDEX('×入力'!$A$1:$L$1300,903+AI$3,1)&lt;&gt;""),1,0),0)</f>
        <v/>
      </c>
      <c r="AJ42">
        <f>IF(AJ$4=1,IF(OR(INDEX('×入力'!$A$1:$L$1300,903+AJ$3,2+AJ$2)&lt;&gt;"",INDEX('×入力'!$A$1:$L$1300,902,2+AJ$2)&lt;&gt;"",INDEX('×入力'!$A$1:$L$1300,903+AJ$3,1)&lt;&gt;""),1,0),0)</f>
        <v/>
      </c>
      <c r="AK42">
        <f>IF(AK$4=1,IF(OR(INDEX('×入力'!$A$1:$L$1300,903+AK$3,2+AK$2)&lt;&gt;"",INDEX('×入力'!$A$1:$L$1300,902,2+AK$2)&lt;&gt;"",INDEX('×入力'!$A$1:$L$1300,903+AK$3,1)&lt;&gt;""),1,0),0)</f>
        <v/>
      </c>
      <c r="AL42">
        <f>IF(AL$4=1,IF(OR(INDEX('×入力'!$A$1:$L$1300,903+AL$3,2+AL$2)&lt;&gt;"",INDEX('×入力'!$A$1:$L$1300,902,2+AL$2)&lt;&gt;"",INDEX('×入力'!$A$1:$L$1300,903+AL$3,1)&lt;&gt;""),1,0),0)</f>
        <v/>
      </c>
      <c r="AM42">
        <f>IF(AM$4=1,IF(OR(INDEX('×入力'!$A$1:$L$1300,903+AM$3,2+AM$2)&lt;&gt;"",INDEX('×入力'!$A$1:$L$1300,902,2+AM$2)&lt;&gt;"",INDEX('×入力'!$A$1:$L$1300,903+AM$3,1)&lt;&gt;""),1,0),0)</f>
        <v/>
      </c>
      <c r="AN42">
        <f>IF(AN$4=1,IF(OR(INDEX('×入力'!$A$1:$L$1300,903+AN$3,2+AN$2)&lt;&gt;"",INDEX('×入力'!$A$1:$L$1300,902,2+AN$2)&lt;&gt;"",INDEX('×入力'!$A$1:$L$1300,903+AN$3,1)&lt;&gt;""),1,0),0)</f>
        <v/>
      </c>
      <c r="AO42">
        <f>IF(AO$4=1,IF(OR(INDEX('×入力'!$A$1:$L$1300,903+AO$3,2+AO$2)&lt;&gt;"",INDEX('×入力'!$A$1:$L$1300,902,2+AO$2)&lt;&gt;"",INDEX('×入力'!$A$1:$L$1300,903+AO$3,1)&lt;&gt;""),1,0),0)</f>
        <v/>
      </c>
      <c r="AP42">
        <f>IF(AP$4=1,IF(OR(INDEX('×入力'!$A$1:$L$1300,903+AP$3,2+AP$2)&lt;&gt;"",INDEX('×入力'!$A$1:$L$1300,902,2+AP$2)&lt;&gt;"",INDEX('×入力'!$A$1:$L$1300,903+AP$3,1)&lt;&gt;""),1,0),0)</f>
        <v/>
      </c>
      <c r="AQ42">
        <f>IF(AQ$4=1,IF(OR(INDEX('×入力'!$A$1:$L$1300,903+AQ$3,2+AQ$2)&lt;&gt;"",INDEX('×入力'!$A$1:$L$1300,902,2+AQ$2)&lt;&gt;"",INDEX('×入力'!$A$1:$L$1300,903+AQ$3,1)&lt;&gt;""),1,0),0)</f>
        <v/>
      </c>
      <c r="AR42">
        <f>IF(AR$4=1,IF(OR(INDEX('×入力'!$A$1:$L$1300,903+AR$3,2+AR$2)&lt;&gt;"",INDEX('×入力'!$A$1:$L$1300,902,2+AR$2)&lt;&gt;"",INDEX('×入力'!$A$1:$L$1300,903+AR$3,1)&lt;&gt;""),1,0),0)</f>
        <v/>
      </c>
      <c r="AS42">
        <f>IF(AS$4=1,IF(OR(INDEX('×入力'!$A$1:$L$1300,903+AS$3,2+AS$2)&lt;&gt;"",INDEX('×入力'!$A$1:$L$1300,902,2+AS$2)&lt;&gt;"",INDEX('×入力'!$A$1:$L$1300,903+AS$3,1)&lt;&gt;""),1,0),0)</f>
        <v/>
      </c>
      <c r="AT42">
        <f>IF(AT$4=1,IF(OR(INDEX('×入力'!$A$1:$L$1300,903+AT$3,2+AT$2)&lt;&gt;"",INDEX('×入力'!$A$1:$L$1300,902,2+AT$2)&lt;&gt;"",INDEX('×入力'!$A$1:$L$1300,903+AT$3,1)&lt;&gt;""),1,0),0)</f>
        <v/>
      </c>
      <c r="AU42">
        <f>IF(AU$4=1,IF(OR(INDEX('×入力'!$A$1:$L$1300,903+AU$3,2+AU$2)&lt;&gt;"",INDEX('×入力'!$A$1:$L$1300,902,2+AU$2)&lt;&gt;"",INDEX('×入力'!$A$1:$L$1300,903+AU$3,1)&lt;&gt;""),1,0),0)</f>
        <v/>
      </c>
      <c r="AV42">
        <f>IF(AV$4=1,IF(OR(INDEX('×入力'!$A$1:$L$1300,903+AV$3,2+AV$2)&lt;&gt;"",INDEX('×入力'!$A$1:$L$1300,902,2+AV$2)&lt;&gt;"",INDEX('×入力'!$A$1:$L$1300,903+AV$3,1)&lt;&gt;""),1,0),0)</f>
        <v/>
      </c>
      <c r="AW42">
        <f>IF(AW$4=1,IF(OR(INDEX('×入力'!$A$1:$L$1300,903+AW$3,2+AW$2)&lt;&gt;"",INDEX('×入力'!$A$1:$L$1300,902,2+AW$2)&lt;&gt;"",INDEX('×入力'!$A$1:$L$1300,903+AW$3,1)&lt;&gt;""),1,0),0)</f>
        <v/>
      </c>
      <c r="AX42">
        <f>IF(AX$4=1,IF(OR(INDEX('×入力'!$A$1:$L$1300,903+AX$3,2+AX$2)&lt;&gt;"",INDEX('×入力'!$A$1:$L$1300,902,2+AX$2)&lt;&gt;"",INDEX('×入力'!$A$1:$L$1300,903+AX$3,1)&lt;&gt;""),1,0),0)</f>
        <v/>
      </c>
      <c r="AY42">
        <f>IF(AY$4=1,IF(OR(INDEX('×入力'!$A$1:$L$1300,903+AY$3,2+AY$2)&lt;&gt;"",INDEX('×入力'!$A$1:$L$1300,902,2+AY$2)&lt;&gt;"",INDEX('×入力'!$A$1:$L$1300,903+AY$3,1)&lt;&gt;""),1,0),0)</f>
        <v/>
      </c>
      <c r="AZ42">
        <f>IF(AZ$4=1,IF(OR(INDEX('×入力'!$A$1:$L$1300,903+AZ$3,2+AZ$2)&lt;&gt;"",INDEX('×入力'!$A$1:$L$1300,902,2+AZ$2)&lt;&gt;"",INDEX('×入力'!$A$1:$L$1300,903+AZ$3,1)&lt;&gt;""),1,0),0)</f>
        <v/>
      </c>
      <c r="BA42">
        <f>IF(BA$4=1,IF(OR(INDEX('×入力'!$A$1:$L$1300,903+BA$3,2+BA$2)&lt;&gt;"",INDEX('×入力'!$A$1:$L$1300,902,2+BA$2)&lt;&gt;"",INDEX('×入力'!$A$1:$L$1300,903+BA$3,1)&lt;&gt;""),1,0),0)</f>
        <v/>
      </c>
      <c r="BB42">
        <f>IF(BB$4=1,IF(OR(INDEX('×入力'!$A$1:$L$1300,903+BB$3,2+BB$2)&lt;&gt;"",INDEX('×入力'!$A$1:$L$1300,902,2+BB$2)&lt;&gt;"",INDEX('×入力'!$A$1:$L$1300,903+BB$3,1)&lt;&gt;""),1,0),0)</f>
        <v/>
      </c>
      <c r="BC42">
        <f>IF(BC$4=1,IF(OR(INDEX('×入力'!$A$1:$L$1300,903+BC$3,2+BC$2)&lt;&gt;"",INDEX('×入力'!$A$1:$L$1300,902,2+BC$2)&lt;&gt;"",INDEX('×入力'!$A$1:$L$1300,903+BC$3,1)&lt;&gt;""),1,0),0)</f>
        <v/>
      </c>
      <c r="BD42">
        <f>IF(BD$4=1,IF(OR(INDEX('×入力'!$A$1:$L$1300,903+BD$3,2+BD$2)&lt;&gt;"",INDEX('×入力'!$A$1:$L$1300,902,2+BD$2)&lt;&gt;"",INDEX('×入力'!$A$1:$L$1300,903+BD$3,1)&lt;&gt;""),1,0),0)</f>
        <v/>
      </c>
      <c r="BE42">
        <f>IF(BE$4=1,IF(OR(INDEX('×入力'!$A$1:$L$1300,903+BE$3,2+BE$2)&lt;&gt;"",INDEX('×入力'!$A$1:$L$1300,902,2+BE$2)&lt;&gt;"",INDEX('×入力'!$A$1:$L$1300,903+BE$3,1)&lt;&gt;""),1,0),0)</f>
        <v/>
      </c>
      <c r="BF42">
        <f>IF(BF$4=1,IF(OR(INDEX('×入力'!$A$1:$L$1300,903+BF$3,2+BF$2)&lt;&gt;"",INDEX('×入力'!$A$1:$L$1300,902,2+BF$2)&lt;&gt;"",INDEX('×入力'!$A$1:$L$1300,903+BF$3,1)&lt;&gt;""),1,0),0)</f>
        <v/>
      </c>
      <c r="BG42">
        <f>IF(BG$4=1,IF(OR(INDEX('×入力'!$A$1:$L$1300,903+BG$3,2+BG$2)&lt;&gt;"",INDEX('×入力'!$A$1:$L$1300,902,2+BG$2)&lt;&gt;"",INDEX('×入力'!$A$1:$L$1300,903+BG$3,1)&lt;&gt;""),1,0),0)</f>
        <v/>
      </c>
      <c r="BH42">
        <f>IF(BH$4=1,IF(OR(INDEX('×入力'!$A$1:$L$1300,903+BH$3,2+BH$2)&lt;&gt;"",INDEX('×入力'!$A$1:$L$1300,902,2+BH$2)&lt;&gt;"",INDEX('×入力'!$A$1:$L$1300,903+BH$3,1)&lt;&gt;""),1,0),0)</f>
        <v/>
      </c>
      <c r="BI42">
        <f>IF(BI$4=1,IF(OR(INDEX('×入力'!$A$1:$L$1300,903+BI$3,2+BI$2)&lt;&gt;"",INDEX('×入力'!$A$1:$L$1300,902,2+BI$2)&lt;&gt;"",INDEX('×入力'!$A$1:$L$1300,903+BI$3,1)&lt;&gt;""),1,0),0)</f>
        <v/>
      </c>
      <c r="BJ42">
        <f>IF(BJ$4=1,IF(OR(INDEX('×入力'!$A$1:$L$1300,903+BJ$3,2+BJ$2)&lt;&gt;"",INDEX('×入力'!$A$1:$L$1300,902,2+BJ$2)&lt;&gt;"",INDEX('×入力'!$A$1:$L$1300,903+BJ$3,1)&lt;&gt;""),1,0),0)</f>
        <v/>
      </c>
      <c r="BK42">
        <f>IF(BK$4=1,IF(OR(INDEX('×入力'!$A$1:$L$1300,903+BK$3,2+BK$2)&lt;&gt;"",INDEX('×入力'!$A$1:$L$1300,902,2+BK$2)&lt;&gt;"",INDEX('×入力'!$A$1:$L$1300,903+BK$3,1)&lt;&gt;""),1,0),0)</f>
        <v/>
      </c>
      <c r="BL42">
        <f>IF(BL$4=1,IF(OR(INDEX('×入力'!$A$1:$L$1300,903+BL$3,2+BL$2)&lt;&gt;"",INDEX('×入力'!$A$1:$L$1300,902,2+BL$2)&lt;&gt;"",INDEX('×入力'!$A$1:$L$1300,903+BL$3,1)&lt;&gt;""),1,0),0)</f>
        <v/>
      </c>
      <c r="BM42">
        <f>IF(BM$4=1,IF(OR(INDEX('×入力'!$A$1:$L$1300,903+BM$3,2+BM$2)&lt;&gt;"",INDEX('×入力'!$A$1:$L$1300,902,2+BM$2)&lt;&gt;"",INDEX('×入力'!$A$1:$L$1300,903+BM$3,1)&lt;&gt;""),1,0),0)</f>
        <v/>
      </c>
      <c r="BN42">
        <f>IF(BN$4=1,IF(OR(INDEX('×入力'!$A$1:$L$1300,903+BN$3,2+BN$2)&lt;&gt;"",INDEX('×入力'!$A$1:$L$1300,902,2+BN$2)&lt;&gt;"",INDEX('×入力'!$A$1:$L$1300,903+BN$3,1)&lt;&gt;""),1,0),0)</f>
        <v/>
      </c>
      <c r="BO42">
        <f>IF(BO$4=1,IF(OR(INDEX('×入力'!$A$1:$L$1300,903+BO$3,2+BO$2)&lt;&gt;"",INDEX('×入力'!$A$1:$L$1300,902,2+BO$2)&lt;&gt;"",INDEX('×入力'!$A$1:$L$1300,903+BO$3,1)&lt;&gt;""),1,0),0)</f>
        <v/>
      </c>
      <c r="BP42">
        <f>IF(BP$4=1,IF(OR(INDEX('×入力'!$A$1:$L$1300,903+BP$3,2+BP$2)&lt;&gt;"",INDEX('×入力'!$A$1:$L$1300,902,2+BP$2)&lt;&gt;"",INDEX('×入力'!$A$1:$L$1300,903+BP$3,1)&lt;&gt;""),1,0),0)</f>
        <v/>
      </c>
      <c r="BQ42">
        <f>IF(BQ$4=1,IF(OR(INDEX('×入力'!$A$1:$L$1300,903+BQ$3,2+BQ$2)&lt;&gt;"",INDEX('×入力'!$A$1:$L$1300,902,2+BQ$2)&lt;&gt;"",INDEX('×入力'!$A$1:$L$1300,903+BQ$3,1)&lt;&gt;""),1,0),0)</f>
        <v/>
      </c>
      <c r="BR42">
        <f>IF(BR$4=1,IF(OR(INDEX('×入力'!$A$1:$L$1300,903+BR$3,2+BR$2)&lt;&gt;"",INDEX('×入力'!$A$1:$L$1300,902,2+BR$2)&lt;&gt;"",INDEX('×入力'!$A$1:$L$1300,903+BR$3,1)&lt;&gt;""),1,0),0)</f>
        <v/>
      </c>
      <c r="BS42">
        <f>IF(BS$4=1,IF(OR(INDEX('×入力'!$A$1:$L$1300,903+BS$3,2+BS$2)&lt;&gt;"",INDEX('×入力'!$A$1:$L$1300,902,2+BS$2)&lt;&gt;"",INDEX('×入力'!$A$1:$L$1300,903+BS$3,1)&lt;&gt;""),1,0),0)</f>
        <v/>
      </c>
      <c r="BT42">
        <f>IF(BT$4=1,IF(OR(INDEX('×入力'!$A$1:$L$1300,903+BT$3,2+BT$2)&lt;&gt;"",INDEX('×入力'!$A$1:$L$1300,902,2+BT$2)&lt;&gt;"",INDEX('×入力'!$A$1:$L$1300,903+BT$3,1)&lt;&gt;""),1,0),0)</f>
        <v/>
      </c>
      <c r="BU42">
        <f>IF(BU$4=1,IF(OR(INDEX('×入力'!$A$1:$L$1300,903+BU$3,2+BU$2)&lt;&gt;"",INDEX('×入力'!$A$1:$L$1300,902,2+BU$2)&lt;&gt;"",INDEX('×入力'!$A$1:$L$1300,903+BU$3,1)&lt;&gt;""),1,0),0)</f>
        <v/>
      </c>
      <c r="BV42">
        <f>IF(BV$4=1,IF(OR(INDEX('×入力'!$A$1:$L$1300,903+BV$3,2+BV$2)&lt;&gt;"",INDEX('×入力'!$A$1:$L$1300,902,2+BV$2)&lt;&gt;"",INDEX('×入力'!$A$1:$L$1300,903+BV$3,1)&lt;&gt;""),1,0),0)</f>
        <v/>
      </c>
      <c r="BW42">
        <f>IF(BW$4=1,IF(OR(INDEX('×入力'!$A$1:$L$1300,903+BW$3,2+BW$2)&lt;&gt;"",INDEX('×入力'!$A$1:$L$1300,902,2+BW$2)&lt;&gt;"",INDEX('×入力'!$A$1:$L$1300,903+BW$3,1)&lt;&gt;""),1,0),0)</f>
        <v/>
      </c>
      <c r="BX42">
        <f>IF(BX$4=1,IF(OR(INDEX('×入力'!$A$1:$L$1300,903+BX$3,2+BX$2)&lt;&gt;"",INDEX('×入力'!$A$1:$L$1300,902,2+BX$2)&lt;&gt;"",INDEX('×入力'!$A$1:$L$1300,903+BX$3,1)&lt;&gt;""),1,0),0)</f>
        <v/>
      </c>
      <c r="BY42">
        <f>IF(BY$4=1,IF(OR(INDEX('×入力'!$A$1:$L$1300,903+BY$3,2+BY$2)&lt;&gt;"",INDEX('×入力'!$A$1:$L$1300,902,2+BY$2)&lt;&gt;"",INDEX('×入力'!$A$1:$L$1300,903+BY$3,1)&lt;&gt;""),1,0),0)</f>
        <v/>
      </c>
      <c r="BZ42">
        <f>IF(BZ$4=1,IF(OR(INDEX('×入力'!$A$1:$L$1300,903+BZ$3,2+BZ$2)&lt;&gt;"",INDEX('×入力'!$A$1:$L$1300,902,2+BZ$2)&lt;&gt;"",INDEX('×入力'!$A$1:$L$1300,903+BZ$3,1)&lt;&gt;""),1,0),0)</f>
        <v/>
      </c>
      <c r="CA42">
        <f>IF(CA$4=1,IF(OR(INDEX('×入力'!$A$1:$L$1300,903+CA$3,2+CA$2)&lt;&gt;"",INDEX('×入力'!$A$1:$L$1300,902,2+CA$2)&lt;&gt;"",INDEX('×入力'!$A$1:$L$1300,903+CA$3,1)&lt;&gt;""),1,0),0)</f>
        <v/>
      </c>
      <c r="CB42">
        <f>IF(CB$4=1,IF(OR(INDEX('×入力'!$A$1:$L$1300,903+CB$3,2+CB$2)&lt;&gt;"",INDEX('×入力'!$A$1:$L$1300,902,2+CB$2)&lt;&gt;"",INDEX('×入力'!$A$1:$L$1300,903+CB$3,1)&lt;&gt;""),1,0),0)</f>
        <v/>
      </c>
      <c r="CC42">
        <f>IF(CC$4=1,IF(OR(INDEX('×入力'!$A$1:$L$1300,903+CC$3,2+CC$2)&lt;&gt;"",INDEX('×入力'!$A$1:$L$1300,902,2+CC$2)&lt;&gt;"",INDEX('×入力'!$A$1:$L$1300,903+CC$3,1)&lt;&gt;""),1,0),0)</f>
        <v/>
      </c>
      <c r="CD42">
        <f>IF(CD$4=1,IF(OR(INDEX('×入力'!$A$1:$L$1300,903+CD$3,2+CD$2)&lt;&gt;"",INDEX('×入力'!$A$1:$L$1300,902,2+CD$2)&lt;&gt;"",INDEX('×入力'!$A$1:$L$1300,903+CD$3,1)&lt;&gt;""),1,0),0)</f>
        <v/>
      </c>
      <c r="CE42">
        <f>IF(CE$4=1,IF(OR(INDEX('×入力'!$A$1:$L$1300,903+CE$3,2+CE$2)&lt;&gt;"",INDEX('×入力'!$A$1:$L$1300,902,2+CE$2)&lt;&gt;"",INDEX('×入力'!$A$1:$L$1300,903+CE$3,1)&lt;&gt;""),1,0),0)</f>
        <v/>
      </c>
      <c r="CF42">
        <f>IF(CF$4=1,IF(OR(INDEX('×入力'!$A$1:$L$1300,903+CF$3,2+CF$2)&lt;&gt;"",INDEX('×入力'!$A$1:$L$1300,902,2+CF$2)&lt;&gt;"",INDEX('×入力'!$A$1:$L$1300,903+CF$3,1)&lt;&gt;""),1,0),0)</f>
        <v/>
      </c>
      <c r="CG42">
        <f>IF(CG$4=1,IF(OR(INDEX('×入力'!$A$1:$L$1300,903+CG$3,2+CG$2)&lt;&gt;"",INDEX('×入力'!$A$1:$L$1300,902,2+CG$2)&lt;&gt;"",INDEX('×入力'!$A$1:$L$1300,903+CG$3,1)&lt;&gt;""),1,0),0)</f>
        <v/>
      </c>
      <c r="CH42">
        <f>IF(CH$4=1,IF(OR(INDEX('×入力'!$A$1:$L$1300,903+CH$3,2+CH$2)&lt;&gt;"",INDEX('×入力'!$A$1:$L$1300,902,2+CH$2)&lt;&gt;"",INDEX('×入力'!$A$1:$L$1300,903+CH$3,1)&lt;&gt;""),1,0),0)</f>
        <v/>
      </c>
      <c r="CI42">
        <f>IF(CI$4=1,IF(OR(INDEX('×入力'!$A$1:$L$1300,903+CI$3,2+CI$2)&lt;&gt;"",INDEX('×入力'!$A$1:$L$1300,902,2+CI$2)&lt;&gt;"",INDEX('×入力'!$A$1:$L$1300,903+CI$3,1)&lt;&gt;""),1,0),0)</f>
        <v/>
      </c>
      <c r="CJ42">
        <f>IF(CJ$4=1,IF(OR(INDEX('×入力'!$A$1:$L$1300,903+CJ$3,2+CJ$2)&lt;&gt;"",INDEX('×入力'!$A$1:$L$1300,902,2+CJ$2)&lt;&gt;"",INDEX('×入力'!$A$1:$L$1300,903+CJ$3,1)&lt;&gt;""),1,0),0)</f>
        <v/>
      </c>
      <c r="CK42">
        <f>IF(CK$4=1,IF(OR(INDEX('×入力'!$A$1:$L$1300,903+CK$3,2+CK$2)&lt;&gt;"",INDEX('×入力'!$A$1:$L$1300,902,2+CK$2)&lt;&gt;"",INDEX('×入力'!$A$1:$L$1300,903+CK$3,1)&lt;&gt;""),1,0),0)</f>
        <v/>
      </c>
      <c r="CL42">
        <f>IF(CL$4=1,IF(OR(INDEX('×入力'!$A$1:$L$1300,903+CL$3,2+CL$2)&lt;&gt;"",INDEX('×入力'!$A$1:$L$1300,902,2+CL$2)&lt;&gt;"",INDEX('×入力'!$A$1:$L$1300,903+CL$3,1)&lt;&gt;""),1,0),0)</f>
        <v/>
      </c>
      <c r="CM42">
        <f>IF(CM$4=1,IF(OR(INDEX('×入力'!$A$1:$L$1300,903+CM$3,2+CM$2)&lt;&gt;"",INDEX('×入力'!$A$1:$L$1300,902,2+CM$2)&lt;&gt;"",INDEX('×入力'!$A$1:$L$1300,903+CM$3,1)&lt;&gt;""),1,0),0)</f>
        <v/>
      </c>
      <c r="CN42">
        <f>IF(CN$4=1,IF(OR(INDEX('×入力'!$A$1:$L$1300,903+CN$3,2+CN$2)&lt;&gt;"",INDEX('×入力'!$A$1:$L$1300,902,2+CN$2)&lt;&gt;"",INDEX('×入力'!$A$1:$L$1300,903+CN$3,1)&lt;&gt;""),1,0),0)</f>
        <v/>
      </c>
      <c r="CO42">
        <f>IF(CO$4=1,IF(OR(INDEX('×入力'!$A$1:$L$1300,903+CO$3,2+CO$2)&lt;&gt;"",INDEX('×入力'!$A$1:$L$1300,902,2+CO$2)&lt;&gt;"",INDEX('×入力'!$A$1:$L$1300,903+CO$3,1)&lt;&gt;""),1,0),0)</f>
        <v/>
      </c>
      <c r="CP42">
        <f>IF(CP$4=1,IF(OR(INDEX('×入力'!$A$1:$L$1300,903+CP$3,2+CP$2)&lt;&gt;"",INDEX('×入力'!$A$1:$L$1300,902,2+CP$2)&lt;&gt;"",INDEX('×入力'!$A$1:$L$1300,903+CP$3,1)&lt;&gt;""),1,0),0)</f>
        <v/>
      </c>
      <c r="CQ42">
        <f>IF(CQ$4=1,IF(OR(INDEX('×入力'!$A$1:$L$1300,903+CQ$3,2+CQ$2)&lt;&gt;"",INDEX('×入力'!$A$1:$L$1300,902,2+CQ$2)&lt;&gt;"",INDEX('×入力'!$A$1:$L$1300,903+CQ$3,1)&lt;&gt;""),1,0),0)</f>
        <v/>
      </c>
      <c r="CR42">
        <f>IF(CR$4=1,IF(OR(INDEX('×入力'!$A$1:$L$1300,903+CR$3,2+CR$2)&lt;&gt;"",INDEX('×入力'!$A$1:$L$1300,902,2+CR$2)&lt;&gt;"",INDEX('×入力'!$A$1:$L$1300,903+CR$3,1)&lt;&gt;""),1,0),0)</f>
        <v/>
      </c>
      <c r="CS42">
        <f>IF(CS$4=1,IF(OR(INDEX('×入力'!$A$1:$L$1300,903+CS$3,2+CS$2)&lt;&gt;"",INDEX('×入力'!$A$1:$L$1300,902,2+CS$2)&lt;&gt;"",INDEX('×入力'!$A$1:$L$1300,903+CS$3,1)&lt;&gt;""),1,0),0)</f>
        <v/>
      </c>
      <c r="CT42">
        <f>IF(CT$4=1,IF(OR(INDEX('×入力'!$A$1:$L$1300,903+CT$3,2+CT$2)&lt;&gt;"",INDEX('×入力'!$A$1:$L$1300,902,2+CT$2)&lt;&gt;"",INDEX('×入力'!$A$1:$L$1300,903+CT$3,1)&lt;&gt;""),1,0),0)</f>
        <v/>
      </c>
      <c r="CU42">
        <f>IF(CU$4=1,IF(OR(INDEX('×入力'!$A$1:$L$1300,903+CU$3,2+CU$2)&lt;&gt;"",INDEX('×入力'!$A$1:$L$1300,902,2+CU$2)&lt;&gt;"",INDEX('×入力'!$A$1:$L$1300,903+CU$3,1)&lt;&gt;""),1,0),0)</f>
        <v/>
      </c>
      <c r="CV42">
        <f>IF(CV$4=1,IF(OR(INDEX('×入力'!$A$1:$L$1300,903+CV$3,2+CV$2)&lt;&gt;"",INDEX('×入力'!$A$1:$L$1300,902,2+CV$2)&lt;&gt;"",INDEX('×入力'!$A$1:$L$1300,903+CV$3,1)&lt;&gt;""),1,0),0)</f>
        <v/>
      </c>
      <c r="CW42">
        <f>IF(CW$4=1,IF(OR(INDEX('×入力'!$A$1:$L$1300,903+CW$3,2+CW$2)&lt;&gt;"",INDEX('×入力'!$A$1:$L$1300,902,2+CW$2)&lt;&gt;"",INDEX('×入力'!$A$1:$L$1300,903+CW$3,1)&lt;&gt;""),1,0),0)</f>
        <v/>
      </c>
      <c r="CX42">
        <f>IF(CX$4=1,IF(OR(INDEX('×入力'!$A$1:$L$1300,903+CX$3,2+CX$2)&lt;&gt;"",INDEX('×入力'!$A$1:$L$1300,902,2+CX$2)&lt;&gt;"",INDEX('×入力'!$A$1:$L$1300,903+CX$3,1)&lt;&gt;""),1,0),0)</f>
        <v/>
      </c>
      <c r="CY42">
        <f>IF(CY$4=1,IF(OR(INDEX('×入力'!$A$1:$L$1300,903+CY$3,2+CY$2)&lt;&gt;"",INDEX('×入力'!$A$1:$L$1300,902,2+CY$2)&lt;&gt;"",INDEX('×入力'!$A$1:$L$1300,903+CY$3,1)&lt;&gt;""),1,0),0)</f>
        <v/>
      </c>
      <c r="CZ42">
        <f>IF(CZ$4=1,IF(OR(INDEX('×入力'!$A$1:$L$1300,903+CZ$3,2+CZ$2)&lt;&gt;"",INDEX('×入力'!$A$1:$L$1300,902,2+CZ$2)&lt;&gt;"",INDEX('×入力'!$A$1:$L$1300,903+CZ$3,1)&lt;&gt;""),1,0),0)</f>
        <v/>
      </c>
      <c r="DA42">
        <f>IF(DA$4=1,IF(OR(INDEX('×入力'!$A$1:$L$1300,903+DA$3,2+DA$2)&lt;&gt;"",INDEX('×入力'!$A$1:$L$1300,902,2+DA$2)&lt;&gt;"",INDEX('×入力'!$A$1:$L$1300,903+DA$3,1)&lt;&gt;""),1,0),0)</f>
        <v/>
      </c>
      <c r="DB42">
        <f>IF(DB$4=1,IF(OR(INDEX('×入力'!$A$1:$L$1300,903+DB$3,2+DB$2)&lt;&gt;"",INDEX('×入力'!$A$1:$L$1300,902,2+DB$2)&lt;&gt;"",INDEX('×入力'!$A$1:$L$1300,903+DB$3,1)&lt;&gt;""),1,0),0)</f>
        <v/>
      </c>
      <c r="DC42">
        <f>IF(DC$4=1,IF(OR(INDEX('×入力'!$A$1:$L$1300,903+DC$3,2+DC$2)&lt;&gt;"",INDEX('×入力'!$A$1:$L$1300,902,2+DC$2)&lt;&gt;"",INDEX('×入力'!$A$1:$L$1300,903+DC$3,1)&lt;&gt;""),1,0),0)</f>
        <v/>
      </c>
      <c r="DD42">
        <f>IF(DD$4=1,IF(OR(INDEX('×入力'!$A$1:$L$1300,903+DD$3,2+DD$2)&lt;&gt;"",INDEX('×入力'!$A$1:$L$1300,902,2+DD$2)&lt;&gt;"",INDEX('×入力'!$A$1:$L$1300,903+DD$3,1)&lt;&gt;""),1,0),0)</f>
        <v/>
      </c>
      <c r="DE42">
        <f>IF(DE$4=1,IF(OR(INDEX('×入力'!$A$1:$L$1300,903+DE$3,2+DE$2)&lt;&gt;"",INDEX('×入力'!$A$1:$L$1300,902,2+DE$2)&lt;&gt;"",INDEX('×入力'!$A$1:$L$1300,903+DE$3,1)&lt;&gt;""),1,0),0)</f>
        <v/>
      </c>
      <c r="DF42">
        <f>IF(DF$4=1,IF(OR(INDEX('×入力'!$A$1:$L$1300,903+DF$3,2+DF$2)&lt;&gt;"",INDEX('×入力'!$A$1:$L$1300,902,2+DF$2)&lt;&gt;"",INDEX('×入力'!$A$1:$L$1300,903+DF$3,1)&lt;&gt;""),1,0),0)</f>
        <v/>
      </c>
      <c r="DG42">
        <f>IF(DG$4=1,IF(OR(INDEX('×入力'!$A$1:$L$1300,903+DG$3,2+DG$2)&lt;&gt;"",INDEX('×入力'!$A$1:$L$1300,902,2+DG$2)&lt;&gt;"",INDEX('×入力'!$A$1:$L$1300,903+DG$3,1)&lt;&gt;""),1,0),0)</f>
        <v/>
      </c>
      <c r="DH42">
        <f>IF(DH$4=1,IF(OR(INDEX('×入力'!$A$1:$L$1300,903+DH$3,2+DH$2)&lt;&gt;"",INDEX('×入力'!$A$1:$L$1300,902,2+DH$2)&lt;&gt;"",INDEX('×入力'!$A$1:$L$1300,903+DH$3,1)&lt;&gt;""),1,0),0)</f>
        <v/>
      </c>
      <c r="DI42">
        <f>IF(DI$4=1,IF(OR(INDEX('×入力'!$A$1:$L$1300,903+DI$3,2+DI$2)&lt;&gt;"",INDEX('×入力'!$A$1:$L$1300,902,2+DI$2)&lt;&gt;"",INDEX('×入力'!$A$1:$L$1300,903+DI$3,1)&lt;&gt;""),1,0),0)</f>
        <v/>
      </c>
      <c r="DJ42">
        <f>IF(DJ$4=1,IF(OR(INDEX('×入力'!$A$1:$L$1300,903+DJ$3,2+DJ$2)&lt;&gt;"",INDEX('×入力'!$A$1:$L$1300,902,2+DJ$2)&lt;&gt;"",INDEX('×入力'!$A$1:$L$1300,903+DJ$3,1)&lt;&gt;""),1,0),0)</f>
        <v/>
      </c>
      <c r="DK42">
        <f>IF(DK$4=1,IF(OR(INDEX('×入力'!$A$1:$L$1300,903+DK$3,2+DK$2)&lt;&gt;"",INDEX('×入力'!$A$1:$L$1300,902,2+DK$2)&lt;&gt;"",INDEX('×入力'!$A$1:$L$1300,903+DK$3,1)&lt;&gt;""),1,0),0)</f>
        <v/>
      </c>
      <c r="DL42">
        <f>IF(DL$4=1,IF(OR(INDEX('×入力'!$A$1:$L$1300,903+DL$3,2+DL$2)&lt;&gt;"",INDEX('×入力'!$A$1:$L$1300,902,2+DL$2)&lt;&gt;"",INDEX('×入力'!$A$1:$L$1300,903+DL$3,1)&lt;&gt;""),1,0),0)</f>
        <v/>
      </c>
      <c r="DM42">
        <f>IF(DM$4=1,IF(OR(INDEX('×入力'!$A$1:$L$1300,903+DM$3,2+DM$2)&lt;&gt;"",INDEX('×入力'!$A$1:$L$1300,902,2+DM$2)&lt;&gt;"",INDEX('×入力'!$A$1:$L$1300,903+DM$3,1)&lt;&gt;""),1,0),0)</f>
        <v/>
      </c>
      <c r="DN42">
        <f>IF(DN$4=1,IF(OR(INDEX('×入力'!$A$1:$L$1300,903+DN$3,2+DN$2)&lt;&gt;"",INDEX('×入力'!$A$1:$L$1300,902,2+DN$2)&lt;&gt;"",INDEX('×入力'!$A$1:$L$1300,903+DN$3,1)&lt;&gt;""),1,0),0)</f>
        <v/>
      </c>
      <c r="DO42">
        <f>IF(DO$4=1,IF(OR(INDEX('×入力'!$A$1:$L$1300,903+DO$3,2+DO$2)&lt;&gt;"",INDEX('×入力'!$A$1:$L$1300,902,2+DO$2)&lt;&gt;"",INDEX('×入力'!$A$1:$L$1300,903+DO$3,1)&lt;&gt;""),1,0),0)</f>
        <v/>
      </c>
      <c r="DP42">
        <f>IF(DP$4=1,IF(OR(INDEX('×入力'!$A$1:$L$1300,903+DP$3,2+DP$2)&lt;&gt;"",INDEX('×入力'!$A$1:$L$1300,902,2+DP$2)&lt;&gt;"",INDEX('×入力'!$A$1:$L$1300,903+DP$3,1)&lt;&gt;""),1,0),0)</f>
        <v/>
      </c>
      <c r="DQ42">
        <f>IF(DQ$4=1,IF(OR(INDEX('×入力'!$A$1:$L$1300,903+DQ$3,2+DQ$2)&lt;&gt;"",INDEX('×入力'!$A$1:$L$1300,902,2+DQ$2)&lt;&gt;"",INDEX('×入力'!$A$1:$L$1300,903+DQ$3,1)&lt;&gt;""),1,0),0)</f>
        <v/>
      </c>
      <c r="DR42">
        <f>IF(DR$4=1,IF(OR(INDEX('×入力'!$A$1:$L$1300,903+DR$3,2+DR$2)&lt;&gt;"",INDEX('×入力'!$A$1:$L$1300,902,2+DR$2)&lt;&gt;"",INDEX('×入力'!$A$1:$L$1300,903+DR$3,1)&lt;&gt;""),1,0),0)</f>
        <v/>
      </c>
      <c r="DS42">
        <f>IF(DS$4=1,IF(OR(INDEX('×入力'!$A$1:$L$1300,903+DS$3,2+DS$2)&lt;&gt;"",INDEX('×入力'!$A$1:$L$1300,902,2+DS$2)&lt;&gt;"",INDEX('×入力'!$A$1:$L$1300,903+DS$3,1)&lt;&gt;""),1,0),0)</f>
        <v/>
      </c>
      <c r="DT42">
        <f>IF(DT$4=1,IF(OR(INDEX('×入力'!$A$1:$L$1300,903+DT$3,2+DT$2)&lt;&gt;"",INDEX('×入力'!$A$1:$L$1300,902,2+DT$2)&lt;&gt;"",INDEX('×入力'!$A$1:$L$1300,903+DT$3,1)&lt;&gt;""),1,0),0)</f>
        <v/>
      </c>
      <c r="DU42">
        <f>IF(DU$4=1,IF(OR(INDEX('×入力'!$A$1:$L$1300,903+DU$3,2+DU$2)&lt;&gt;"",INDEX('×入力'!$A$1:$L$1300,902,2+DU$2)&lt;&gt;"",INDEX('×入力'!$A$1:$L$1300,903+DU$3,1)&lt;&gt;""),1,0),0)</f>
        <v/>
      </c>
      <c r="DV42">
        <f>IF(DV$4=1,IF(OR(INDEX('×入力'!$A$1:$L$1300,903+DV$3,2+DV$2)&lt;&gt;"",INDEX('×入力'!$A$1:$L$1300,902,2+DV$2)&lt;&gt;"",INDEX('×入力'!$A$1:$L$1300,903+DV$3,1)&lt;&gt;""),1,0),0)</f>
        <v/>
      </c>
      <c r="DW42">
        <f>IF(DW$4=1,IF(OR(INDEX('×入力'!$A$1:$L$1300,903+DW$3,2+DW$2)&lt;&gt;"",INDEX('×入力'!$A$1:$L$1300,902,2+DW$2)&lt;&gt;"",INDEX('×入力'!$A$1:$L$1300,903+DW$3,1)&lt;&gt;""),1,0),0)</f>
        <v/>
      </c>
      <c r="DX42">
        <f>IF(DX$4=1,IF(OR(INDEX('×入力'!$A$1:$L$1300,903+DX$3,2+DX$2)&lt;&gt;"",INDEX('×入力'!$A$1:$L$1300,902,2+DX$2)&lt;&gt;"",INDEX('×入力'!$A$1:$L$1300,903+DX$3,1)&lt;&gt;""),1,0),0)</f>
        <v/>
      </c>
      <c r="DY42">
        <f>IF(DY$4=1,IF(OR(INDEX('×入力'!$A$1:$L$1300,903+DY$3,2+DY$2)&lt;&gt;"",INDEX('×入力'!$A$1:$L$1300,902,2+DY$2)&lt;&gt;"",INDEX('×入力'!$A$1:$L$1300,903+DY$3,1)&lt;&gt;""),1,0),0)</f>
        <v/>
      </c>
      <c r="DZ42">
        <f>IF(DZ$4=1,IF(OR(INDEX('×入力'!$A$1:$L$1300,903+DZ$3,2+DZ$2)&lt;&gt;"",INDEX('×入力'!$A$1:$L$1300,902,2+DZ$2)&lt;&gt;"",INDEX('×入力'!$A$1:$L$1300,903+DZ$3,1)&lt;&gt;""),1,0),0)</f>
        <v/>
      </c>
      <c r="EA42">
        <f>IF(EA$4=1,IF(OR(INDEX('×入力'!$A$1:$L$1300,903+EA$3,2+EA$2)&lt;&gt;"",INDEX('×入力'!$A$1:$L$1300,902,2+EA$2)&lt;&gt;"",INDEX('×入力'!$A$1:$L$1300,903+EA$3,1)&lt;&gt;""),1,0),0)</f>
        <v/>
      </c>
      <c r="EB42">
        <f>IF(EB$4=1,IF(OR(INDEX('×入力'!$A$1:$L$1300,903+EB$3,2+EB$2)&lt;&gt;"",INDEX('×入力'!$A$1:$L$1300,902,2+EB$2)&lt;&gt;"",INDEX('×入力'!$A$1:$L$1300,903+EB$3,1)&lt;&gt;""),1,0),0)</f>
        <v/>
      </c>
      <c r="EC42">
        <f>IF(EC$4=1,IF(OR(INDEX('×入力'!$A$1:$L$1300,903+EC$3,2+EC$2)&lt;&gt;"",INDEX('×入力'!$A$1:$L$1300,902,2+EC$2)&lt;&gt;"",INDEX('×入力'!$A$1:$L$1300,903+EC$3,1)&lt;&gt;""),1,0),0)</f>
        <v/>
      </c>
      <c r="ED42">
        <f>IF(ED$4=1,IF(OR(INDEX('×入力'!$A$1:$L$1300,903+ED$3,2+ED$2)&lt;&gt;"",INDEX('×入力'!$A$1:$L$1300,902,2+ED$2)&lt;&gt;"",INDEX('×入力'!$A$1:$L$1300,903+ED$3,1)&lt;&gt;""),1,0),0)</f>
        <v/>
      </c>
      <c r="EE42">
        <f>IF(EE$4=1,IF(OR(INDEX('×入力'!$A$1:$L$1300,903+EE$3,2+EE$2)&lt;&gt;"",INDEX('×入力'!$A$1:$L$1300,902,2+EE$2)&lt;&gt;"",INDEX('×入力'!$A$1:$L$1300,903+EE$3,1)&lt;&gt;""),1,0),0)</f>
        <v/>
      </c>
      <c r="EF42">
        <f>IF(EF$4=1,IF(OR(INDEX('×入力'!$A$1:$L$1300,903+EF$3,2+EF$2)&lt;&gt;"",INDEX('×入力'!$A$1:$L$1300,902,2+EF$2)&lt;&gt;"",INDEX('×入力'!$A$1:$L$1300,903+EF$3,1)&lt;&gt;""),1,0),0)</f>
        <v/>
      </c>
      <c r="EG42">
        <f>IF(EG$4=1,IF(OR(INDEX('×入力'!$A$1:$L$1300,903+EG$3,2+EG$2)&lt;&gt;"",INDEX('×入力'!$A$1:$L$1300,902,2+EG$2)&lt;&gt;"",INDEX('×入力'!$A$1:$L$1300,903+EG$3,1)&lt;&gt;""),1,0),0)</f>
        <v/>
      </c>
      <c r="EH42">
        <f>IF(EH$4=1,IF(OR(INDEX('×入力'!$A$1:$L$1300,903+EH$3,2+EH$2)&lt;&gt;"",INDEX('×入力'!$A$1:$L$1300,902,2+EH$2)&lt;&gt;"",INDEX('×入力'!$A$1:$L$1300,903+EH$3,1)&lt;&gt;""),1,0),0)</f>
        <v/>
      </c>
      <c r="EI42">
        <f>IF(EI$4=1,IF(OR(INDEX('×入力'!$A$1:$L$1300,903+EI$3,2+EI$2)&lt;&gt;"",INDEX('×入力'!$A$1:$L$1300,902,2+EI$2)&lt;&gt;"",INDEX('×入力'!$A$1:$L$1300,903+EI$3,1)&lt;&gt;""),1,0),0)</f>
        <v/>
      </c>
      <c r="EJ42">
        <f>IF(EJ$4=1,IF(OR(INDEX('×入力'!$A$1:$L$1300,903+EJ$3,2+EJ$2)&lt;&gt;"",INDEX('×入力'!$A$1:$L$1300,902,2+EJ$2)&lt;&gt;"",INDEX('×入力'!$A$1:$L$1300,903+EJ$3,1)&lt;&gt;""),1,0),0)</f>
        <v/>
      </c>
      <c r="EK42">
        <f>IF(EK$4=1,IF(OR(INDEX('×入力'!$A$1:$L$1300,903+EK$3,2+EK$2)&lt;&gt;"",INDEX('×入力'!$A$1:$L$1300,902,2+EK$2)&lt;&gt;"",INDEX('×入力'!$A$1:$L$1300,903+EK$3,1)&lt;&gt;""),1,0),0)</f>
        <v/>
      </c>
      <c r="EL42">
        <f>IF(EL$4=1,IF(OR(INDEX('×入力'!$A$1:$L$1300,903+EL$3,2+EL$2)&lt;&gt;"",INDEX('×入力'!$A$1:$L$1300,902,2+EL$2)&lt;&gt;"",INDEX('×入力'!$A$1:$L$1300,903+EL$3,1)&lt;&gt;""),1,0),0)</f>
        <v/>
      </c>
      <c r="EM42">
        <f>IF(EM$4=1,IF(OR(INDEX('×入力'!$A$1:$L$1300,903+EM$3,2+EM$2)&lt;&gt;"",INDEX('×入力'!$A$1:$L$1300,902,2+EM$2)&lt;&gt;"",INDEX('×入力'!$A$1:$L$1300,903+EM$3,1)&lt;&gt;""),1,0),0)</f>
        <v/>
      </c>
      <c r="EN42">
        <f>IF(EN$4=1,IF(OR(INDEX('×入力'!$A$1:$L$1300,903+EN$3,2+EN$2)&lt;&gt;"",INDEX('×入力'!$A$1:$L$1300,902,2+EN$2)&lt;&gt;"",INDEX('×入力'!$A$1:$L$1300,903+EN$3,1)&lt;&gt;""),1,0),0)</f>
        <v/>
      </c>
      <c r="EO42">
        <f>IF(EO$4=1,IF(OR(INDEX('×入力'!$A$1:$L$1300,903+EO$3,2+EO$2)&lt;&gt;"",INDEX('×入力'!$A$1:$L$1300,902,2+EO$2)&lt;&gt;"",INDEX('×入力'!$A$1:$L$1300,903+EO$3,1)&lt;&gt;""),1,0),0)</f>
        <v/>
      </c>
      <c r="EP42">
        <f>IF(EP$4=1,IF(OR(INDEX('×入力'!$A$1:$L$1300,903+EP$3,2+EP$2)&lt;&gt;"",INDEX('×入力'!$A$1:$L$1300,902,2+EP$2)&lt;&gt;"",INDEX('×入力'!$A$1:$L$1300,903+EP$3,1)&lt;&gt;""),1,0),0)</f>
        <v/>
      </c>
      <c r="EQ42">
        <f>IF(EQ$4=1,IF(OR(INDEX('×入力'!$A$1:$L$1300,903+EQ$3,2+EQ$2)&lt;&gt;"",INDEX('×入力'!$A$1:$L$1300,902,2+EQ$2)&lt;&gt;"",INDEX('×入力'!$A$1:$L$1300,903+EQ$3,1)&lt;&gt;""),1,0),0)</f>
        <v/>
      </c>
      <c r="HA42">
        <f>MAX(0,IT42)</f>
        <v/>
      </c>
      <c r="HB42">
        <f>IF(HA42=0,0,INDEX($D$2:$EQ$2,HA42))</f>
        <v/>
      </c>
      <c r="HC42">
        <f>IF(HA42=0,0,INDEX($D$3:$EQ$3,HA42))</f>
        <v/>
      </c>
      <c r="HD42">
        <f>MAX(0,IY42)</f>
        <v/>
      </c>
      <c r="HE42">
        <f>IF(HD42=0,0,INDEX($D$2:$EQ$2,HD42))</f>
        <v/>
      </c>
      <c r="HF42">
        <f>IF(HD42=0,0,INDEX($D$3:$EQ$3,HD42))</f>
        <v/>
      </c>
      <c r="HG42">
        <f>MAX(0,IZ42)</f>
        <v/>
      </c>
      <c r="HH42">
        <f>IF(HG42=0,0,INDEX($D$2:$EQ$2,HG42))</f>
        <v/>
      </c>
      <c r="HI42">
        <f>IF(HG42=0,0,INDEX($D$3:$EQ$3,HG42))</f>
        <v/>
      </c>
      <c r="HJ42">
        <f>IF(AND(HA42&gt;0,HC42&gt;1,OR(HC42-1&lt;&gt;$A$3,$A$4=0)),HA42-1,-1)</f>
        <v/>
      </c>
      <c r="HK42">
        <f>IF(AND(HA42&gt;0,HC42&lt;24,OR(HC42&lt;&gt;$A$3,$A$4=0)),HA42+1,-1)</f>
        <v/>
      </c>
      <c r="HL42">
        <f>IF(AND(HD42&gt;0,HF42&gt;1,OR(HF42-1&lt;&gt;$A$3,$A$4=0)),HD42-1,-1)</f>
        <v/>
      </c>
      <c r="HM42">
        <f>IF(AND(HD42&gt;0,HF42&lt;24,OR(HF42&lt;&gt;$A$3,$A$4=0)),HD42+1,-1)</f>
        <v/>
      </c>
      <c r="HN42">
        <f>IF(AND(HG42&gt;0,HI42&gt;1,OR(HI42-1&lt;&gt;$A$3,$A$4=0)),HG42-1,-1)</f>
        <v/>
      </c>
      <c r="HO42">
        <f>IF(AND(HG42&gt;0,HI42&lt;24,OR(HI42&lt;&gt;$A$3,$A$4=0)),HG42+1,-1)</f>
        <v/>
      </c>
      <c r="IK42">
        <f>IFERROR(INDEX('calcB'!$C$3:$C$47,MATCH(A42,'calcB'!$B$3:$B$47,0)),0)</f>
        <v/>
      </c>
      <c r="IL42">
        <f>IF(AND(C42=1,IK42=0,calcA!$A$6&gt;0),1,0)</f>
        <v/>
      </c>
      <c r="IM42">
        <f>SUMPRODUCT(D92:EQ92*(1-$D$7:$EQ$7))</f>
        <v/>
      </c>
      <c r="IN42">
        <f>SUM(D42:EQ42)</f>
        <v/>
      </c>
      <c r="IO42">
        <f>IF(B42="",0,IF(COUNTIF('調整・決定'!$C$6:$H$29,B42)=1,SUMPRODUCT(('調整・決定'!$C$6:$H$29=B42)*((COLUMN('調整・決定'!$C$6:$H$29)-3)*24+ROW('調整・決定'!$C$6:$H$29)-5)),0))</f>
        <v/>
      </c>
      <c r="IP42">
        <f>IFERROR(MATCH('名簿'!C37,{"早い時刻","遅い時刻","早い日","遅い日"},0),0)</f>
        <v/>
      </c>
      <c r="IQ42">
        <f>IF('名簿'!D37="必ず空けたい",2,IF('名簿'!D37="出来れば空けたい",1,0))</f>
        <v/>
      </c>
      <c r="IR42">
        <f>IFERROR(INDEX('calcC'!$C$3:$C$47,MATCH(A42,'calcC'!$B$3:$B$47,0)),0)</f>
        <v/>
      </c>
      <c r="IS42">
        <f>IF(AND(C42=1,IR42=0,calcA!$A$6&gt;0),1,0)</f>
        <v/>
      </c>
      <c r="IT42">
        <f>IF(OR('名簿'!G37="",'名簿'!H37=""),0,IFERROR((MATCH('名簿'!G37,'設定'!$E$11:$E$16,0)-1)*24+MATCH('名簿'!H37,'設定'!$I$11:$I$34,0),-1))</f>
        <v/>
      </c>
      <c r="IV42">
        <f>IF(OR(JF42=0,IO42=0),1,IF(OR(IF(IT42&gt;0,AND(INDEX($D$2:$EQ$2,IO42)=INDEX($D$2:$EQ$2,IT42),OR(AND(IO42=IT42+1,OR(INDEX($D$3:$EQ$3,IT42)&lt;&gt;$A$3,$A$4=0)),AND(IO42=IT42-1,OR(INDEX($D$3:$EQ$3,IO42)&lt;&gt;$A$3,$A$4=0)))),FALSE),IF(IY42&gt;0,AND(INDEX($D$2:$EQ$2,IO42)=INDEX($D$2:$EQ$2,IY42),OR(AND(IO42=IY42+1,OR(INDEX($D$3:$EQ$3,IY42)&lt;&gt;$A$3,$A$4=0)),AND(IO42=IY42-1,OR(INDEX($D$3:$EQ$3,IO42)&lt;&gt;$A$3,$A$4=0)))),FALSE),IF(IZ42&gt;0,AND(INDEX($D$2:$EQ$2,IO42)=INDEX($D$2:$EQ$2,IZ42),OR(AND(IO42=IZ42+1,OR(INDEX($D$3:$EQ$3,IZ42)&lt;&gt;$A$3,$A$4=0)),AND(IO42=IZ42-1,OR(INDEX($D$3:$EQ$3,IO42)&lt;&gt;$A$3,$A$4=0)))),FALSE)),1,0))</f>
        <v/>
      </c>
      <c r="IW42">
        <f>IF(AND('名簿'!E37&lt;&gt;"",JF42=0),1,0)</f>
        <v/>
      </c>
      <c r="IX42">
        <f>IF('名簿'!D37="空けない",1,0)</f>
        <v/>
      </c>
      <c r="IY42">
        <f>IF(OR('名簿'!J37="",'名簿'!K37=""),0,IFERROR((MATCH('名簿'!J37,'設定'!$E$11:$E$16,0)-1)*24+MATCH('名簿'!K37,'設定'!$I$11:$I$34,0),-1))</f>
        <v/>
      </c>
      <c r="IZ42">
        <f>IF(OR('名簿'!M37="",'名簿'!N37=""),0,IFERROR((MATCH('名簿'!M37,'設定'!$E$11:$E$16,0)-1)*24+MATCH('名簿'!N37,'設定'!$I$11:$I$34,0),-1))</f>
        <v/>
      </c>
      <c r="JC42">
        <f>IF(RIGHT('名簿'!I37,2)="の前",1,IF(RIGHT('名簿'!I37,2)="の後",2,0))</f>
        <v/>
      </c>
      <c r="JD42">
        <f>IF(RIGHT('名簿'!L37,2)="の前",1,IF(RIGHT('名簿'!L37,2)="の後",2,0))</f>
        <v/>
      </c>
      <c r="JE42">
        <f>IF(RIGHT('名簿'!O37,2)="の前",1,IF(RIGHT('名簿'!O37,2)="の後",2,0))</f>
        <v/>
      </c>
      <c r="JF42">
        <f>IF(OR(IT42&gt;0,IY42&gt;0,IZ42&gt;0),1,0)</f>
        <v/>
      </c>
      <c r="JG42">
        <f>IF(OR(IT42&lt;0,IY42&lt;0,IZ42&lt;0),1,0)</f>
        <v/>
      </c>
    </row>
    <row r="43">
      <c r="A43" t="n">
        <v>34</v>
      </c>
      <c r="B43">
        <f>'名簿'!P38</f>
        <v/>
      </c>
      <c r="C43">
        <f>IF(AND(B43&lt;&gt;"",OR('名簿'!Q38="入力済み",'名簿'!Q38="×なし"),IO43=0,COUNTIF('調整・決定'!$C$6:$H$29,B43)=0),1,0)</f>
        <v/>
      </c>
      <c r="D43">
        <f>IF(D$4=1,IF(OR(INDEX('×入力'!$A$1:$L$1300,931+D$3,2+D$2)&lt;&gt;"",INDEX('×入力'!$A$1:$L$1300,930,2+D$2)&lt;&gt;"",INDEX('×入力'!$A$1:$L$1300,931+D$3,1)&lt;&gt;""),1,0),0)</f>
        <v/>
      </c>
      <c r="E43">
        <f>IF(E$4=1,IF(OR(INDEX('×入力'!$A$1:$L$1300,931+E$3,2+E$2)&lt;&gt;"",INDEX('×入力'!$A$1:$L$1300,930,2+E$2)&lt;&gt;"",INDEX('×入力'!$A$1:$L$1300,931+E$3,1)&lt;&gt;""),1,0),0)</f>
        <v/>
      </c>
      <c r="F43">
        <f>IF(F$4=1,IF(OR(INDEX('×入力'!$A$1:$L$1300,931+F$3,2+F$2)&lt;&gt;"",INDEX('×入力'!$A$1:$L$1300,930,2+F$2)&lt;&gt;"",INDEX('×入力'!$A$1:$L$1300,931+F$3,1)&lt;&gt;""),1,0),0)</f>
        <v/>
      </c>
      <c r="G43">
        <f>IF(G$4=1,IF(OR(INDEX('×入力'!$A$1:$L$1300,931+G$3,2+G$2)&lt;&gt;"",INDEX('×入力'!$A$1:$L$1300,930,2+G$2)&lt;&gt;"",INDEX('×入力'!$A$1:$L$1300,931+G$3,1)&lt;&gt;""),1,0),0)</f>
        <v/>
      </c>
      <c r="H43">
        <f>IF(H$4=1,IF(OR(INDEX('×入力'!$A$1:$L$1300,931+H$3,2+H$2)&lt;&gt;"",INDEX('×入力'!$A$1:$L$1300,930,2+H$2)&lt;&gt;"",INDEX('×入力'!$A$1:$L$1300,931+H$3,1)&lt;&gt;""),1,0),0)</f>
        <v/>
      </c>
      <c r="I43">
        <f>IF(I$4=1,IF(OR(INDEX('×入力'!$A$1:$L$1300,931+I$3,2+I$2)&lt;&gt;"",INDEX('×入力'!$A$1:$L$1300,930,2+I$2)&lt;&gt;"",INDEX('×入力'!$A$1:$L$1300,931+I$3,1)&lt;&gt;""),1,0),0)</f>
        <v/>
      </c>
      <c r="J43">
        <f>IF(J$4=1,IF(OR(INDEX('×入力'!$A$1:$L$1300,931+J$3,2+J$2)&lt;&gt;"",INDEX('×入力'!$A$1:$L$1300,930,2+J$2)&lt;&gt;"",INDEX('×入力'!$A$1:$L$1300,931+J$3,1)&lt;&gt;""),1,0),0)</f>
        <v/>
      </c>
      <c r="K43">
        <f>IF(K$4=1,IF(OR(INDEX('×入力'!$A$1:$L$1300,931+K$3,2+K$2)&lt;&gt;"",INDEX('×入力'!$A$1:$L$1300,930,2+K$2)&lt;&gt;"",INDEX('×入力'!$A$1:$L$1300,931+K$3,1)&lt;&gt;""),1,0),0)</f>
        <v/>
      </c>
      <c r="L43">
        <f>IF(L$4=1,IF(OR(INDEX('×入力'!$A$1:$L$1300,931+L$3,2+L$2)&lt;&gt;"",INDEX('×入力'!$A$1:$L$1300,930,2+L$2)&lt;&gt;"",INDEX('×入力'!$A$1:$L$1300,931+L$3,1)&lt;&gt;""),1,0),0)</f>
        <v/>
      </c>
      <c r="M43">
        <f>IF(M$4=1,IF(OR(INDEX('×入力'!$A$1:$L$1300,931+M$3,2+M$2)&lt;&gt;"",INDEX('×入力'!$A$1:$L$1300,930,2+M$2)&lt;&gt;"",INDEX('×入力'!$A$1:$L$1300,931+M$3,1)&lt;&gt;""),1,0),0)</f>
        <v/>
      </c>
      <c r="N43">
        <f>IF(N$4=1,IF(OR(INDEX('×入力'!$A$1:$L$1300,931+N$3,2+N$2)&lt;&gt;"",INDEX('×入力'!$A$1:$L$1300,930,2+N$2)&lt;&gt;"",INDEX('×入力'!$A$1:$L$1300,931+N$3,1)&lt;&gt;""),1,0),0)</f>
        <v/>
      </c>
      <c r="O43">
        <f>IF(O$4=1,IF(OR(INDEX('×入力'!$A$1:$L$1300,931+O$3,2+O$2)&lt;&gt;"",INDEX('×入力'!$A$1:$L$1300,930,2+O$2)&lt;&gt;"",INDEX('×入力'!$A$1:$L$1300,931+O$3,1)&lt;&gt;""),1,0),0)</f>
        <v/>
      </c>
      <c r="P43">
        <f>IF(P$4=1,IF(OR(INDEX('×入力'!$A$1:$L$1300,931+P$3,2+P$2)&lt;&gt;"",INDEX('×入力'!$A$1:$L$1300,930,2+P$2)&lt;&gt;"",INDEX('×入力'!$A$1:$L$1300,931+P$3,1)&lt;&gt;""),1,0),0)</f>
        <v/>
      </c>
      <c r="Q43">
        <f>IF(Q$4=1,IF(OR(INDEX('×入力'!$A$1:$L$1300,931+Q$3,2+Q$2)&lt;&gt;"",INDEX('×入力'!$A$1:$L$1300,930,2+Q$2)&lt;&gt;"",INDEX('×入力'!$A$1:$L$1300,931+Q$3,1)&lt;&gt;""),1,0),0)</f>
        <v/>
      </c>
      <c r="R43">
        <f>IF(R$4=1,IF(OR(INDEX('×入力'!$A$1:$L$1300,931+R$3,2+R$2)&lt;&gt;"",INDEX('×入力'!$A$1:$L$1300,930,2+R$2)&lt;&gt;"",INDEX('×入力'!$A$1:$L$1300,931+R$3,1)&lt;&gt;""),1,0),0)</f>
        <v/>
      </c>
      <c r="S43">
        <f>IF(S$4=1,IF(OR(INDEX('×入力'!$A$1:$L$1300,931+S$3,2+S$2)&lt;&gt;"",INDEX('×入力'!$A$1:$L$1300,930,2+S$2)&lt;&gt;"",INDEX('×入力'!$A$1:$L$1300,931+S$3,1)&lt;&gt;""),1,0),0)</f>
        <v/>
      </c>
      <c r="T43">
        <f>IF(T$4=1,IF(OR(INDEX('×入力'!$A$1:$L$1300,931+T$3,2+T$2)&lt;&gt;"",INDEX('×入力'!$A$1:$L$1300,930,2+T$2)&lt;&gt;"",INDEX('×入力'!$A$1:$L$1300,931+T$3,1)&lt;&gt;""),1,0),0)</f>
        <v/>
      </c>
      <c r="U43">
        <f>IF(U$4=1,IF(OR(INDEX('×入力'!$A$1:$L$1300,931+U$3,2+U$2)&lt;&gt;"",INDEX('×入力'!$A$1:$L$1300,930,2+U$2)&lt;&gt;"",INDEX('×入力'!$A$1:$L$1300,931+U$3,1)&lt;&gt;""),1,0),0)</f>
        <v/>
      </c>
      <c r="V43">
        <f>IF(V$4=1,IF(OR(INDEX('×入力'!$A$1:$L$1300,931+V$3,2+V$2)&lt;&gt;"",INDEX('×入力'!$A$1:$L$1300,930,2+V$2)&lt;&gt;"",INDEX('×入力'!$A$1:$L$1300,931+V$3,1)&lt;&gt;""),1,0),0)</f>
        <v/>
      </c>
      <c r="W43">
        <f>IF(W$4=1,IF(OR(INDEX('×入力'!$A$1:$L$1300,931+W$3,2+W$2)&lt;&gt;"",INDEX('×入力'!$A$1:$L$1300,930,2+W$2)&lt;&gt;"",INDEX('×入力'!$A$1:$L$1300,931+W$3,1)&lt;&gt;""),1,0),0)</f>
        <v/>
      </c>
      <c r="X43">
        <f>IF(X$4=1,IF(OR(INDEX('×入力'!$A$1:$L$1300,931+X$3,2+X$2)&lt;&gt;"",INDEX('×入力'!$A$1:$L$1300,930,2+X$2)&lt;&gt;"",INDEX('×入力'!$A$1:$L$1300,931+X$3,1)&lt;&gt;""),1,0),0)</f>
        <v/>
      </c>
      <c r="Y43">
        <f>IF(Y$4=1,IF(OR(INDEX('×入力'!$A$1:$L$1300,931+Y$3,2+Y$2)&lt;&gt;"",INDEX('×入力'!$A$1:$L$1300,930,2+Y$2)&lt;&gt;"",INDEX('×入力'!$A$1:$L$1300,931+Y$3,1)&lt;&gt;""),1,0),0)</f>
        <v/>
      </c>
      <c r="Z43">
        <f>IF(Z$4=1,IF(OR(INDEX('×入力'!$A$1:$L$1300,931+Z$3,2+Z$2)&lt;&gt;"",INDEX('×入力'!$A$1:$L$1300,930,2+Z$2)&lt;&gt;"",INDEX('×入力'!$A$1:$L$1300,931+Z$3,1)&lt;&gt;""),1,0),0)</f>
        <v/>
      </c>
      <c r="AA43">
        <f>IF(AA$4=1,IF(OR(INDEX('×入力'!$A$1:$L$1300,931+AA$3,2+AA$2)&lt;&gt;"",INDEX('×入力'!$A$1:$L$1300,930,2+AA$2)&lt;&gt;"",INDEX('×入力'!$A$1:$L$1300,931+AA$3,1)&lt;&gt;""),1,0),0)</f>
        <v/>
      </c>
      <c r="AB43">
        <f>IF(AB$4=1,IF(OR(INDEX('×入力'!$A$1:$L$1300,931+AB$3,2+AB$2)&lt;&gt;"",INDEX('×入力'!$A$1:$L$1300,930,2+AB$2)&lt;&gt;"",INDEX('×入力'!$A$1:$L$1300,931+AB$3,1)&lt;&gt;""),1,0),0)</f>
        <v/>
      </c>
      <c r="AC43">
        <f>IF(AC$4=1,IF(OR(INDEX('×入力'!$A$1:$L$1300,931+AC$3,2+AC$2)&lt;&gt;"",INDEX('×入力'!$A$1:$L$1300,930,2+AC$2)&lt;&gt;"",INDEX('×入力'!$A$1:$L$1300,931+AC$3,1)&lt;&gt;""),1,0),0)</f>
        <v/>
      </c>
      <c r="AD43">
        <f>IF(AD$4=1,IF(OR(INDEX('×入力'!$A$1:$L$1300,931+AD$3,2+AD$2)&lt;&gt;"",INDEX('×入力'!$A$1:$L$1300,930,2+AD$2)&lt;&gt;"",INDEX('×入力'!$A$1:$L$1300,931+AD$3,1)&lt;&gt;""),1,0),0)</f>
        <v/>
      </c>
      <c r="AE43">
        <f>IF(AE$4=1,IF(OR(INDEX('×入力'!$A$1:$L$1300,931+AE$3,2+AE$2)&lt;&gt;"",INDEX('×入力'!$A$1:$L$1300,930,2+AE$2)&lt;&gt;"",INDEX('×入力'!$A$1:$L$1300,931+AE$3,1)&lt;&gt;""),1,0),0)</f>
        <v/>
      </c>
      <c r="AF43">
        <f>IF(AF$4=1,IF(OR(INDEX('×入力'!$A$1:$L$1300,931+AF$3,2+AF$2)&lt;&gt;"",INDEX('×入力'!$A$1:$L$1300,930,2+AF$2)&lt;&gt;"",INDEX('×入力'!$A$1:$L$1300,931+AF$3,1)&lt;&gt;""),1,0),0)</f>
        <v/>
      </c>
      <c r="AG43">
        <f>IF(AG$4=1,IF(OR(INDEX('×入力'!$A$1:$L$1300,931+AG$3,2+AG$2)&lt;&gt;"",INDEX('×入力'!$A$1:$L$1300,930,2+AG$2)&lt;&gt;"",INDEX('×入力'!$A$1:$L$1300,931+AG$3,1)&lt;&gt;""),1,0),0)</f>
        <v/>
      </c>
      <c r="AH43">
        <f>IF(AH$4=1,IF(OR(INDEX('×入力'!$A$1:$L$1300,931+AH$3,2+AH$2)&lt;&gt;"",INDEX('×入力'!$A$1:$L$1300,930,2+AH$2)&lt;&gt;"",INDEX('×入力'!$A$1:$L$1300,931+AH$3,1)&lt;&gt;""),1,0),0)</f>
        <v/>
      </c>
      <c r="AI43">
        <f>IF(AI$4=1,IF(OR(INDEX('×入力'!$A$1:$L$1300,931+AI$3,2+AI$2)&lt;&gt;"",INDEX('×入力'!$A$1:$L$1300,930,2+AI$2)&lt;&gt;"",INDEX('×入力'!$A$1:$L$1300,931+AI$3,1)&lt;&gt;""),1,0),0)</f>
        <v/>
      </c>
      <c r="AJ43">
        <f>IF(AJ$4=1,IF(OR(INDEX('×入力'!$A$1:$L$1300,931+AJ$3,2+AJ$2)&lt;&gt;"",INDEX('×入力'!$A$1:$L$1300,930,2+AJ$2)&lt;&gt;"",INDEX('×入力'!$A$1:$L$1300,931+AJ$3,1)&lt;&gt;""),1,0),0)</f>
        <v/>
      </c>
      <c r="AK43">
        <f>IF(AK$4=1,IF(OR(INDEX('×入力'!$A$1:$L$1300,931+AK$3,2+AK$2)&lt;&gt;"",INDEX('×入力'!$A$1:$L$1300,930,2+AK$2)&lt;&gt;"",INDEX('×入力'!$A$1:$L$1300,931+AK$3,1)&lt;&gt;""),1,0),0)</f>
        <v/>
      </c>
      <c r="AL43">
        <f>IF(AL$4=1,IF(OR(INDEX('×入力'!$A$1:$L$1300,931+AL$3,2+AL$2)&lt;&gt;"",INDEX('×入力'!$A$1:$L$1300,930,2+AL$2)&lt;&gt;"",INDEX('×入力'!$A$1:$L$1300,931+AL$3,1)&lt;&gt;""),1,0),0)</f>
        <v/>
      </c>
      <c r="AM43">
        <f>IF(AM$4=1,IF(OR(INDEX('×入力'!$A$1:$L$1300,931+AM$3,2+AM$2)&lt;&gt;"",INDEX('×入力'!$A$1:$L$1300,930,2+AM$2)&lt;&gt;"",INDEX('×入力'!$A$1:$L$1300,931+AM$3,1)&lt;&gt;""),1,0),0)</f>
        <v/>
      </c>
      <c r="AN43">
        <f>IF(AN$4=1,IF(OR(INDEX('×入力'!$A$1:$L$1300,931+AN$3,2+AN$2)&lt;&gt;"",INDEX('×入力'!$A$1:$L$1300,930,2+AN$2)&lt;&gt;"",INDEX('×入力'!$A$1:$L$1300,931+AN$3,1)&lt;&gt;""),1,0),0)</f>
        <v/>
      </c>
      <c r="AO43">
        <f>IF(AO$4=1,IF(OR(INDEX('×入力'!$A$1:$L$1300,931+AO$3,2+AO$2)&lt;&gt;"",INDEX('×入力'!$A$1:$L$1300,930,2+AO$2)&lt;&gt;"",INDEX('×入力'!$A$1:$L$1300,931+AO$3,1)&lt;&gt;""),1,0),0)</f>
        <v/>
      </c>
      <c r="AP43">
        <f>IF(AP$4=1,IF(OR(INDEX('×入力'!$A$1:$L$1300,931+AP$3,2+AP$2)&lt;&gt;"",INDEX('×入力'!$A$1:$L$1300,930,2+AP$2)&lt;&gt;"",INDEX('×入力'!$A$1:$L$1300,931+AP$3,1)&lt;&gt;""),1,0),0)</f>
        <v/>
      </c>
      <c r="AQ43">
        <f>IF(AQ$4=1,IF(OR(INDEX('×入力'!$A$1:$L$1300,931+AQ$3,2+AQ$2)&lt;&gt;"",INDEX('×入力'!$A$1:$L$1300,930,2+AQ$2)&lt;&gt;"",INDEX('×入力'!$A$1:$L$1300,931+AQ$3,1)&lt;&gt;""),1,0),0)</f>
        <v/>
      </c>
      <c r="AR43">
        <f>IF(AR$4=1,IF(OR(INDEX('×入力'!$A$1:$L$1300,931+AR$3,2+AR$2)&lt;&gt;"",INDEX('×入力'!$A$1:$L$1300,930,2+AR$2)&lt;&gt;"",INDEX('×入力'!$A$1:$L$1300,931+AR$3,1)&lt;&gt;""),1,0),0)</f>
        <v/>
      </c>
      <c r="AS43">
        <f>IF(AS$4=1,IF(OR(INDEX('×入力'!$A$1:$L$1300,931+AS$3,2+AS$2)&lt;&gt;"",INDEX('×入力'!$A$1:$L$1300,930,2+AS$2)&lt;&gt;"",INDEX('×入力'!$A$1:$L$1300,931+AS$3,1)&lt;&gt;""),1,0),0)</f>
        <v/>
      </c>
      <c r="AT43">
        <f>IF(AT$4=1,IF(OR(INDEX('×入力'!$A$1:$L$1300,931+AT$3,2+AT$2)&lt;&gt;"",INDEX('×入力'!$A$1:$L$1300,930,2+AT$2)&lt;&gt;"",INDEX('×入力'!$A$1:$L$1300,931+AT$3,1)&lt;&gt;""),1,0),0)</f>
        <v/>
      </c>
      <c r="AU43">
        <f>IF(AU$4=1,IF(OR(INDEX('×入力'!$A$1:$L$1300,931+AU$3,2+AU$2)&lt;&gt;"",INDEX('×入力'!$A$1:$L$1300,930,2+AU$2)&lt;&gt;"",INDEX('×入力'!$A$1:$L$1300,931+AU$3,1)&lt;&gt;""),1,0),0)</f>
        <v/>
      </c>
      <c r="AV43">
        <f>IF(AV$4=1,IF(OR(INDEX('×入力'!$A$1:$L$1300,931+AV$3,2+AV$2)&lt;&gt;"",INDEX('×入力'!$A$1:$L$1300,930,2+AV$2)&lt;&gt;"",INDEX('×入力'!$A$1:$L$1300,931+AV$3,1)&lt;&gt;""),1,0),0)</f>
        <v/>
      </c>
      <c r="AW43">
        <f>IF(AW$4=1,IF(OR(INDEX('×入力'!$A$1:$L$1300,931+AW$3,2+AW$2)&lt;&gt;"",INDEX('×入力'!$A$1:$L$1300,930,2+AW$2)&lt;&gt;"",INDEX('×入力'!$A$1:$L$1300,931+AW$3,1)&lt;&gt;""),1,0),0)</f>
        <v/>
      </c>
      <c r="AX43">
        <f>IF(AX$4=1,IF(OR(INDEX('×入力'!$A$1:$L$1300,931+AX$3,2+AX$2)&lt;&gt;"",INDEX('×入力'!$A$1:$L$1300,930,2+AX$2)&lt;&gt;"",INDEX('×入力'!$A$1:$L$1300,931+AX$3,1)&lt;&gt;""),1,0),0)</f>
        <v/>
      </c>
      <c r="AY43">
        <f>IF(AY$4=1,IF(OR(INDEX('×入力'!$A$1:$L$1300,931+AY$3,2+AY$2)&lt;&gt;"",INDEX('×入力'!$A$1:$L$1300,930,2+AY$2)&lt;&gt;"",INDEX('×入力'!$A$1:$L$1300,931+AY$3,1)&lt;&gt;""),1,0),0)</f>
        <v/>
      </c>
      <c r="AZ43">
        <f>IF(AZ$4=1,IF(OR(INDEX('×入力'!$A$1:$L$1300,931+AZ$3,2+AZ$2)&lt;&gt;"",INDEX('×入力'!$A$1:$L$1300,930,2+AZ$2)&lt;&gt;"",INDEX('×入力'!$A$1:$L$1300,931+AZ$3,1)&lt;&gt;""),1,0),0)</f>
        <v/>
      </c>
      <c r="BA43">
        <f>IF(BA$4=1,IF(OR(INDEX('×入力'!$A$1:$L$1300,931+BA$3,2+BA$2)&lt;&gt;"",INDEX('×入力'!$A$1:$L$1300,930,2+BA$2)&lt;&gt;"",INDEX('×入力'!$A$1:$L$1300,931+BA$3,1)&lt;&gt;""),1,0),0)</f>
        <v/>
      </c>
      <c r="BB43">
        <f>IF(BB$4=1,IF(OR(INDEX('×入力'!$A$1:$L$1300,931+BB$3,2+BB$2)&lt;&gt;"",INDEX('×入力'!$A$1:$L$1300,930,2+BB$2)&lt;&gt;"",INDEX('×入力'!$A$1:$L$1300,931+BB$3,1)&lt;&gt;""),1,0),0)</f>
        <v/>
      </c>
      <c r="BC43">
        <f>IF(BC$4=1,IF(OR(INDEX('×入力'!$A$1:$L$1300,931+BC$3,2+BC$2)&lt;&gt;"",INDEX('×入力'!$A$1:$L$1300,930,2+BC$2)&lt;&gt;"",INDEX('×入力'!$A$1:$L$1300,931+BC$3,1)&lt;&gt;""),1,0),0)</f>
        <v/>
      </c>
      <c r="BD43">
        <f>IF(BD$4=1,IF(OR(INDEX('×入力'!$A$1:$L$1300,931+BD$3,2+BD$2)&lt;&gt;"",INDEX('×入力'!$A$1:$L$1300,930,2+BD$2)&lt;&gt;"",INDEX('×入力'!$A$1:$L$1300,931+BD$3,1)&lt;&gt;""),1,0),0)</f>
        <v/>
      </c>
      <c r="BE43">
        <f>IF(BE$4=1,IF(OR(INDEX('×入力'!$A$1:$L$1300,931+BE$3,2+BE$2)&lt;&gt;"",INDEX('×入力'!$A$1:$L$1300,930,2+BE$2)&lt;&gt;"",INDEX('×入力'!$A$1:$L$1300,931+BE$3,1)&lt;&gt;""),1,0),0)</f>
        <v/>
      </c>
      <c r="BF43">
        <f>IF(BF$4=1,IF(OR(INDEX('×入力'!$A$1:$L$1300,931+BF$3,2+BF$2)&lt;&gt;"",INDEX('×入力'!$A$1:$L$1300,930,2+BF$2)&lt;&gt;"",INDEX('×入力'!$A$1:$L$1300,931+BF$3,1)&lt;&gt;""),1,0),0)</f>
        <v/>
      </c>
      <c r="BG43">
        <f>IF(BG$4=1,IF(OR(INDEX('×入力'!$A$1:$L$1300,931+BG$3,2+BG$2)&lt;&gt;"",INDEX('×入力'!$A$1:$L$1300,930,2+BG$2)&lt;&gt;"",INDEX('×入力'!$A$1:$L$1300,931+BG$3,1)&lt;&gt;""),1,0),0)</f>
        <v/>
      </c>
      <c r="BH43">
        <f>IF(BH$4=1,IF(OR(INDEX('×入力'!$A$1:$L$1300,931+BH$3,2+BH$2)&lt;&gt;"",INDEX('×入力'!$A$1:$L$1300,930,2+BH$2)&lt;&gt;"",INDEX('×入力'!$A$1:$L$1300,931+BH$3,1)&lt;&gt;""),1,0),0)</f>
        <v/>
      </c>
      <c r="BI43">
        <f>IF(BI$4=1,IF(OR(INDEX('×入力'!$A$1:$L$1300,931+BI$3,2+BI$2)&lt;&gt;"",INDEX('×入力'!$A$1:$L$1300,930,2+BI$2)&lt;&gt;"",INDEX('×入力'!$A$1:$L$1300,931+BI$3,1)&lt;&gt;""),1,0),0)</f>
        <v/>
      </c>
      <c r="BJ43">
        <f>IF(BJ$4=1,IF(OR(INDEX('×入力'!$A$1:$L$1300,931+BJ$3,2+BJ$2)&lt;&gt;"",INDEX('×入力'!$A$1:$L$1300,930,2+BJ$2)&lt;&gt;"",INDEX('×入力'!$A$1:$L$1300,931+BJ$3,1)&lt;&gt;""),1,0),0)</f>
        <v/>
      </c>
      <c r="BK43">
        <f>IF(BK$4=1,IF(OR(INDEX('×入力'!$A$1:$L$1300,931+BK$3,2+BK$2)&lt;&gt;"",INDEX('×入力'!$A$1:$L$1300,930,2+BK$2)&lt;&gt;"",INDEX('×入力'!$A$1:$L$1300,931+BK$3,1)&lt;&gt;""),1,0),0)</f>
        <v/>
      </c>
      <c r="BL43">
        <f>IF(BL$4=1,IF(OR(INDEX('×入力'!$A$1:$L$1300,931+BL$3,2+BL$2)&lt;&gt;"",INDEX('×入力'!$A$1:$L$1300,930,2+BL$2)&lt;&gt;"",INDEX('×入力'!$A$1:$L$1300,931+BL$3,1)&lt;&gt;""),1,0),0)</f>
        <v/>
      </c>
      <c r="BM43">
        <f>IF(BM$4=1,IF(OR(INDEX('×入力'!$A$1:$L$1300,931+BM$3,2+BM$2)&lt;&gt;"",INDEX('×入力'!$A$1:$L$1300,930,2+BM$2)&lt;&gt;"",INDEX('×入力'!$A$1:$L$1300,931+BM$3,1)&lt;&gt;""),1,0),0)</f>
        <v/>
      </c>
      <c r="BN43">
        <f>IF(BN$4=1,IF(OR(INDEX('×入力'!$A$1:$L$1300,931+BN$3,2+BN$2)&lt;&gt;"",INDEX('×入力'!$A$1:$L$1300,930,2+BN$2)&lt;&gt;"",INDEX('×入力'!$A$1:$L$1300,931+BN$3,1)&lt;&gt;""),1,0),0)</f>
        <v/>
      </c>
      <c r="BO43">
        <f>IF(BO$4=1,IF(OR(INDEX('×入力'!$A$1:$L$1300,931+BO$3,2+BO$2)&lt;&gt;"",INDEX('×入力'!$A$1:$L$1300,930,2+BO$2)&lt;&gt;"",INDEX('×入力'!$A$1:$L$1300,931+BO$3,1)&lt;&gt;""),1,0),0)</f>
        <v/>
      </c>
      <c r="BP43">
        <f>IF(BP$4=1,IF(OR(INDEX('×入力'!$A$1:$L$1300,931+BP$3,2+BP$2)&lt;&gt;"",INDEX('×入力'!$A$1:$L$1300,930,2+BP$2)&lt;&gt;"",INDEX('×入力'!$A$1:$L$1300,931+BP$3,1)&lt;&gt;""),1,0),0)</f>
        <v/>
      </c>
      <c r="BQ43">
        <f>IF(BQ$4=1,IF(OR(INDEX('×入力'!$A$1:$L$1300,931+BQ$3,2+BQ$2)&lt;&gt;"",INDEX('×入力'!$A$1:$L$1300,930,2+BQ$2)&lt;&gt;"",INDEX('×入力'!$A$1:$L$1300,931+BQ$3,1)&lt;&gt;""),1,0),0)</f>
        <v/>
      </c>
      <c r="BR43">
        <f>IF(BR$4=1,IF(OR(INDEX('×入力'!$A$1:$L$1300,931+BR$3,2+BR$2)&lt;&gt;"",INDEX('×入力'!$A$1:$L$1300,930,2+BR$2)&lt;&gt;"",INDEX('×入力'!$A$1:$L$1300,931+BR$3,1)&lt;&gt;""),1,0),0)</f>
        <v/>
      </c>
      <c r="BS43">
        <f>IF(BS$4=1,IF(OR(INDEX('×入力'!$A$1:$L$1300,931+BS$3,2+BS$2)&lt;&gt;"",INDEX('×入力'!$A$1:$L$1300,930,2+BS$2)&lt;&gt;"",INDEX('×入力'!$A$1:$L$1300,931+BS$3,1)&lt;&gt;""),1,0),0)</f>
        <v/>
      </c>
      <c r="BT43">
        <f>IF(BT$4=1,IF(OR(INDEX('×入力'!$A$1:$L$1300,931+BT$3,2+BT$2)&lt;&gt;"",INDEX('×入力'!$A$1:$L$1300,930,2+BT$2)&lt;&gt;"",INDEX('×入力'!$A$1:$L$1300,931+BT$3,1)&lt;&gt;""),1,0),0)</f>
        <v/>
      </c>
      <c r="BU43">
        <f>IF(BU$4=1,IF(OR(INDEX('×入力'!$A$1:$L$1300,931+BU$3,2+BU$2)&lt;&gt;"",INDEX('×入力'!$A$1:$L$1300,930,2+BU$2)&lt;&gt;"",INDEX('×入力'!$A$1:$L$1300,931+BU$3,1)&lt;&gt;""),1,0),0)</f>
        <v/>
      </c>
      <c r="BV43">
        <f>IF(BV$4=1,IF(OR(INDEX('×入力'!$A$1:$L$1300,931+BV$3,2+BV$2)&lt;&gt;"",INDEX('×入力'!$A$1:$L$1300,930,2+BV$2)&lt;&gt;"",INDEX('×入力'!$A$1:$L$1300,931+BV$3,1)&lt;&gt;""),1,0),0)</f>
        <v/>
      </c>
      <c r="BW43">
        <f>IF(BW$4=1,IF(OR(INDEX('×入力'!$A$1:$L$1300,931+BW$3,2+BW$2)&lt;&gt;"",INDEX('×入力'!$A$1:$L$1300,930,2+BW$2)&lt;&gt;"",INDEX('×入力'!$A$1:$L$1300,931+BW$3,1)&lt;&gt;""),1,0),0)</f>
        <v/>
      </c>
      <c r="BX43">
        <f>IF(BX$4=1,IF(OR(INDEX('×入力'!$A$1:$L$1300,931+BX$3,2+BX$2)&lt;&gt;"",INDEX('×入力'!$A$1:$L$1300,930,2+BX$2)&lt;&gt;"",INDEX('×入力'!$A$1:$L$1300,931+BX$3,1)&lt;&gt;""),1,0),0)</f>
        <v/>
      </c>
      <c r="BY43">
        <f>IF(BY$4=1,IF(OR(INDEX('×入力'!$A$1:$L$1300,931+BY$3,2+BY$2)&lt;&gt;"",INDEX('×入力'!$A$1:$L$1300,930,2+BY$2)&lt;&gt;"",INDEX('×入力'!$A$1:$L$1300,931+BY$3,1)&lt;&gt;""),1,0),0)</f>
        <v/>
      </c>
      <c r="BZ43">
        <f>IF(BZ$4=1,IF(OR(INDEX('×入力'!$A$1:$L$1300,931+BZ$3,2+BZ$2)&lt;&gt;"",INDEX('×入力'!$A$1:$L$1300,930,2+BZ$2)&lt;&gt;"",INDEX('×入力'!$A$1:$L$1300,931+BZ$3,1)&lt;&gt;""),1,0),0)</f>
        <v/>
      </c>
      <c r="CA43">
        <f>IF(CA$4=1,IF(OR(INDEX('×入力'!$A$1:$L$1300,931+CA$3,2+CA$2)&lt;&gt;"",INDEX('×入力'!$A$1:$L$1300,930,2+CA$2)&lt;&gt;"",INDEX('×入力'!$A$1:$L$1300,931+CA$3,1)&lt;&gt;""),1,0),0)</f>
        <v/>
      </c>
      <c r="CB43">
        <f>IF(CB$4=1,IF(OR(INDEX('×入力'!$A$1:$L$1300,931+CB$3,2+CB$2)&lt;&gt;"",INDEX('×入力'!$A$1:$L$1300,930,2+CB$2)&lt;&gt;"",INDEX('×入力'!$A$1:$L$1300,931+CB$3,1)&lt;&gt;""),1,0),0)</f>
        <v/>
      </c>
      <c r="CC43">
        <f>IF(CC$4=1,IF(OR(INDEX('×入力'!$A$1:$L$1300,931+CC$3,2+CC$2)&lt;&gt;"",INDEX('×入力'!$A$1:$L$1300,930,2+CC$2)&lt;&gt;"",INDEX('×入力'!$A$1:$L$1300,931+CC$3,1)&lt;&gt;""),1,0),0)</f>
        <v/>
      </c>
      <c r="CD43">
        <f>IF(CD$4=1,IF(OR(INDEX('×入力'!$A$1:$L$1300,931+CD$3,2+CD$2)&lt;&gt;"",INDEX('×入力'!$A$1:$L$1300,930,2+CD$2)&lt;&gt;"",INDEX('×入力'!$A$1:$L$1300,931+CD$3,1)&lt;&gt;""),1,0),0)</f>
        <v/>
      </c>
      <c r="CE43">
        <f>IF(CE$4=1,IF(OR(INDEX('×入力'!$A$1:$L$1300,931+CE$3,2+CE$2)&lt;&gt;"",INDEX('×入力'!$A$1:$L$1300,930,2+CE$2)&lt;&gt;"",INDEX('×入力'!$A$1:$L$1300,931+CE$3,1)&lt;&gt;""),1,0),0)</f>
        <v/>
      </c>
      <c r="CF43">
        <f>IF(CF$4=1,IF(OR(INDEX('×入力'!$A$1:$L$1300,931+CF$3,2+CF$2)&lt;&gt;"",INDEX('×入力'!$A$1:$L$1300,930,2+CF$2)&lt;&gt;"",INDEX('×入力'!$A$1:$L$1300,931+CF$3,1)&lt;&gt;""),1,0),0)</f>
        <v/>
      </c>
      <c r="CG43">
        <f>IF(CG$4=1,IF(OR(INDEX('×入力'!$A$1:$L$1300,931+CG$3,2+CG$2)&lt;&gt;"",INDEX('×入力'!$A$1:$L$1300,930,2+CG$2)&lt;&gt;"",INDEX('×入力'!$A$1:$L$1300,931+CG$3,1)&lt;&gt;""),1,0),0)</f>
        <v/>
      </c>
      <c r="CH43">
        <f>IF(CH$4=1,IF(OR(INDEX('×入力'!$A$1:$L$1300,931+CH$3,2+CH$2)&lt;&gt;"",INDEX('×入力'!$A$1:$L$1300,930,2+CH$2)&lt;&gt;"",INDEX('×入力'!$A$1:$L$1300,931+CH$3,1)&lt;&gt;""),1,0),0)</f>
        <v/>
      </c>
      <c r="CI43">
        <f>IF(CI$4=1,IF(OR(INDEX('×入力'!$A$1:$L$1300,931+CI$3,2+CI$2)&lt;&gt;"",INDEX('×入力'!$A$1:$L$1300,930,2+CI$2)&lt;&gt;"",INDEX('×入力'!$A$1:$L$1300,931+CI$3,1)&lt;&gt;""),1,0),0)</f>
        <v/>
      </c>
      <c r="CJ43">
        <f>IF(CJ$4=1,IF(OR(INDEX('×入力'!$A$1:$L$1300,931+CJ$3,2+CJ$2)&lt;&gt;"",INDEX('×入力'!$A$1:$L$1300,930,2+CJ$2)&lt;&gt;"",INDEX('×入力'!$A$1:$L$1300,931+CJ$3,1)&lt;&gt;""),1,0),0)</f>
        <v/>
      </c>
      <c r="CK43">
        <f>IF(CK$4=1,IF(OR(INDEX('×入力'!$A$1:$L$1300,931+CK$3,2+CK$2)&lt;&gt;"",INDEX('×入力'!$A$1:$L$1300,930,2+CK$2)&lt;&gt;"",INDEX('×入力'!$A$1:$L$1300,931+CK$3,1)&lt;&gt;""),1,0),0)</f>
        <v/>
      </c>
      <c r="CL43">
        <f>IF(CL$4=1,IF(OR(INDEX('×入力'!$A$1:$L$1300,931+CL$3,2+CL$2)&lt;&gt;"",INDEX('×入力'!$A$1:$L$1300,930,2+CL$2)&lt;&gt;"",INDEX('×入力'!$A$1:$L$1300,931+CL$3,1)&lt;&gt;""),1,0),0)</f>
        <v/>
      </c>
      <c r="CM43">
        <f>IF(CM$4=1,IF(OR(INDEX('×入力'!$A$1:$L$1300,931+CM$3,2+CM$2)&lt;&gt;"",INDEX('×入力'!$A$1:$L$1300,930,2+CM$2)&lt;&gt;"",INDEX('×入力'!$A$1:$L$1300,931+CM$3,1)&lt;&gt;""),1,0),0)</f>
        <v/>
      </c>
      <c r="CN43">
        <f>IF(CN$4=1,IF(OR(INDEX('×入力'!$A$1:$L$1300,931+CN$3,2+CN$2)&lt;&gt;"",INDEX('×入力'!$A$1:$L$1300,930,2+CN$2)&lt;&gt;"",INDEX('×入力'!$A$1:$L$1300,931+CN$3,1)&lt;&gt;""),1,0),0)</f>
        <v/>
      </c>
      <c r="CO43">
        <f>IF(CO$4=1,IF(OR(INDEX('×入力'!$A$1:$L$1300,931+CO$3,2+CO$2)&lt;&gt;"",INDEX('×入力'!$A$1:$L$1300,930,2+CO$2)&lt;&gt;"",INDEX('×入力'!$A$1:$L$1300,931+CO$3,1)&lt;&gt;""),1,0),0)</f>
        <v/>
      </c>
      <c r="CP43">
        <f>IF(CP$4=1,IF(OR(INDEX('×入力'!$A$1:$L$1300,931+CP$3,2+CP$2)&lt;&gt;"",INDEX('×入力'!$A$1:$L$1300,930,2+CP$2)&lt;&gt;"",INDEX('×入力'!$A$1:$L$1300,931+CP$3,1)&lt;&gt;""),1,0),0)</f>
        <v/>
      </c>
      <c r="CQ43">
        <f>IF(CQ$4=1,IF(OR(INDEX('×入力'!$A$1:$L$1300,931+CQ$3,2+CQ$2)&lt;&gt;"",INDEX('×入力'!$A$1:$L$1300,930,2+CQ$2)&lt;&gt;"",INDEX('×入力'!$A$1:$L$1300,931+CQ$3,1)&lt;&gt;""),1,0),0)</f>
        <v/>
      </c>
      <c r="CR43">
        <f>IF(CR$4=1,IF(OR(INDEX('×入力'!$A$1:$L$1300,931+CR$3,2+CR$2)&lt;&gt;"",INDEX('×入力'!$A$1:$L$1300,930,2+CR$2)&lt;&gt;"",INDEX('×入力'!$A$1:$L$1300,931+CR$3,1)&lt;&gt;""),1,0),0)</f>
        <v/>
      </c>
      <c r="CS43">
        <f>IF(CS$4=1,IF(OR(INDEX('×入力'!$A$1:$L$1300,931+CS$3,2+CS$2)&lt;&gt;"",INDEX('×入力'!$A$1:$L$1300,930,2+CS$2)&lt;&gt;"",INDEX('×入力'!$A$1:$L$1300,931+CS$3,1)&lt;&gt;""),1,0),0)</f>
        <v/>
      </c>
      <c r="CT43">
        <f>IF(CT$4=1,IF(OR(INDEX('×入力'!$A$1:$L$1300,931+CT$3,2+CT$2)&lt;&gt;"",INDEX('×入力'!$A$1:$L$1300,930,2+CT$2)&lt;&gt;"",INDEX('×入力'!$A$1:$L$1300,931+CT$3,1)&lt;&gt;""),1,0),0)</f>
        <v/>
      </c>
      <c r="CU43">
        <f>IF(CU$4=1,IF(OR(INDEX('×入力'!$A$1:$L$1300,931+CU$3,2+CU$2)&lt;&gt;"",INDEX('×入力'!$A$1:$L$1300,930,2+CU$2)&lt;&gt;"",INDEX('×入力'!$A$1:$L$1300,931+CU$3,1)&lt;&gt;""),1,0),0)</f>
        <v/>
      </c>
      <c r="CV43">
        <f>IF(CV$4=1,IF(OR(INDEX('×入力'!$A$1:$L$1300,931+CV$3,2+CV$2)&lt;&gt;"",INDEX('×入力'!$A$1:$L$1300,930,2+CV$2)&lt;&gt;"",INDEX('×入力'!$A$1:$L$1300,931+CV$3,1)&lt;&gt;""),1,0),0)</f>
        <v/>
      </c>
      <c r="CW43">
        <f>IF(CW$4=1,IF(OR(INDEX('×入力'!$A$1:$L$1300,931+CW$3,2+CW$2)&lt;&gt;"",INDEX('×入力'!$A$1:$L$1300,930,2+CW$2)&lt;&gt;"",INDEX('×入力'!$A$1:$L$1300,931+CW$3,1)&lt;&gt;""),1,0),0)</f>
        <v/>
      </c>
      <c r="CX43">
        <f>IF(CX$4=1,IF(OR(INDEX('×入力'!$A$1:$L$1300,931+CX$3,2+CX$2)&lt;&gt;"",INDEX('×入力'!$A$1:$L$1300,930,2+CX$2)&lt;&gt;"",INDEX('×入力'!$A$1:$L$1300,931+CX$3,1)&lt;&gt;""),1,0),0)</f>
        <v/>
      </c>
      <c r="CY43">
        <f>IF(CY$4=1,IF(OR(INDEX('×入力'!$A$1:$L$1300,931+CY$3,2+CY$2)&lt;&gt;"",INDEX('×入力'!$A$1:$L$1300,930,2+CY$2)&lt;&gt;"",INDEX('×入力'!$A$1:$L$1300,931+CY$3,1)&lt;&gt;""),1,0),0)</f>
        <v/>
      </c>
      <c r="CZ43">
        <f>IF(CZ$4=1,IF(OR(INDEX('×入力'!$A$1:$L$1300,931+CZ$3,2+CZ$2)&lt;&gt;"",INDEX('×入力'!$A$1:$L$1300,930,2+CZ$2)&lt;&gt;"",INDEX('×入力'!$A$1:$L$1300,931+CZ$3,1)&lt;&gt;""),1,0),0)</f>
        <v/>
      </c>
      <c r="DA43">
        <f>IF(DA$4=1,IF(OR(INDEX('×入力'!$A$1:$L$1300,931+DA$3,2+DA$2)&lt;&gt;"",INDEX('×入力'!$A$1:$L$1300,930,2+DA$2)&lt;&gt;"",INDEX('×入力'!$A$1:$L$1300,931+DA$3,1)&lt;&gt;""),1,0),0)</f>
        <v/>
      </c>
      <c r="DB43">
        <f>IF(DB$4=1,IF(OR(INDEX('×入力'!$A$1:$L$1300,931+DB$3,2+DB$2)&lt;&gt;"",INDEX('×入力'!$A$1:$L$1300,930,2+DB$2)&lt;&gt;"",INDEX('×入力'!$A$1:$L$1300,931+DB$3,1)&lt;&gt;""),1,0),0)</f>
        <v/>
      </c>
      <c r="DC43">
        <f>IF(DC$4=1,IF(OR(INDEX('×入力'!$A$1:$L$1300,931+DC$3,2+DC$2)&lt;&gt;"",INDEX('×入力'!$A$1:$L$1300,930,2+DC$2)&lt;&gt;"",INDEX('×入力'!$A$1:$L$1300,931+DC$3,1)&lt;&gt;""),1,0),0)</f>
        <v/>
      </c>
      <c r="DD43">
        <f>IF(DD$4=1,IF(OR(INDEX('×入力'!$A$1:$L$1300,931+DD$3,2+DD$2)&lt;&gt;"",INDEX('×入力'!$A$1:$L$1300,930,2+DD$2)&lt;&gt;"",INDEX('×入力'!$A$1:$L$1300,931+DD$3,1)&lt;&gt;""),1,0),0)</f>
        <v/>
      </c>
      <c r="DE43">
        <f>IF(DE$4=1,IF(OR(INDEX('×入力'!$A$1:$L$1300,931+DE$3,2+DE$2)&lt;&gt;"",INDEX('×入力'!$A$1:$L$1300,930,2+DE$2)&lt;&gt;"",INDEX('×入力'!$A$1:$L$1300,931+DE$3,1)&lt;&gt;""),1,0),0)</f>
        <v/>
      </c>
      <c r="DF43">
        <f>IF(DF$4=1,IF(OR(INDEX('×入力'!$A$1:$L$1300,931+DF$3,2+DF$2)&lt;&gt;"",INDEX('×入力'!$A$1:$L$1300,930,2+DF$2)&lt;&gt;"",INDEX('×入力'!$A$1:$L$1300,931+DF$3,1)&lt;&gt;""),1,0),0)</f>
        <v/>
      </c>
      <c r="DG43">
        <f>IF(DG$4=1,IF(OR(INDEX('×入力'!$A$1:$L$1300,931+DG$3,2+DG$2)&lt;&gt;"",INDEX('×入力'!$A$1:$L$1300,930,2+DG$2)&lt;&gt;"",INDEX('×入力'!$A$1:$L$1300,931+DG$3,1)&lt;&gt;""),1,0),0)</f>
        <v/>
      </c>
      <c r="DH43">
        <f>IF(DH$4=1,IF(OR(INDEX('×入力'!$A$1:$L$1300,931+DH$3,2+DH$2)&lt;&gt;"",INDEX('×入力'!$A$1:$L$1300,930,2+DH$2)&lt;&gt;"",INDEX('×入力'!$A$1:$L$1300,931+DH$3,1)&lt;&gt;""),1,0),0)</f>
        <v/>
      </c>
      <c r="DI43">
        <f>IF(DI$4=1,IF(OR(INDEX('×入力'!$A$1:$L$1300,931+DI$3,2+DI$2)&lt;&gt;"",INDEX('×入力'!$A$1:$L$1300,930,2+DI$2)&lt;&gt;"",INDEX('×入力'!$A$1:$L$1300,931+DI$3,1)&lt;&gt;""),1,0),0)</f>
        <v/>
      </c>
      <c r="DJ43">
        <f>IF(DJ$4=1,IF(OR(INDEX('×入力'!$A$1:$L$1300,931+DJ$3,2+DJ$2)&lt;&gt;"",INDEX('×入力'!$A$1:$L$1300,930,2+DJ$2)&lt;&gt;"",INDEX('×入力'!$A$1:$L$1300,931+DJ$3,1)&lt;&gt;""),1,0),0)</f>
        <v/>
      </c>
      <c r="DK43">
        <f>IF(DK$4=1,IF(OR(INDEX('×入力'!$A$1:$L$1300,931+DK$3,2+DK$2)&lt;&gt;"",INDEX('×入力'!$A$1:$L$1300,930,2+DK$2)&lt;&gt;"",INDEX('×入力'!$A$1:$L$1300,931+DK$3,1)&lt;&gt;""),1,0),0)</f>
        <v/>
      </c>
      <c r="DL43">
        <f>IF(DL$4=1,IF(OR(INDEX('×入力'!$A$1:$L$1300,931+DL$3,2+DL$2)&lt;&gt;"",INDEX('×入力'!$A$1:$L$1300,930,2+DL$2)&lt;&gt;"",INDEX('×入力'!$A$1:$L$1300,931+DL$3,1)&lt;&gt;""),1,0),0)</f>
        <v/>
      </c>
      <c r="DM43">
        <f>IF(DM$4=1,IF(OR(INDEX('×入力'!$A$1:$L$1300,931+DM$3,2+DM$2)&lt;&gt;"",INDEX('×入力'!$A$1:$L$1300,930,2+DM$2)&lt;&gt;"",INDEX('×入力'!$A$1:$L$1300,931+DM$3,1)&lt;&gt;""),1,0),0)</f>
        <v/>
      </c>
      <c r="DN43">
        <f>IF(DN$4=1,IF(OR(INDEX('×入力'!$A$1:$L$1300,931+DN$3,2+DN$2)&lt;&gt;"",INDEX('×入力'!$A$1:$L$1300,930,2+DN$2)&lt;&gt;"",INDEX('×入力'!$A$1:$L$1300,931+DN$3,1)&lt;&gt;""),1,0),0)</f>
        <v/>
      </c>
      <c r="DO43">
        <f>IF(DO$4=1,IF(OR(INDEX('×入力'!$A$1:$L$1300,931+DO$3,2+DO$2)&lt;&gt;"",INDEX('×入力'!$A$1:$L$1300,930,2+DO$2)&lt;&gt;"",INDEX('×入力'!$A$1:$L$1300,931+DO$3,1)&lt;&gt;""),1,0),0)</f>
        <v/>
      </c>
      <c r="DP43">
        <f>IF(DP$4=1,IF(OR(INDEX('×入力'!$A$1:$L$1300,931+DP$3,2+DP$2)&lt;&gt;"",INDEX('×入力'!$A$1:$L$1300,930,2+DP$2)&lt;&gt;"",INDEX('×入力'!$A$1:$L$1300,931+DP$3,1)&lt;&gt;""),1,0),0)</f>
        <v/>
      </c>
      <c r="DQ43">
        <f>IF(DQ$4=1,IF(OR(INDEX('×入力'!$A$1:$L$1300,931+DQ$3,2+DQ$2)&lt;&gt;"",INDEX('×入力'!$A$1:$L$1300,930,2+DQ$2)&lt;&gt;"",INDEX('×入力'!$A$1:$L$1300,931+DQ$3,1)&lt;&gt;""),1,0),0)</f>
        <v/>
      </c>
      <c r="DR43">
        <f>IF(DR$4=1,IF(OR(INDEX('×入力'!$A$1:$L$1300,931+DR$3,2+DR$2)&lt;&gt;"",INDEX('×入力'!$A$1:$L$1300,930,2+DR$2)&lt;&gt;"",INDEX('×入力'!$A$1:$L$1300,931+DR$3,1)&lt;&gt;""),1,0),0)</f>
        <v/>
      </c>
      <c r="DS43">
        <f>IF(DS$4=1,IF(OR(INDEX('×入力'!$A$1:$L$1300,931+DS$3,2+DS$2)&lt;&gt;"",INDEX('×入力'!$A$1:$L$1300,930,2+DS$2)&lt;&gt;"",INDEX('×入力'!$A$1:$L$1300,931+DS$3,1)&lt;&gt;""),1,0),0)</f>
        <v/>
      </c>
      <c r="DT43">
        <f>IF(DT$4=1,IF(OR(INDEX('×入力'!$A$1:$L$1300,931+DT$3,2+DT$2)&lt;&gt;"",INDEX('×入力'!$A$1:$L$1300,930,2+DT$2)&lt;&gt;"",INDEX('×入力'!$A$1:$L$1300,931+DT$3,1)&lt;&gt;""),1,0),0)</f>
        <v/>
      </c>
      <c r="DU43">
        <f>IF(DU$4=1,IF(OR(INDEX('×入力'!$A$1:$L$1300,931+DU$3,2+DU$2)&lt;&gt;"",INDEX('×入力'!$A$1:$L$1300,930,2+DU$2)&lt;&gt;"",INDEX('×入力'!$A$1:$L$1300,931+DU$3,1)&lt;&gt;""),1,0),0)</f>
        <v/>
      </c>
      <c r="DV43">
        <f>IF(DV$4=1,IF(OR(INDEX('×入力'!$A$1:$L$1300,931+DV$3,2+DV$2)&lt;&gt;"",INDEX('×入力'!$A$1:$L$1300,930,2+DV$2)&lt;&gt;"",INDEX('×入力'!$A$1:$L$1300,931+DV$3,1)&lt;&gt;""),1,0),0)</f>
        <v/>
      </c>
      <c r="DW43">
        <f>IF(DW$4=1,IF(OR(INDEX('×入力'!$A$1:$L$1300,931+DW$3,2+DW$2)&lt;&gt;"",INDEX('×入力'!$A$1:$L$1300,930,2+DW$2)&lt;&gt;"",INDEX('×入力'!$A$1:$L$1300,931+DW$3,1)&lt;&gt;""),1,0),0)</f>
        <v/>
      </c>
      <c r="DX43">
        <f>IF(DX$4=1,IF(OR(INDEX('×入力'!$A$1:$L$1300,931+DX$3,2+DX$2)&lt;&gt;"",INDEX('×入力'!$A$1:$L$1300,930,2+DX$2)&lt;&gt;"",INDEX('×入力'!$A$1:$L$1300,931+DX$3,1)&lt;&gt;""),1,0),0)</f>
        <v/>
      </c>
      <c r="DY43">
        <f>IF(DY$4=1,IF(OR(INDEX('×入力'!$A$1:$L$1300,931+DY$3,2+DY$2)&lt;&gt;"",INDEX('×入力'!$A$1:$L$1300,930,2+DY$2)&lt;&gt;"",INDEX('×入力'!$A$1:$L$1300,931+DY$3,1)&lt;&gt;""),1,0),0)</f>
        <v/>
      </c>
      <c r="DZ43">
        <f>IF(DZ$4=1,IF(OR(INDEX('×入力'!$A$1:$L$1300,931+DZ$3,2+DZ$2)&lt;&gt;"",INDEX('×入力'!$A$1:$L$1300,930,2+DZ$2)&lt;&gt;"",INDEX('×入力'!$A$1:$L$1300,931+DZ$3,1)&lt;&gt;""),1,0),0)</f>
        <v/>
      </c>
      <c r="EA43">
        <f>IF(EA$4=1,IF(OR(INDEX('×入力'!$A$1:$L$1300,931+EA$3,2+EA$2)&lt;&gt;"",INDEX('×入力'!$A$1:$L$1300,930,2+EA$2)&lt;&gt;"",INDEX('×入力'!$A$1:$L$1300,931+EA$3,1)&lt;&gt;""),1,0),0)</f>
        <v/>
      </c>
      <c r="EB43">
        <f>IF(EB$4=1,IF(OR(INDEX('×入力'!$A$1:$L$1300,931+EB$3,2+EB$2)&lt;&gt;"",INDEX('×入力'!$A$1:$L$1300,930,2+EB$2)&lt;&gt;"",INDEX('×入力'!$A$1:$L$1300,931+EB$3,1)&lt;&gt;""),1,0),0)</f>
        <v/>
      </c>
      <c r="EC43">
        <f>IF(EC$4=1,IF(OR(INDEX('×入力'!$A$1:$L$1300,931+EC$3,2+EC$2)&lt;&gt;"",INDEX('×入力'!$A$1:$L$1300,930,2+EC$2)&lt;&gt;"",INDEX('×入力'!$A$1:$L$1300,931+EC$3,1)&lt;&gt;""),1,0),0)</f>
        <v/>
      </c>
      <c r="ED43">
        <f>IF(ED$4=1,IF(OR(INDEX('×入力'!$A$1:$L$1300,931+ED$3,2+ED$2)&lt;&gt;"",INDEX('×入力'!$A$1:$L$1300,930,2+ED$2)&lt;&gt;"",INDEX('×入力'!$A$1:$L$1300,931+ED$3,1)&lt;&gt;""),1,0),0)</f>
        <v/>
      </c>
      <c r="EE43">
        <f>IF(EE$4=1,IF(OR(INDEX('×入力'!$A$1:$L$1300,931+EE$3,2+EE$2)&lt;&gt;"",INDEX('×入力'!$A$1:$L$1300,930,2+EE$2)&lt;&gt;"",INDEX('×入力'!$A$1:$L$1300,931+EE$3,1)&lt;&gt;""),1,0),0)</f>
        <v/>
      </c>
      <c r="EF43">
        <f>IF(EF$4=1,IF(OR(INDEX('×入力'!$A$1:$L$1300,931+EF$3,2+EF$2)&lt;&gt;"",INDEX('×入力'!$A$1:$L$1300,930,2+EF$2)&lt;&gt;"",INDEX('×入力'!$A$1:$L$1300,931+EF$3,1)&lt;&gt;""),1,0),0)</f>
        <v/>
      </c>
      <c r="EG43">
        <f>IF(EG$4=1,IF(OR(INDEX('×入力'!$A$1:$L$1300,931+EG$3,2+EG$2)&lt;&gt;"",INDEX('×入力'!$A$1:$L$1300,930,2+EG$2)&lt;&gt;"",INDEX('×入力'!$A$1:$L$1300,931+EG$3,1)&lt;&gt;""),1,0),0)</f>
        <v/>
      </c>
      <c r="EH43">
        <f>IF(EH$4=1,IF(OR(INDEX('×入力'!$A$1:$L$1300,931+EH$3,2+EH$2)&lt;&gt;"",INDEX('×入力'!$A$1:$L$1300,930,2+EH$2)&lt;&gt;"",INDEX('×入力'!$A$1:$L$1300,931+EH$3,1)&lt;&gt;""),1,0),0)</f>
        <v/>
      </c>
      <c r="EI43">
        <f>IF(EI$4=1,IF(OR(INDEX('×入力'!$A$1:$L$1300,931+EI$3,2+EI$2)&lt;&gt;"",INDEX('×入力'!$A$1:$L$1300,930,2+EI$2)&lt;&gt;"",INDEX('×入力'!$A$1:$L$1300,931+EI$3,1)&lt;&gt;""),1,0),0)</f>
        <v/>
      </c>
      <c r="EJ43">
        <f>IF(EJ$4=1,IF(OR(INDEX('×入力'!$A$1:$L$1300,931+EJ$3,2+EJ$2)&lt;&gt;"",INDEX('×入力'!$A$1:$L$1300,930,2+EJ$2)&lt;&gt;"",INDEX('×入力'!$A$1:$L$1300,931+EJ$3,1)&lt;&gt;""),1,0),0)</f>
        <v/>
      </c>
      <c r="EK43">
        <f>IF(EK$4=1,IF(OR(INDEX('×入力'!$A$1:$L$1300,931+EK$3,2+EK$2)&lt;&gt;"",INDEX('×入力'!$A$1:$L$1300,930,2+EK$2)&lt;&gt;"",INDEX('×入力'!$A$1:$L$1300,931+EK$3,1)&lt;&gt;""),1,0),0)</f>
        <v/>
      </c>
      <c r="EL43">
        <f>IF(EL$4=1,IF(OR(INDEX('×入力'!$A$1:$L$1300,931+EL$3,2+EL$2)&lt;&gt;"",INDEX('×入力'!$A$1:$L$1300,930,2+EL$2)&lt;&gt;"",INDEX('×入力'!$A$1:$L$1300,931+EL$3,1)&lt;&gt;""),1,0),0)</f>
        <v/>
      </c>
      <c r="EM43">
        <f>IF(EM$4=1,IF(OR(INDEX('×入力'!$A$1:$L$1300,931+EM$3,2+EM$2)&lt;&gt;"",INDEX('×入力'!$A$1:$L$1300,930,2+EM$2)&lt;&gt;"",INDEX('×入力'!$A$1:$L$1300,931+EM$3,1)&lt;&gt;""),1,0),0)</f>
        <v/>
      </c>
      <c r="EN43">
        <f>IF(EN$4=1,IF(OR(INDEX('×入力'!$A$1:$L$1300,931+EN$3,2+EN$2)&lt;&gt;"",INDEX('×入力'!$A$1:$L$1300,930,2+EN$2)&lt;&gt;"",INDEX('×入力'!$A$1:$L$1300,931+EN$3,1)&lt;&gt;""),1,0),0)</f>
        <v/>
      </c>
      <c r="EO43">
        <f>IF(EO$4=1,IF(OR(INDEX('×入力'!$A$1:$L$1300,931+EO$3,2+EO$2)&lt;&gt;"",INDEX('×入力'!$A$1:$L$1300,930,2+EO$2)&lt;&gt;"",INDEX('×入力'!$A$1:$L$1300,931+EO$3,1)&lt;&gt;""),1,0),0)</f>
        <v/>
      </c>
      <c r="EP43">
        <f>IF(EP$4=1,IF(OR(INDEX('×入力'!$A$1:$L$1300,931+EP$3,2+EP$2)&lt;&gt;"",INDEX('×入力'!$A$1:$L$1300,930,2+EP$2)&lt;&gt;"",INDEX('×入力'!$A$1:$L$1300,931+EP$3,1)&lt;&gt;""),1,0),0)</f>
        <v/>
      </c>
      <c r="EQ43">
        <f>IF(EQ$4=1,IF(OR(INDEX('×入力'!$A$1:$L$1300,931+EQ$3,2+EQ$2)&lt;&gt;"",INDEX('×入力'!$A$1:$L$1300,930,2+EQ$2)&lt;&gt;"",INDEX('×入力'!$A$1:$L$1300,931+EQ$3,1)&lt;&gt;""),1,0),0)</f>
        <v/>
      </c>
      <c r="HA43">
        <f>MAX(0,IT43)</f>
        <v/>
      </c>
      <c r="HB43">
        <f>IF(HA43=0,0,INDEX($D$2:$EQ$2,HA43))</f>
        <v/>
      </c>
      <c r="HC43">
        <f>IF(HA43=0,0,INDEX($D$3:$EQ$3,HA43))</f>
        <v/>
      </c>
      <c r="HD43">
        <f>MAX(0,IY43)</f>
        <v/>
      </c>
      <c r="HE43">
        <f>IF(HD43=0,0,INDEX($D$2:$EQ$2,HD43))</f>
        <v/>
      </c>
      <c r="HF43">
        <f>IF(HD43=0,0,INDEX($D$3:$EQ$3,HD43))</f>
        <v/>
      </c>
      <c r="HG43">
        <f>MAX(0,IZ43)</f>
        <v/>
      </c>
      <c r="HH43">
        <f>IF(HG43=0,0,INDEX($D$2:$EQ$2,HG43))</f>
        <v/>
      </c>
      <c r="HI43">
        <f>IF(HG43=0,0,INDEX($D$3:$EQ$3,HG43))</f>
        <v/>
      </c>
      <c r="HJ43">
        <f>IF(AND(HA43&gt;0,HC43&gt;1,OR(HC43-1&lt;&gt;$A$3,$A$4=0)),HA43-1,-1)</f>
        <v/>
      </c>
      <c r="HK43">
        <f>IF(AND(HA43&gt;0,HC43&lt;24,OR(HC43&lt;&gt;$A$3,$A$4=0)),HA43+1,-1)</f>
        <v/>
      </c>
      <c r="HL43">
        <f>IF(AND(HD43&gt;0,HF43&gt;1,OR(HF43-1&lt;&gt;$A$3,$A$4=0)),HD43-1,-1)</f>
        <v/>
      </c>
      <c r="HM43">
        <f>IF(AND(HD43&gt;0,HF43&lt;24,OR(HF43&lt;&gt;$A$3,$A$4=0)),HD43+1,-1)</f>
        <v/>
      </c>
      <c r="HN43">
        <f>IF(AND(HG43&gt;0,HI43&gt;1,OR(HI43-1&lt;&gt;$A$3,$A$4=0)),HG43-1,-1)</f>
        <v/>
      </c>
      <c r="HO43">
        <f>IF(AND(HG43&gt;0,HI43&lt;24,OR(HI43&lt;&gt;$A$3,$A$4=0)),HG43+1,-1)</f>
        <v/>
      </c>
      <c r="IK43">
        <f>IFERROR(INDEX('calcB'!$C$3:$C$47,MATCH(A43,'calcB'!$B$3:$B$47,0)),0)</f>
        <v/>
      </c>
      <c r="IL43">
        <f>IF(AND(C43=1,IK43=0,calcA!$A$6&gt;0),1,0)</f>
        <v/>
      </c>
      <c r="IM43">
        <f>SUMPRODUCT(D93:EQ93*(1-$D$7:$EQ$7))</f>
        <v/>
      </c>
      <c r="IN43">
        <f>SUM(D43:EQ43)</f>
        <v/>
      </c>
      <c r="IO43">
        <f>IF(B43="",0,IF(COUNTIF('調整・決定'!$C$6:$H$29,B43)=1,SUMPRODUCT(('調整・決定'!$C$6:$H$29=B43)*((COLUMN('調整・決定'!$C$6:$H$29)-3)*24+ROW('調整・決定'!$C$6:$H$29)-5)),0))</f>
        <v/>
      </c>
      <c r="IP43">
        <f>IFERROR(MATCH('名簿'!C38,{"早い時刻","遅い時刻","早い日","遅い日"},0),0)</f>
        <v/>
      </c>
      <c r="IQ43">
        <f>IF('名簿'!D38="必ず空けたい",2,IF('名簿'!D38="出来れば空けたい",1,0))</f>
        <v/>
      </c>
      <c r="IR43">
        <f>IFERROR(INDEX('calcC'!$C$3:$C$47,MATCH(A43,'calcC'!$B$3:$B$47,0)),0)</f>
        <v/>
      </c>
      <c r="IS43">
        <f>IF(AND(C43=1,IR43=0,calcA!$A$6&gt;0),1,0)</f>
        <v/>
      </c>
      <c r="IT43">
        <f>IF(OR('名簿'!G38="",'名簿'!H38=""),0,IFERROR((MATCH('名簿'!G38,'設定'!$E$11:$E$16,0)-1)*24+MATCH('名簿'!H38,'設定'!$I$11:$I$34,0),-1))</f>
        <v/>
      </c>
      <c r="IV43">
        <f>IF(OR(JF43=0,IO43=0),1,IF(OR(IF(IT43&gt;0,AND(INDEX($D$2:$EQ$2,IO43)=INDEX($D$2:$EQ$2,IT43),OR(AND(IO43=IT43+1,OR(INDEX($D$3:$EQ$3,IT43)&lt;&gt;$A$3,$A$4=0)),AND(IO43=IT43-1,OR(INDEX($D$3:$EQ$3,IO43)&lt;&gt;$A$3,$A$4=0)))),FALSE),IF(IY43&gt;0,AND(INDEX($D$2:$EQ$2,IO43)=INDEX($D$2:$EQ$2,IY43),OR(AND(IO43=IY43+1,OR(INDEX($D$3:$EQ$3,IY43)&lt;&gt;$A$3,$A$4=0)),AND(IO43=IY43-1,OR(INDEX($D$3:$EQ$3,IO43)&lt;&gt;$A$3,$A$4=0)))),FALSE),IF(IZ43&gt;0,AND(INDEX($D$2:$EQ$2,IO43)=INDEX($D$2:$EQ$2,IZ43),OR(AND(IO43=IZ43+1,OR(INDEX($D$3:$EQ$3,IZ43)&lt;&gt;$A$3,$A$4=0)),AND(IO43=IZ43-1,OR(INDEX($D$3:$EQ$3,IO43)&lt;&gt;$A$3,$A$4=0)))),FALSE)),1,0))</f>
        <v/>
      </c>
      <c r="IW43">
        <f>IF(AND('名簿'!E38&lt;&gt;"",JF43=0),1,0)</f>
        <v/>
      </c>
      <c r="IX43">
        <f>IF('名簿'!D38="空けない",1,0)</f>
        <v/>
      </c>
      <c r="IY43">
        <f>IF(OR('名簿'!J38="",'名簿'!K38=""),0,IFERROR((MATCH('名簿'!J38,'設定'!$E$11:$E$16,0)-1)*24+MATCH('名簿'!K38,'設定'!$I$11:$I$34,0),-1))</f>
        <v/>
      </c>
      <c r="IZ43">
        <f>IF(OR('名簿'!M38="",'名簿'!N38=""),0,IFERROR((MATCH('名簿'!M38,'設定'!$E$11:$E$16,0)-1)*24+MATCH('名簿'!N38,'設定'!$I$11:$I$34,0),-1))</f>
        <v/>
      </c>
      <c r="JC43">
        <f>IF(RIGHT('名簿'!I38,2)="の前",1,IF(RIGHT('名簿'!I38,2)="の後",2,0))</f>
        <v/>
      </c>
      <c r="JD43">
        <f>IF(RIGHT('名簿'!L38,2)="の前",1,IF(RIGHT('名簿'!L38,2)="の後",2,0))</f>
        <v/>
      </c>
      <c r="JE43">
        <f>IF(RIGHT('名簿'!O38,2)="の前",1,IF(RIGHT('名簿'!O38,2)="の後",2,0))</f>
        <v/>
      </c>
      <c r="JF43">
        <f>IF(OR(IT43&gt;0,IY43&gt;0,IZ43&gt;0),1,0)</f>
        <v/>
      </c>
      <c r="JG43">
        <f>IF(OR(IT43&lt;0,IY43&lt;0,IZ43&lt;0),1,0)</f>
        <v/>
      </c>
    </row>
    <row r="44">
      <c r="A44" t="n">
        <v>35</v>
      </c>
      <c r="B44">
        <f>'名簿'!P39</f>
        <v/>
      </c>
      <c r="C44">
        <f>IF(AND(B44&lt;&gt;"",OR('名簿'!Q39="入力済み",'名簿'!Q39="×なし"),IO44=0,COUNTIF('調整・決定'!$C$6:$H$29,B44)=0),1,0)</f>
        <v/>
      </c>
      <c r="D44">
        <f>IF(D$4=1,IF(OR(INDEX('×入力'!$A$1:$L$1300,959+D$3,2+D$2)&lt;&gt;"",INDEX('×入力'!$A$1:$L$1300,958,2+D$2)&lt;&gt;"",INDEX('×入力'!$A$1:$L$1300,959+D$3,1)&lt;&gt;""),1,0),0)</f>
        <v/>
      </c>
      <c r="E44">
        <f>IF(E$4=1,IF(OR(INDEX('×入力'!$A$1:$L$1300,959+E$3,2+E$2)&lt;&gt;"",INDEX('×入力'!$A$1:$L$1300,958,2+E$2)&lt;&gt;"",INDEX('×入力'!$A$1:$L$1300,959+E$3,1)&lt;&gt;""),1,0),0)</f>
        <v/>
      </c>
      <c r="F44">
        <f>IF(F$4=1,IF(OR(INDEX('×入力'!$A$1:$L$1300,959+F$3,2+F$2)&lt;&gt;"",INDEX('×入力'!$A$1:$L$1300,958,2+F$2)&lt;&gt;"",INDEX('×入力'!$A$1:$L$1300,959+F$3,1)&lt;&gt;""),1,0),0)</f>
        <v/>
      </c>
      <c r="G44">
        <f>IF(G$4=1,IF(OR(INDEX('×入力'!$A$1:$L$1300,959+G$3,2+G$2)&lt;&gt;"",INDEX('×入力'!$A$1:$L$1300,958,2+G$2)&lt;&gt;"",INDEX('×入力'!$A$1:$L$1300,959+G$3,1)&lt;&gt;""),1,0),0)</f>
        <v/>
      </c>
      <c r="H44">
        <f>IF(H$4=1,IF(OR(INDEX('×入力'!$A$1:$L$1300,959+H$3,2+H$2)&lt;&gt;"",INDEX('×入力'!$A$1:$L$1300,958,2+H$2)&lt;&gt;"",INDEX('×入力'!$A$1:$L$1300,959+H$3,1)&lt;&gt;""),1,0),0)</f>
        <v/>
      </c>
      <c r="I44">
        <f>IF(I$4=1,IF(OR(INDEX('×入力'!$A$1:$L$1300,959+I$3,2+I$2)&lt;&gt;"",INDEX('×入力'!$A$1:$L$1300,958,2+I$2)&lt;&gt;"",INDEX('×入力'!$A$1:$L$1300,959+I$3,1)&lt;&gt;""),1,0),0)</f>
        <v/>
      </c>
      <c r="J44">
        <f>IF(J$4=1,IF(OR(INDEX('×入力'!$A$1:$L$1300,959+J$3,2+J$2)&lt;&gt;"",INDEX('×入力'!$A$1:$L$1300,958,2+J$2)&lt;&gt;"",INDEX('×入力'!$A$1:$L$1300,959+J$3,1)&lt;&gt;""),1,0),0)</f>
        <v/>
      </c>
      <c r="K44">
        <f>IF(K$4=1,IF(OR(INDEX('×入力'!$A$1:$L$1300,959+K$3,2+K$2)&lt;&gt;"",INDEX('×入力'!$A$1:$L$1300,958,2+K$2)&lt;&gt;"",INDEX('×入力'!$A$1:$L$1300,959+K$3,1)&lt;&gt;""),1,0),0)</f>
        <v/>
      </c>
      <c r="L44">
        <f>IF(L$4=1,IF(OR(INDEX('×入力'!$A$1:$L$1300,959+L$3,2+L$2)&lt;&gt;"",INDEX('×入力'!$A$1:$L$1300,958,2+L$2)&lt;&gt;"",INDEX('×入力'!$A$1:$L$1300,959+L$3,1)&lt;&gt;""),1,0),0)</f>
        <v/>
      </c>
      <c r="M44">
        <f>IF(M$4=1,IF(OR(INDEX('×入力'!$A$1:$L$1300,959+M$3,2+M$2)&lt;&gt;"",INDEX('×入力'!$A$1:$L$1300,958,2+M$2)&lt;&gt;"",INDEX('×入力'!$A$1:$L$1300,959+M$3,1)&lt;&gt;""),1,0),0)</f>
        <v/>
      </c>
      <c r="N44">
        <f>IF(N$4=1,IF(OR(INDEX('×入力'!$A$1:$L$1300,959+N$3,2+N$2)&lt;&gt;"",INDEX('×入力'!$A$1:$L$1300,958,2+N$2)&lt;&gt;"",INDEX('×入力'!$A$1:$L$1300,959+N$3,1)&lt;&gt;""),1,0),0)</f>
        <v/>
      </c>
      <c r="O44">
        <f>IF(O$4=1,IF(OR(INDEX('×入力'!$A$1:$L$1300,959+O$3,2+O$2)&lt;&gt;"",INDEX('×入力'!$A$1:$L$1300,958,2+O$2)&lt;&gt;"",INDEX('×入力'!$A$1:$L$1300,959+O$3,1)&lt;&gt;""),1,0),0)</f>
        <v/>
      </c>
      <c r="P44">
        <f>IF(P$4=1,IF(OR(INDEX('×入力'!$A$1:$L$1300,959+P$3,2+P$2)&lt;&gt;"",INDEX('×入力'!$A$1:$L$1300,958,2+P$2)&lt;&gt;"",INDEX('×入力'!$A$1:$L$1300,959+P$3,1)&lt;&gt;""),1,0),0)</f>
        <v/>
      </c>
      <c r="Q44">
        <f>IF(Q$4=1,IF(OR(INDEX('×入力'!$A$1:$L$1300,959+Q$3,2+Q$2)&lt;&gt;"",INDEX('×入力'!$A$1:$L$1300,958,2+Q$2)&lt;&gt;"",INDEX('×入力'!$A$1:$L$1300,959+Q$3,1)&lt;&gt;""),1,0),0)</f>
        <v/>
      </c>
      <c r="R44">
        <f>IF(R$4=1,IF(OR(INDEX('×入力'!$A$1:$L$1300,959+R$3,2+R$2)&lt;&gt;"",INDEX('×入力'!$A$1:$L$1300,958,2+R$2)&lt;&gt;"",INDEX('×入力'!$A$1:$L$1300,959+R$3,1)&lt;&gt;""),1,0),0)</f>
        <v/>
      </c>
      <c r="S44">
        <f>IF(S$4=1,IF(OR(INDEX('×入力'!$A$1:$L$1300,959+S$3,2+S$2)&lt;&gt;"",INDEX('×入力'!$A$1:$L$1300,958,2+S$2)&lt;&gt;"",INDEX('×入力'!$A$1:$L$1300,959+S$3,1)&lt;&gt;""),1,0),0)</f>
        <v/>
      </c>
      <c r="T44">
        <f>IF(T$4=1,IF(OR(INDEX('×入力'!$A$1:$L$1300,959+T$3,2+T$2)&lt;&gt;"",INDEX('×入力'!$A$1:$L$1300,958,2+T$2)&lt;&gt;"",INDEX('×入力'!$A$1:$L$1300,959+T$3,1)&lt;&gt;""),1,0),0)</f>
        <v/>
      </c>
      <c r="U44">
        <f>IF(U$4=1,IF(OR(INDEX('×入力'!$A$1:$L$1300,959+U$3,2+U$2)&lt;&gt;"",INDEX('×入力'!$A$1:$L$1300,958,2+U$2)&lt;&gt;"",INDEX('×入力'!$A$1:$L$1300,959+U$3,1)&lt;&gt;""),1,0),0)</f>
        <v/>
      </c>
      <c r="V44">
        <f>IF(V$4=1,IF(OR(INDEX('×入力'!$A$1:$L$1300,959+V$3,2+V$2)&lt;&gt;"",INDEX('×入力'!$A$1:$L$1300,958,2+V$2)&lt;&gt;"",INDEX('×入力'!$A$1:$L$1300,959+V$3,1)&lt;&gt;""),1,0),0)</f>
        <v/>
      </c>
      <c r="W44">
        <f>IF(W$4=1,IF(OR(INDEX('×入力'!$A$1:$L$1300,959+W$3,2+W$2)&lt;&gt;"",INDEX('×入力'!$A$1:$L$1300,958,2+W$2)&lt;&gt;"",INDEX('×入力'!$A$1:$L$1300,959+W$3,1)&lt;&gt;""),1,0),0)</f>
        <v/>
      </c>
      <c r="X44">
        <f>IF(X$4=1,IF(OR(INDEX('×入力'!$A$1:$L$1300,959+X$3,2+X$2)&lt;&gt;"",INDEX('×入力'!$A$1:$L$1300,958,2+X$2)&lt;&gt;"",INDEX('×入力'!$A$1:$L$1300,959+X$3,1)&lt;&gt;""),1,0),0)</f>
        <v/>
      </c>
      <c r="Y44">
        <f>IF(Y$4=1,IF(OR(INDEX('×入力'!$A$1:$L$1300,959+Y$3,2+Y$2)&lt;&gt;"",INDEX('×入力'!$A$1:$L$1300,958,2+Y$2)&lt;&gt;"",INDEX('×入力'!$A$1:$L$1300,959+Y$3,1)&lt;&gt;""),1,0),0)</f>
        <v/>
      </c>
      <c r="Z44">
        <f>IF(Z$4=1,IF(OR(INDEX('×入力'!$A$1:$L$1300,959+Z$3,2+Z$2)&lt;&gt;"",INDEX('×入力'!$A$1:$L$1300,958,2+Z$2)&lt;&gt;"",INDEX('×入力'!$A$1:$L$1300,959+Z$3,1)&lt;&gt;""),1,0),0)</f>
        <v/>
      </c>
      <c r="AA44">
        <f>IF(AA$4=1,IF(OR(INDEX('×入力'!$A$1:$L$1300,959+AA$3,2+AA$2)&lt;&gt;"",INDEX('×入力'!$A$1:$L$1300,958,2+AA$2)&lt;&gt;"",INDEX('×入力'!$A$1:$L$1300,959+AA$3,1)&lt;&gt;""),1,0),0)</f>
        <v/>
      </c>
      <c r="AB44">
        <f>IF(AB$4=1,IF(OR(INDEX('×入力'!$A$1:$L$1300,959+AB$3,2+AB$2)&lt;&gt;"",INDEX('×入力'!$A$1:$L$1300,958,2+AB$2)&lt;&gt;"",INDEX('×入力'!$A$1:$L$1300,959+AB$3,1)&lt;&gt;""),1,0),0)</f>
        <v/>
      </c>
      <c r="AC44">
        <f>IF(AC$4=1,IF(OR(INDEX('×入力'!$A$1:$L$1300,959+AC$3,2+AC$2)&lt;&gt;"",INDEX('×入力'!$A$1:$L$1300,958,2+AC$2)&lt;&gt;"",INDEX('×入力'!$A$1:$L$1300,959+AC$3,1)&lt;&gt;""),1,0),0)</f>
        <v/>
      </c>
      <c r="AD44">
        <f>IF(AD$4=1,IF(OR(INDEX('×入力'!$A$1:$L$1300,959+AD$3,2+AD$2)&lt;&gt;"",INDEX('×入力'!$A$1:$L$1300,958,2+AD$2)&lt;&gt;"",INDEX('×入力'!$A$1:$L$1300,959+AD$3,1)&lt;&gt;""),1,0),0)</f>
        <v/>
      </c>
      <c r="AE44">
        <f>IF(AE$4=1,IF(OR(INDEX('×入力'!$A$1:$L$1300,959+AE$3,2+AE$2)&lt;&gt;"",INDEX('×入力'!$A$1:$L$1300,958,2+AE$2)&lt;&gt;"",INDEX('×入力'!$A$1:$L$1300,959+AE$3,1)&lt;&gt;""),1,0),0)</f>
        <v/>
      </c>
      <c r="AF44">
        <f>IF(AF$4=1,IF(OR(INDEX('×入力'!$A$1:$L$1300,959+AF$3,2+AF$2)&lt;&gt;"",INDEX('×入力'!$A$1:$L$1300,958,2+AF$2)&lt;&gt;"",INDEX('×入力'!$A$1:$L$1300,959+AF$3,1)&lt;&gt;""),1,0),0)</f>
        <v/>
      </c>
      <c r="AG44">
        <f>IF(AG$4=1,IF(OR(INDEX('×入力'!$A$1:$L$1300,959+AG$3,2+AG$2)&lt;&gt;"",INDEX('×入力'!$A$1:$L$1300,958,2+AG$2)&lt;&gt;"",INDEX('×入力'!$A$1:$L$1300,959+AG$3,1)&lt;&gt;""),1,0),0)</f>
        <v/>
      </c>
      <c r="AH44">
        <f>IF(AH$4=1,IF(OR(INDEX('×入力'!$A$1:$L$1300,959+AH$3,2+AH$2)&lt;&gt;"",INDEX('×入力'!$A$1:$L$1300,958,2+AH$2)&lt;&gt;"",INDEX('×入力'!$A$1:$L$1300,959+AH$3,1)&lt;&gt;""),1,0),0)</f>
        <v/>
      </c>
      <c r="AI44">
        <f>IF(AI$4=1,IF(OR(INDEX('×入力'!$A$1:$L$1300,959+AI$3,2+AI$2)&lt;&gt;"",INDEX('×入力'!$A$1:$L$1300,958,2+AI$2)&lt;&gt;"",INDEX('×入力'!$A$1:$L$1300,959+AI$3,1)&lt;&gt;""),1,0),0)</f>
        <v/>
      </c>
      <c r="AJ44">
        <f>IF(AJ$4=1,IF(OR(INDEX('×入力'!$A$1:$L$1300,959+AJ$3,2+AJ$2)&lt;&gt;"",INDEX('×入力'!$A$1:$L$1300,958,2+AJ$2)&lt;&gt;"",INDEX('×入力'!$A$1:$L$1300,959+AJ$3,1)&lt;&gt;""),1,0),0)</f>
        <v/>
      </c>
      <c r="AK44">
        <f>IF(AK$4=1,IF(OR(INDEX('×入力'!$A$1:$L$1300,959+AK$3,2+AK$2)&lt;&gt;"",INDEX('×入力'!$A$1:$L$1300,958,2+AK$2)&lt;&gt;"",INDEX('×入力'!$A$1:$L$1300,959+AK$3,1)&lt;&gt;""),1,0),0)</f>
        <v/>
      </c>
      <c r="AL44">
        <f>IF(AL$4=1,IF(OR(INDEX('×入力'!$A$1:$L$1300,959+AL$3,2+AL$2)&lt;&gt;"",INDEX('×入力'!$A$1:$L$1300,958,2+AL$2)&lt;&gt;"",INDEX('×入力'!$A$1:$L$1300,959+AL$3,1)&lt;&gt;""),1,0),0)</f>
        <v/>
      </c>
      <c r="AM44">
        <f>IF(AM$4=1,IF(OR(INDEX('×入力'!$A$1:$L$1300,959+AM$3,2+AM$2)&lt;&gt;"",INDEX('×入力'!$A$1:$L$1300,958,2+AM$2)&lt;&gt;"",INDEX('×入力'!$A$1:$L$1300,959+AM$3,1)&lt;&gt;""),1,0),0)</f>
        <v/>
      </c>
      <c r="AN44">
        <f>IF(AN$4=1,IF(OR(INDEX('×入力'!$A$1:$L$1300,959+AN$3,2+AN$2)&lt;&gt;"",INDEX('×入力'!$A$1:$L$1300,958,2+AN$2)&lt;&gt;"",INDEX('×入力'!$A$1:$L$1300,959+AN$3,1)&lt;&gt;""),1,0),0)</f>
        <v/>
      </c>
      <c r="AO44">
        <f>IF(AO$4=1,IF(OR(INDEX('×入力'!$A$1:$L$1300,959+AO$3,2+AO$2)&lt;&gt;"",INDEX('×入力'!$A$1:$L$1300,958,2+AO$2)&lt;&gt;"",INDEX('×入力'!$A$1:$L$1300,959+AO$3,1)&lt;&gt;""),1,0),0)</f>
        <v/>
      </c>
      <c r="AP44">
        <f>IF(AP$4=1,IF(OR(INDEX('×入力'!$A$1:$L$1300,959+AP$3,2+AP$2)&lt;&gt;"",INDEX('×入力'!$A$1:$L$1300,958,2+AP$2)&lt;&gt;"",INDEX('×入力'!$A$1:$L$1300,959+AP$3,1)&lt;&gt;""),1,0),0)</f>
        <v/>
      </c>
      <c r="AQ44">
        <f>IF(AQ$4=1,IF(OR(INDEX('×入力'!$A$1:$L$1300,959+AQ$3,2+AQ$2)&lt;&gt;"",INDEX('×入力'!$A$1:$L$1300,958,2+AQ$2)&lt;&gt;"",INDEX('×入力'!$A$1:$L$1300,959+AQ$3,1)&lt;&gt;""),1,0),0)</f>
        <v/>
      </c>
      <c r="AR44">
        <f>IF(AR$4=1,IF(OR(INDEX('×入力'!$A$1:$L$1300,959+AR$3,2+AR$2)&lt;&gt;"",INDEX('×入力'!$A$1:$L$1300,958,2+AR$2)&lt;&gt;"",INDEX('×入力'!$A$1:$L$1300,959+AR$3,1)&lt;&gt;""),1,0),0)</f>
        <v/>
      </c>
      <c r="AS44">
        <f>IF(AS$4=1,IF(OR(INDEX('×入力'!$A$1:$L$1300,959+AS$3,2+AS$2)&lt;&gt;"",INDEX('×入力'!$A$1:$L$1300,958,2+AS$2)&lt;&gt;"",INDEX('×入力'!$A$1:$L$1300,959+AS$3,1)&lt;&gt;""),1,0),0)</f>
        <v/>
      </c>
      <c r="AT44">
        <f>IF(AT$4=1,IF(OR(INDEX('×入力'!$A$1:$L$1300,959+AT$3,2+AT$2)&lt;&gt;"",INDEX('×入力'!$A$1:$L$1300,958,2+AT$2)&lt;&gt;"",INDEX('×入力'!$A$1:$L$1300,959+AT$3,1)&lt;&gt;""),1,0),0)</f>
        <v/>
      </c>
      <c r="AU44">
        <f>IF(AU$4=1,IF(OR(INDEX('×入力'!$A$1:$L$1300,959+AU$3,2+AU$2)&lt;&gt;"",INDEX('×入力'!$A$1:$L$1300,958,2+AU$2)&lt;&gt;"",INDEX('×入力'!$A$1:$L$1300,959+AU$3,1)&lt;&gt;""),1,0),0)</f>
        <v/>
      </c>
      <c r="AV44">
        <f>IF(AV$4=1,IF(OR(INDEX('×入力'!$A$1:$L$1300,959+AV$3,2+AV$2)&lt;&gt;"",INDEX('×入力'!$A$1:$L$1300,958,2+AV$2)&lt;&gt;"",INDEX('×入力'!$A$1:$L$1300,959+AV$3,1)&lt;&gt;""),1,0),0)</f>
        <v/>
      </c>
      <c r="AW44">
        <f>IF(AW$4=1,IF(OR(INDEX('×入力'!$A$1:$L$1300,959+AW$3,2+AW$2)&lt;&gt;"",INDEX('×入力'!$A$1:$L$1300,958,2+AW$2)&lt;&gt;"",INDEX('×入力'!$A$1:$L$1300,959+AW$3,1)&lt;&gt;""),1,0),0)</f>
        <v/>
      </c>
      <c r="AX44">
        <f>IF(AX$4=1,IF(OR(INDEX('×入力'!$A$1:$L$1300,959+AX$3,2+AX$2)&lt;&gt;"",INDEX('×入力'!$A$1:$L$1300,958,2+AX$2)&lt;&gt;"",INDEX('×入力'!$A$1:$L$1300,959+AX$3,1)&lt;&gt;""),1,0),0)</f>
        <v/>
      </c>
      <c r="AY44">
        <f>IF(AY$4=1,IF(OR(INDEX('×入力'!$A$1:$L$1300,959+AY$3,2+AY$2)&lt;&gt;"",INDEX('×入力'!$A$1:$L$1300,958,2+AY$2)&lt;&gt;"",INDEX('×入力'!$A$1:$L$1300,959+AY$3,1)&lt;&gt;""),1,0),0)</f>
        <v/>
      </c>
      <c r="AZ44">
        <f>IF(AZ$4=1,IF(OR(INDEX('×入力'!$A$1:$L$1300,959+AZ$3,2+AZ$2)&lt;&gt;"",INDEX('×入力'!$A$1:$L$1300,958,2+AZ$2)&lt;&gt;"",INDEX('×入力'!$A$1:$L$1300,959+AZ$3,1)&lt;&gt;""),1,0),0)</f>
        <v/>
      </c>
      <c r="BA44">
        <f>IF(BA$4=1,IF(OR(INDEX('×入力'!$A$1:$L$1300,959+BA$3,2+BA$2)&lt;&gt;"",INDEX('×入力'!$A$1:$L$1300,958,2+BA$2)&lt;&gt;"",INDEX('×入力'!$A$1:$L$1300,959+BA$3,1)&lt;&gt;""),1,0),0)</f>
        <v/>
      </c>
      <c r="BB44">
        <f>IF(BB$4=1,IF(OR(INDEX('×入力'!$A$1:$L$1300,959+BB$3,2+BB$2)&lt;&gt;"",INDEX('×入力'!$A$1:$L$1300,958,2+BB$2)&lt;&gt;"",INDEX('×入力'!$A$1:$L$1300,959+BB$3,1)&lt;&gt;""),1,0),0)</f>
        <v/>
      </c>
      <c r="BC44">
        <f>IF(BC$4=1,IF(OR(INDEX('×入力'!$A$1:$L$1300,959+BC$3,2+BC$2)&lt;&gt;"",INDEX('×入力'!$A$1:$L$1300,958,2+BC$2)&lt;&gt;"",INDEX('×入力'!$A$1:$L$1300,959+BC$3,1)&lt;&gt;""),1,0),0)</f>
        <v/>
      </c>
      <c r="BD44">
        <f>IF(BD$4=1,IF(OR(INDEX('×入力'!$A$1:$L$1300,959+BD$3,2+BD$2)&lt;&gt;"",INDEX('×入力'!$A$1:$L$1300,958,2+BD$2)&lt;&gt;"",INDEX('×入力'!$A$1:$L$1300,959+BD$3,1)&lt;&gt;""),1,0),0)</f>
        <v/>
      </c>
      <c r="BE44">
        <f>IF(BE$4=1,IF(OR(INDEX('×入力'!$A$1:$L$1300,959+BE$3,2+BE$2)&lt;&gt;"",INDEX('×入力'!$A$1:$L$1300,958,2+BE$2)&lt;&gt;"",INDEX('×入力'!$A$1:$L$1300,959+BE$3,1)&lt;&gt;""),1,0),0)</f>
        <v/>
      </c>
      <c r="BF44">
        <f>IF(BF$4=1,IF(OR(INDEX('×入力'!$A$1:$L$1300,959+BF$3,2+BF$2)&lt;&gt;"",INDEX('×入力'!$A$1:$L$1300,958,2+BF$2)&lt;&gt;"",INDEX('×入力'!$A$1:$L$1300,959+BF$3,1)&lt;&gt;""),1,0),0)</f>
        <v/>
      </c>
      <c r="BG44">
        <f>IF(BG$4=1,IF(OR(INDEX('×入力'!$A$1:$L$1300,959+BG$3,2+BG$2)&lt;&gt;"",INDEX('×入力'!$A$1:$L$1300,958,2+BG$2)&lt;&gt;"",INDEX('×入力'!$A$1:$L$1300,959+BG$3,1)&lt;&gt;""),1,0),0)</f>
        <v/>
      </c>
      <c r="BH44">
        <f>IF(BH$4=1,IF(OR(INDEX('×入力'!$A$1:$L$1300,959+BH$3,2+BH$2)&lt;&gt;"",INDEX('×入力'!$A$1:$L$1300,958,2+BH$2)&lt;&gt;"",INDEX('×入力'!$A$1:$L$1300,959+BH$3,1)&lt;&gt;""),1,0),0)</f>
        <v/>
      </c>
      <c r="BI44">
        <f>IF(BI$4=1,IF(OR(INDEX('×入力'!$A$1:$L$1300,959+BI$3,2+BI$2)&lt;&gt;"",INDEX('×入力'!$A$1:$L$1300,958,2+BI$2)&lt;&gt;"",INDEX('×入力'!$A$1:$L$1300,959+BI$3,1)&lt;&gt;""),1,0),0)</f>
        <v/>
      </c>
      <c r="BJ44">
        <f>IF(BJ$4=1,IF(OR(INDEX('×入力'!$A$1:$L$1300,959+BJ$3,2+BJ$2)&lt;&gt;"",INDEX('×入力'!$A$1:$L$1300,958,2+BJ$2)&lt;&gt;"",INDEX('×入力'!$A$1:$L$1300,959+BJ$3,1)&lt;&gt;""),1,0),0)</f>
        <v/>
      </c>
      <c r="BK44">
        <f>IF(BK$4=1,IF(OR(INDEX('×入力'!$A$1:$L$1300,959+BK$3,2+BK$2)&lt;&gt;"",INDEX('×入力'!$A$1:$L$1300,958,2+BK$2)&lt;&gt;"",INDEX('×入力'!$A$1:$L$1300,959+BK$3,1)&lt;&gt;""),1,0),0)</f>
        <v/>
      </c>
      <c r="BL44">
        <f>IF(BL$4=1,IF(OR(INDEX('×入力'!$A$1:$L$1300,959+BL$3,2+BL$2)&lt;&gt;"",INDEX('×入力'!$A$1:$L$1300,958,2+BL$2)&lt;&gt;"",INDEX('×入力'!$A$1:$L$1300,959+BL$3,1)&lt;&gt;""),1,0),0)</f>
        <v/>
      </c>
      <c r="BM44">
        <f>IF(BM$4=1,IF(OR(INDEX('×入力'!$A$1:$L$1300,959+BM$3,2+BM$2)&lt;&gt;"",INDEX('×入力'!$A$1:$L$1300,958,2+BM$2)&lt;&gt;"",INDEX('×入力'!$A$1:$L$1300,959+BM$3,1)&lt;&gt;""),1,0),0)</f>
        <v/>
      </c>
      <c r="BN44">
        <f>IF(BN$4=1,IF(OR(INDEX('×入力'!$A$1:$L$1300,959+BN$3,2+BN$2)&lt;&gt;"",INDEX('×入力'!$A$1:$L$1300,958,2+BN$2)&lt;&gt;"",INDEX('×入力'!$A$1:$L$1300,959+BN$3,1)&lt;&gt;""),1,0),0)</f>
        <v/>
      </c>
      <c r="BO44">
        <f>IF(BO$4=1,IF(OR(INDEX('×入力'!$A$1:$L$1300,959+BO$3,2+BO$2)&lt;&gt;"",INDEX('×入力'!$A$1:$L$1300,958,2+BO$2)&lt;&gt;"",INDEX('×入力'!$A$1:$L$1300,959+BO$3,1)&lt;&gt;""),1,0),0)</f>
        <v/>
      </c>
      <c r="BP44">
        <f>IF(BP$4=1,IF(OR(INDEX('×入力'!$A$1:$L$1300,959+BP$3,2+BP$2)&lt;&gt;"",INDEX('×入力'!$A$1:$L$1300,958,2+BP$2)&lt;&gt;"",INDEX('×入力'!$A$1:$L$1300,959+BP$3,1)&lt;&gt;""),1,0),0)</f>
        <v/>
      </c>
      <c r="BQ44">
        <f>IF(BQ$4=1,IF(OR(INDEX('×入力'!$A$1:$L$1300,959+BQ$3,2+BQ$2)&lt;&gt;"",INDEX('×入力'!$A$1:$L$1300,958,2+BQ$2)&lt;&gt;"",INDEX('×入力'!$A$1:$L$1300,959+BQ$3,1)&lt;&gt;""),1,0),0)</f>
        <v/>
      </c>
      <c r="BR44">
        <f>IF(BR$4=1,IF(OR(INDEX('×入力'!$A$1:$L$1300,959+BR$3,2+BR$2)&lt;&gt;"",INDEX('×入力'!$A$1:$L$1300,958,2+BR$2)&lt;&gt;"",INDEX('×入力'!$A$1:$L$1300,959+BR$3,1)&lt;&gt;""),1,0),0)</f>
        <v/>
      </c>
      <c r="BS44">
        <f>IF(BS$4=1,IF(OR(INDEX('×入力'!$A$1:$L$1300,959+BS$3,2+BS$2)&lt;&gt;"",INDEX('×入力'!$A$1:$L$1300,958,2+BS$2)&lt;&gt;"",INDEX('×入力'!$A$1:$L$1300,959+BS$3,1)&lt;&gt;""),1,0),0)</f>
        <v/>
      </c>
      <c r="BT44">
        <f>IF(BT$4=1,IF(OR(INDEX('×入力'!$A$1:$L$1300,959+BT$3,2+BT$2)&lt;&gt;"",INDEX('×入力'!$A$1:$L$1300,958,2+BT$2)&lt;&gt;"",INDEX('×入力'!$A$1:$L$1300,959+BT$3,1)&lt;&gt;""),1,0),0)</f>
        <v/>
      </c>
      <c r="BU44">
        <f>IF(BU$4=1,IF(OR(INDEX('×入力'!$A$1:$L$1300,959+BU$3,2+BU$2)&lt;&gt;"",INDEX('×入力'!$A$1:$L$1300,958,2+BU$2)&lt;&gt;"",INDEX('×入力'!$A$1:$L$1300,959+BU$3,1)&lt;&gt;""),1,0),0)</f>
        <v/>
      </c>
      <c r="BV44">
        <f>IF(BV$4=1,IF(OR(INDEX('×入力'!$A$1:$L$1300,959+BV$3,2+BV$2)&lt;&gt;"",INDEX('×入力'!$A$1:$L$1300,958,2+BV$2)&lt;&gt;"",INDEX('×入力'!$A$1:$L$1300,959+BV$3,1)&lt;&gt;""),1,0),0)</f>
        <v/>
      </c>
      <c r="BW44">
        <f>IF(BW$4=1,IF(OR(INDEX('×入力'!$A$1:$L$1300,959+BW$3,2+BW$2)&lt;&gt;"",INDEX('×入力'!$A$1:$L$1300,958,2+BW$2)&lt;&gt;"",INDEX('×入力'!$A$1:$L$1300,959+BW$3,1)&lt;&gt;""),1,0),0)</f>
        <v/>
      </c>
      <c r="BX44">
        <f>IF(BX$4=1,IF(OR(INDEX('×入力'!$A$1:$L$1300,959+BX$3,2+BX$2)&lt;&gt;"",INDEX('×入力'!$A$1:$L$1300,958,2+BX$2)&lt;&gt;"",INDEX('×入力'!$A$1:$L$1300,959+BX$3,1)&lt;&gt;""),1,0),0)</f>
        <v/>
      </c>
      <c r="BY44">
        <f>IF(BY$4=1,IF(OR(INDEX('×入力'!$A$1:$L$1300,959+BY$3,2+BY$2)&lt;&gt;"",INDEX('×入力'!$A$1:$L$1300,958,2+BY$2)&lt;&gt;"",INDEX('×入力'!$A$1:$L$1300,959+BY$3,1)&lt;&gt;""),1,0),0)</f>
        <v/>
      </c>
      <c r="BZ44">
        <f>IF(BZ$4=1,IF(OR(INDEX('×入力'!$A$1:$L$1300,959+BZ$3,2+BZ$2)&lt;&gt;"",INDEX('×入力'!$A$1:$L$1300,958,2+BZ$2)&lt;&gt;"",INDEX('×入力'!$A$1:$L$1300,959+BZ$3,1)&lt;&gt;""),1,0),0)</f>
        <v/>
      </c>
      <c r="CA44">
        <f>IF(CA$4=1,IF(OR(INDEX('×入力'!$A$1:$L$1300,959+CA$3,2+CA$2)&lt;&gt;"",INDEX('×入力'!$A$1:$L$1300,958,2+CA$2)&lt;&gt;"",INDEX('×入力'!$A$1:$L$1300,959+CA$3,1)&lt;&gt;""),1,0),0)</f>
        <v/>
      </c>
      <c r="CB44">
        <f>IF(CB$4=1,IF(OR(INDEX('×入力'!$A$1:$L$1300,959+CB$3,2+CB$2)&lt;&gt;"",INDEX('×入力'!$A$1:$L$1300,958,2+CB$2)&lt;&gt;"",INDEX('×入力'!$A$1:$L$1300,959+CB$3,1)&lt;&gt;""),1,0),0)</f>
        <v/>
      </c>
      <c r="CC44">
        <f>IF(CC$4=1,IF(OR(INDEX('×入力'!$A$1:$L$1300,959+CC$3,2+CC$2)&lt;&gt;"",INDEX('×入力'!$A$1:$L$1300,958,2+CC$2)&lt;&gt;"",INDEX('×入力'!$A$1:$L$1300,959+CC$3,1)&lt;&gt;""),1,0),0)</f>
        <v/>
      </c>
      <c r="CD44">
        <f>IF(CD$4=1,IF(OR(INDEX('×入力'!$A$1:$L$1300,959+CD$3,2+CD$2)&lt;&gt;"",INDEX('×入力'!$A$1:$L$1300,958,2+CD$2)&lt;&gt;"",INDEX('×入力'!$A$1:$L$1300,959+CD$3,1)&lt;&gt;""),1,0),0)</f>
        <v/>
      </c>
      <c r="CE44">
        <f>IF(CE$4=1,IF(OR(INDEX('×入力'!$A$1:$L$1300,959+CE$3,2+CE$2)&lt;&gt;"",INDEX('×入力'!$A$1:$L$1300,958,2+CE$2)&lt;&gt;"",INDEX('×入力'!$A$1:$L$1300,959+CE$3,1)&lt;&gt;""),1,0),0)</f>
        <v/>
      </c>
      <c r="CF44">
        <f>IF(CF$4=1,IF(OR(INDEX('×入力'!$A$1:$L$1300,959+CF$3,2+CF$2)&lt;&gt;"",INDEX('×入力'!$A$1:$L$1300,958,2+CF$2)&lt;&gt;"",INDEX('×入力'!$A$1:$L$1300,959+CF$3,1)&lt;&gt;""),1,0),0)</f>
        <v/>
      </c>
      <c r="CG44">
        <f>IF(CG$4=1,IF(OR(INDEX('×入力'!$A$1:$L$1300,959+CG$3,2+CG$2)&lt;&gt;"",INDEX('×入力'!$A$1:$L$1300,958,2+CG$2)&lt;&gt;"",INDEX('×入力'!$A$1:$L$1300,959+CG$3,1)&lt;&gt;""),1,0),0)</f>
        <v/>
      </c>
      <c r="CH44">
        <f>IF(CH$4=1,IF(OR(INDEX('×入力'!$A$1:$L$1300,959+CH$3,2+CH$2)&lt;&gt;"",INDEX('×入力'!$A$1:$L$1300,958,2+CH$2)&lt;&gt;"",INDEX('×入力'!$A$1:$L$1300,959+CH$3,1)&lt;&gt;""),1,0),0)</f>
        <v/>
      </c>
      <c r="CI44">
        <f>IF(CI$4=1,IF(OR(INDEX('×入力'!$A$1:$L$1300,959+CI$3,2+CI$2)&lt;&gt;"",INDEX('×入力'!$A$1:$L$1300,958,2+CI$2)&lt;&gt;"",INDEX('×入力'!$A$1:$L$1300,959+CI$3,1)&lt;&gt;""),1,0),0)</f>
        <v/>
      </c>
      <c r="CJ44">
        <f>IF(CJ$4=1,IF(OR(INDEX('×入力'!$A$1:$L$1300,959+CJ$3,2+CJ$2)&lt;&gt;"",INDEX('×入力'!$A$1:$L$1300,958,2+CJ$2)&lt;&gt;"",INDEX('×入力'!$A$1:$L$1300,959+CJ$3,1)&lt;&gt;""),1,0),0)</f>
        <v/>
      </c>
      <c r="CK44">
        <f>IF(CK$4=1,IF(OR(INDEX('×入力'!$A$1:$L$1300,959+CK$3,2+CK$2)&lt;&gt;"",INDEX('×入力'!$A$1:$L$1300,958,2+CK$2)&lt;&gt;"",INDEX('×入力'!$A$1:$L$1300,959+CK$3,1)&lt;&gt;""),1,0),0)</f>
        <v/>
      </c>
      <c r="CL44">
        <f>IF(CL$4=1,IF(OR(INDEX('×入力'!$A$1:$L$1300,959+CL$3,2+CL$2)&lt;&gt;"",INDEX('×入力'!$A$1:$L$1300,958,2+CL$2)&lt;&gt;"",INDEX('×入力'!$A$1:$L$1300,959+CL$3,1)&lt;&gt;""),1,0),0)</f>
        <v/>
      </c>
      <c r="CM44">
        <f>IF(CM$4=1,IF(OR(INDEX('×入力'!$A$1:$L$1300,959+CM$3,2+CM$2)&lt;&gt;"",INDEX('×入力'!$A$1:$L$1300,958,2+CM$2)&lt;&gt;"",INDEX('×入力'!$A$1:$L$1300,959+CM$3,1)&lt;&gt;""),1,0),0)</f>
        <v/>
      </c>
      <c r="CN44">
        <f>IF(CN$4=1,IF(OR(INDEX('×入力'!$A$1:$L$1300,959+CN$3,2+CN$2)&lt;&gt;"",INDEX('×入力'!$A$1:$L$1300,958,2+CN$2)&lt;&gt;"",INDEX('×入力'!$A$1:$L$1300,959+CN$3,1)&lt;&gt;""),1,0),0)</f>
        <v/>
      </c>
      <c r="CO44">
        <f>IF(CO$4=1,IF(OR(INDEX('×入力'!$A$1:$L$1300,959+CO$3,2+CO$2)&lt;&gt;"",INDEX('×入力'!$A$1:$L$1300,958,2+CO$2)&lt;&gt;"",INDEX('×入力'!$A$1:$L$1300,959+CO$3,1)&lt;&gt;""),1,0),0)</f>
        <v/>
      </c>
      <c r="CP44">
        <f>IF(CP$4=1,IF(OR(INDEX('×入力'!$A$1:$L$1300,959+CP$3,2+CP$2)&lt;&gt;"",INDEX('×入力'!$A$1:$L$1300,958,2+CP$2)&lt;&gt;"",INDEX('×入力'!$A$1:$L$1300,959+CP$3,1)&lt;&gt;""),1,0),0)</f>
        <v/>
      </c>
      <c r="CQ44">
        <f>IF(CQ$4=1,IF(OR(INDEX('×入力'!$A$1:$L$1300,959+CQ$3,2+CQ$2)&lt;&gt;"",INDEX('×入力'!$A$1:$L$1300,958,2+CQ$2)&lt;&gt;"",INDEX('×入力'!$A$1:$L$1300,959+CQ$3,1)&lt;&gt;""),1,0),0)</f>
        <v/>
      </c>
      <c r="CR44">
        <f>IF(CR$4=1,IF(OR(INDEX('×入力'!$A$1:$L$1300,959+CR$3,2+CR$2)&lt;&gt;"",INDEX('×入力'!$A$1:$L$1300,958,2+CR$2)&lt;&gt;"",INDEX('×入力'!$A$1:$L$1300,959+CR$3,1)&lt;&gt;""),1,0),0)</f>
        <v/>
      </c>
      <c r="CS44">
        <f>IF(CS$4=1,IF(OR(INDEX('×入力'!$A$1:$L$1300,959+CS$3,2+CS$2)&lt;&gt;"",INDEX('×入力'!$A$1:$L$1300,958,2+CS$2)&lt;&gt;"",INDEX('×入力'!$A$1:$L$1300,959+CS$3,1)&lt;&gt;""),1,0),0)</f>
        <v/>
      </c>
      <c r="CT44">
        <f>IF(CT$4=1,IF(OR(INDEX('×入力'!$A$1:$L$1300,959+CT$3,2+CT$2)&lt;&gt;"",INDEX('×入力'!$A$1:$L$1300,958,2+CT$2)&lt;&gt;"",INDEX('×入力'!$A$1:$L$1300,959+CT$3,1)&lt;&gt;""),1,0),0)</f>
        <v/>
      </c>
      <c r="CU44">
        <f>IF(CU$4=1,IF(OR(INDEX('×入力'!$A$1:$L$1300,959+CU$3,2+CU$2)&lt;&gt;"",INDEX('×入力'!$A$1:$L$1300,958,2+CU$2)&lt;&gt;"",INDEX('×入力'!$A$1:$L$1300,959+CU$3,1)&lt;&gt;""),1,0),0)</f>
        <v/>
      </c>
      <c r="CV44">
        <f>IF(CV$4=1,IF(OR(INDEX('×入力'!$A$1:$L$1300,959+CV$3,2+CV$2)&lt;&gt;"",INDEX('×入力'!$A$1:$L$1300,958,2+CV$2)&lt;&gt;"",INDEX('×入力'!$A$1:$L$1300,959+CV$3,1)&lt;&gt;""),1,0),0)</f>
        <v/>
      </c>
      <c r="CW44">
        <f>IF(CW$4=1,IF(OR(INDEX('×入力'!$A$1:$L$1300,959+CW$3,2+CW$2)&lt;&gt;"",INDEX('×入力'!$A$1:$L$1300,958,2+CW$2)&lt;&gt;"",INDEX('×入力'!$A$1:$L$1300,959+CW$3,1)&lt;&gt;""),1,0),0)</f>
        <v/>
      </c>
      <c r="CX44">
        <f>IF(CX$4=1,IF(OR(INDEX('×入力'!$A$1:$L$1300,959+CX$3,2+CX$2)&lt;&gt;"",INDEX('×入力'!$A$1:$L$1300,958,2+CX$2)&lt;&gt;"",INDEX('×入力'!$A$1:$L$1300,959+CX$3,1)&lt;&gt;""),1,0),0)</f>
        <v/>
      </c>
      <c r="CY44">
        <f>IF(CY$4=1,IF(OR(INDEX('×入力'!$A$1:$L$1300,959+CY$3,2+CY$2)&lt;&gt;"",INDEX('×入力'!$A$1:$L$1300,958,2+CY$2)&lt;&gt;"",INDEX('×入力'!$A$1:$L$1300,959+CY$3,1)&lt;&gt;""),1,0),0)</f>
        <v/>
      </c>
      <c r="CZ44">
        <f>IF(CZ$4=1,IF(OR(INDEX('×入力'!$A$1:$L$1300,959+CZ$3,2+CZ$2)&lt;&gt;"",INDEX('×入力'!$A$1:$L$1300,958,2+CZ$2)&lt;&gt;"",INDEX('×入力'!$A$1:$L$1300,959+CZ$3,1)&lt;&gt;""),1,0),0)</f>
        <v/>
      </c>
      <c r="DA44">
        <f>IF(DA$4=1,IF(OR(INDEX('×入力'!$A$1:$L$1300,959+DA$3,2+DA$2)&lt;&gt;"",INDEX('×入力'!$A$1:$L$1300,958,2+DA$2)&lt;&gt;"",INDEX('×入力'!$A$1:$L$1300,959+DA$3,1)&lt;&gt;""),1,0),0)</f>
        <v/>
      </c>
      <c r="DB44">
        <f>IF(DB$4=1,IF(OR(INDEX('×入力'!$A$1:$L$1300,959+DB$3,2+DB$2)&lt;&gt;"",INDEX('×入力'!$A$1:$L$1300,958,2+DB$2)&lt;&gt;"",INDEX('×入力'!$A$1:$L$1300,959+DB$3,1)&lt;&gt;""),1,0),0)</f>
        <v/>
      </c>
      <c r="DC44">
        <f>IF(DC$4=1,IF(OR(INDEX('×入力'!$A$1:$L$1300,959+DC$3,2+DC$2)&lt;&gt;"",INDEX('×入力'!$A$1:$L$1300,958,2+DC$2)&lt;&gt;"",INDEX('×入力'!$A$1:$L$1300,959+DC$3,1)&lt;&gt;""),1,0),0)</f>
        <v/>
      </c>
      <c r="DD44">
        <f>IF(DD$4=1,IF(OR(INDEX('×入力'!$A$1:$L$1300,959+DD$3,2+DD$2)&lt;&gt;"",INDEX('×入力'!$A$1:$L$1300,958,2+DD$2)&lt;&gt;"",INDEX('×入力'!$A$1:$L$1300,959+DD$3,1)&lt;&gt;""),1,0),0)</f>
        <v/>
      </c>
      <c r="DE44">
        <f>IF(DE$4=1,IF(OR(INDEX('×入力'!$A$1:$L$1300,959+DE$3,2+DE$2)&lt;&gt;"",INDEX('×入力'!$A$1:$L$1300,958,2+DE$2)&lt;&gt;"",INDEX('×入力'!$A$1:$L$1300,959+DE$3,1)&lt;&gt;""),1,0),0)</f>
        <v/>
      </c>
      <c r="DF44">
        <f>IF(DF$4=1,IF(OR(INDEX('×入力'!$A$1:$L$1300,959+DF$3,2+DF$2)&lt;&gt;"",INDEX('×入力'!$A$1:$L$1300,958,2+DF$2)&lt;&gt;"",INDEX('×入力'!$A$1:$L$1300,959+DF$3,1)&lt;&gt;""),1,0),0)</f>
        <v/>
      </c>
      <c r="DG44">
        <f>IF(DG$4=1,IF(OR(INDEX('×入力'!$A$1:$L$1300,959+DG$3,2+DG$2)&lt;&gt;"",INDEX('×入力'!$A$1:$L$1300,958,2+DG$2)&lt;&gt;"",INDEX('×入力'!$A$1:$L$1300,959+DG$3,1)&lt;&gt;""),1,0),0)</f>
        <v/>
      </c>
      <c r="DH44">
        <f>IF(DH$4=1,IF(OR(INDEX('×入力'!$A$1:$L$1300,959+DH$3,2+DH$2)&lt;&gt;"",INDEX('×入力'!$A$1:$L$1300,958,2+DH$2)&lt;&gt;"",INDEX('×入力'!$A$1:$L$1300,959+DH$3,1)&lt;&gt;""),1,0),0)</f>
        <v/>
      </c>
      <c r="DI44">
        <f>IF(DI$4=1,IF(OR(INDEX('×入力'!$A$1:$L$1300,959+DI$3,2+DI$2)&lt;&gt;"",INDEX('×入力'!$A$1:$L$1300,958,2+DI$2)&lt;&gt;"",INDEX('×入力'!$A$1:$L$1300,959+DI$3,1)&lt;&gt;""),1,0),0)</f>
        <v/>
      </c>
      <c r="DJ44">
        <f>IF(DJ$4=1,IF(OR(INDEX('×入力'!$A$1:$L$1300,959+DJ$3,2+DJ$2)&lt;&gt;"",INDEX('×入力'!$A$1:$L$1300,958,2+DJ$2)&lt;&gt;"",INDEX('×入力'!$A$1:$L$1300,959+DJ$3,1)&lt;&gt;""),1,0),0)</f>
        <v/>
      </c>
      <c r="DK44">
        <f>IF(DK$4=1,IF(OR(INDEX('×入力'!$A$1:$L$1300,959+DK$3,2+DK$2)&lt;&gt;"",INDEX('×入力'!$A$1:$L$1300,958,2+DK$2)&lt;&gt;"",INDEX('×入力'!$A$1:$L$1300,959+DK$3,1)&lt;&gt;""),1,0),0)</f>
        <v/>
      </c>
      <c r="DL44">
        <f>IF(DL$4=1,IF(OR(INDEX('×入力'!$A$1:$L$1300,959+DL$3,2+DL$2)&lt;&gt;"",INDEX('×入力'!$A$1:$L$1300,958,2+DL$2)&lt;&gt;"",INDEX('×入力'!$A$1:$L$1300,959+DL$3,1)&lt;&gt;""),1,0),0)</f>
        <v/>
      </c>
      <c r="DM44">
        <f>IF(DM$4=1,IF(OR(INDEX('×入力'!$A$1:$L$1300,959+DM$3,2+DM$2)&lt;&gt;"",INDEX('×入力'!$A$1:$L$1300,958,2+DM$2)&lt;&gt;"",INDEX('×入力'!$A$1:$L$1300,959+DM$3,1)&lt;&gt;""),1,0),0)</f>
        <v/>
      </c>
      <c r="DN44">
        <f>IF(DN$4=1,IF(OR(INDEX('×入力'!$A$1:$L$1300,959+DN$3,2+DN$2)&lt;&gt;"",INDEX('×入力'!$A$1:$L$1300,958,2+DN$2)&lt;&gt;"",INDEX('×入力'!$A$1:$L$1300,959+DN$3,1)&lt;&gt;""),1,0),0)</f>
        <v/>
      </c>
      <c r="DO44">
        <f>IF(DO$4=1,IF(OR(INDEX('×入力'!$A$1:$L$1300,959+DO$3,2+DO$2)&lt;&gt;"",INDEX('×入力'!$A$1:$L$1300,958,2+DO$2)&lt;&gt;"",INDEX('×入力'!$A$1:$L$1300,959+DO$3,1)&lt;&gt;""),1,0),0)</f>
        <v/>
      </c>
      <c r="DP44">
        <f>IF(DP$4=1,IF(OR(INDEX('×入力'!$A$1:$L$1300,959+DP$3,2+DP$2)&lt;&gt;"",INDEX('×入力'!$A$1:$L$1300,958,2+DP$2)&lt;&gt;"",INDEX('×入力'!$A$1:$L$1300,959+DP$3,1)&lt;&gt;""),1,0),0)</f>
        <v/>
      </c>
      <c r="DQ44">
        <f>IF(DQ$4=1,IF(OR(INDEX('×入力'!$A$1:$L$1300,959+DQ$3,2+DQ$2)&lt;&gt;"",INDEX('×入力'!$A$1:$L$1300,958,2+DQ$2)&lt;&gt;"",INDEX('×入力'!$A$1:$L$1300,959+DQ$3,1)&lt;&gt;""),1,0),0)</f>
        <v/>
      </c>
      <c r="DR44">
        <f>IF(DR$4=1,IF(OR(INDEX('×入力'!$A$1:$L$1300,959+DR$3,2+DR$2)&lt;&gt;"",INDEX('×入力'!$A$1:$L$1300,958,2+DR$2)&lt;&gt;"",INDEX('×入力'!$A$1:$L$1300,959+DR$3,1)&lt;&gt;""),1,0),0)</f>
        <v/>
      </c>
      <c r="DS44">
        <f>IF(DS$4=1,IF(OR(INDEX('×入力'!$A$1:$L$1300,959+DS$3,2+DS$2)&lt;&gt;"",INDEX('×入力'!$A$1:$L$1300,958,2+DS$2)&lt;&gt;"",INDEX('×入力'!$A$1:$L$1300,959+DS$3,1)&lt;&gt;""),1,0),0)</f>
        <v/>
      </c>
      <c r="DT44">
        <f>IF(DT$4=1,IF(OR(INDEX('×入力'!$A$1:$L$1300,959+DT$3,2+DT$2)&lt;&gt;"",INDEX('×入力'!$A$1:$L$1300,958,2+DT$2)&lt;&gt;"",INDEX('×入力'!$A$1:$L$1300,959+DT$3,1)&lt;&gt;""),1,0),0)</f>
        <v/>
      </c>
      <c r="DU44">
        <f>IF(DU$4=1,IF(OR(INDEX('×入力'!$A$1:$L$1300,959+DU$3,2+DU$2)&lt;&gt;"",INDEX('×入力'!$A$1:$L$1300,958,2+DU$2)&lt;&gt;"",INDEX('×入力'!$A$1:$L$1300,959+DU$3,1)&lt;&gt;""),1,0),0)</f>
        <v/>
      </c>
      <c r="DV44">
        <f>IF(DV$4=1,IF(OR(INDEX('×入力'!$A$1:$L$1300,959+DV$3,2+DV$2)&lt;&gt;"",INDEX('×入力'!$A$1:$L$1300,958,2+DV$2)&lt;&gt;"",INDEX('×入力'!$A$1:$L$1300,959+DV$3,1)&lt;&gt;""),1,0),0)</f>
        <v/>
      </c>
      <c r="DW44">
        <f>IF(DW$4=1,IF(OR(INDEX('×入力'!$A$1:$L$1300,959+DW$3,2+DW$2)&lt;&gt;"",INDEX('×入力'!$A$1:$L$1300,958,2+DW$2)&lt;&gt;"",INDEX('×入力'!$A$1:$L$1300,959+DW$3,1)&lt;&gt;""),1,0),0)</f>
        <v/>
      </c>
      <c r="DX44">
        <f>IF(DX$4=1,IF(OR(INDEX('×入力'!$A$1:$L$1300,959+DX$3,2+DX$2)&lt;&gt;"",INDEX('×入力'!$A$1:$L$1300,958,2+DX$2)&lt;&gt;"",INDEX('×入力'!$A$1:$L$1300,959+DX$3,1)&lt;&gt;""),1,0),0)</f>
        <v/>
      </c>
      <c r="DY44">
        <f>IF(DY$4=1,IF(OR(INDEX('×入力'!$A$1:$L$1300,959+DY$3,2+DY$2)&lt;&gt;"",INDEX('×入力'!$A$1:$L$1300,958,2+DY$2)&lt;&gt;"",INDEX('×入力'!$A$1:$L$1300,959+DY$3,1)&lt;&gt;""),1,0),0)</f>
        <v/>
      </c>
      <c r="DZ44">
        <f>IF(DZ$4=1,IF(OR(INDEX('×入力'!$A$1:$L$1300,959+DZ$3,2+DZ$2)&lt;&gt;"",INDEX('×入力'!$A$1:$L$1300,958,2+DZ$2)&lt;&gt;"",INDEX('×入力'!$A$1:$L$1300,959+DZ$3,1)&lt;&gt;""),1,0),0)</f>
        <v/>
      </c>
      <c r="EA44">
        <f>IF(EA$4=1,IF(OR(INDEX('×入力'!$A$1:$L$1300,959+EA$3,2+EA$2)&lt;&gt;"",INDEX('×入力'!$A$1:$L$1300,958,2+EA$2)&lt;&gt;"",INDEX('×入力'!$A$1:$L$1300,959+EA$3,1)&lt;&gt;""),1,0),0)</f>
        <v/>
      </c>
      <c r="EB44">
        <f>IF(EB$4=1,IF(OR(INDEX('×入力'!$A$1:$L$1300,959+EB$3,2+EB$2)&lt;&gt;"",INDEX('×入力'!$A$1:$L$1300,958,2+EB$2)&lt;&gt;"",INDEX('×入力'!$A$1:$L$1300,959+EB$3,1)&lt;&gt;""),1,0),0)</f>
        <v/>
      </c>
      <c r="EC44">
        <f>IF(EC$4=1,IF(OR(INDEX('×入力'!$A$1:$L$1300,959+EC$3,2+EC$2)&lt;&gt;"",INDEX('×入力'!$A$1:$L$1300,958,2+EC$2)&lt;&gt;"",INDEX('×入力'!$A$1:$L$1300,959+EC$3,1)&lt;&gt;""),1,0),0)</f>
        <v/>
      </c>
      <c r="ED44">
        <f>IF(ED$4=1,IF(OR(INDEX('×入力'!$A$1:$L$1300,959+ED$3,2+ED$2)&lt;&gt;"",INDEX('×入力'!$A$1:$L$1300,958,2+ED$2)&lt;&gt;"",INDEX('×入力'!$A$1:$L$1300,959+ED$3,1)&lt;&gt;""),1,0),0)</f>
        <v/>
      </c>
      <c r="EE44">
        <f>IF(EE$4=1,IF(OR(INDEX('×入力'!$A$1:$L$1300,959+EE$3,2+EE$2)&lt;&gt;"",INDEX('×入力'!$A$1:$L$1300,958,2+EE$2)&lt;&gt;"",INDEX('×入力'!$A$1:$L$1300,959+EE$3,1)&lt;&gt;""),1,0),0)</f>
        <v/>
      </c>
      <c r="EF44">
        <f>IF(EF$4=1,IF(OR(INDEX('×入力'!$A$1:$L$1300,959+EF$3,2+EF$2)&lt;&gt;"",INDEX('×入力'!$A$1:$L$1300,958,2+EF$2)&lt;&gt;"",INDEX('×入力'!$A$1:$L$1300,959+EF$3,1)&lt;&gt;""),1,0),0)</f>
        <v/>
      </c>
      <c r="EG44">
        <f>IF(EG$4=1,IF(OR(INDEX('×入力'!$A$1:$L$1300,959+EG$3,2+EG$2)&lt;&gt;"",INDEX('×入力'!$A$1:$L$1300,958,2+EG$2)&lt;&gt;"",INDEX('×入力'!$A$1:$L$1300,959+EG$3,1)&lt;&gt;""),1,0),0)</f>
        <v/>
      </c>
      <c r="EH44">
        <f>IF(EH$4=1,IF(OR(INDEX('×入力'!$A$1:$L$1300,959+EH$3,2+EH$2)&lt;&gt;"",INDEX('×入力'!$A$1:$L$1300,958,2+EH$2)&lt;&gt;"",INDEX('×入力'!$A$1:$L$1300,959+EH$3,1)&lt;&gt;""),1,0),0)</f>
        <v/>
      </c>
      <c r="EI44">
        <f>IF(EI$4=1,IF(OR(INDEX('×入力'!$A$1:$L$1300,959+EI$3,2+EI$2)&lt;&gt;"",INDEX('×入力'!$A$1:$L$1300,958,2+EI$2)&lt;&gt;"",INDEX('×入力'!$A$1:$L$1300,959+EI$3,1)&lt;&gt;""),1,0),0)</f>
        <v/>
      </c>
      <c r="EJ44">
        <f>IF(EJ$4=1,IF(OR(INDEX('×入力'!$A$1:$L$1300,959+EJ$3,2+EJ$2)&lt;&gt;"",INDEX('×入力'!$A$1:$L$1300,958,2+EJ$2)&lt;&gt;"",INDEX('×入力'!$A$1:$L$1300,959+EJ$3,1)&lt;&gt;""),1,0),0)</f>
        <v/>
      </c>
      <c r="EK44">
        <f>IF(EK$4=1,IF(OR(INDEX('×入力'!$A$1:$L$1300,959+EK$3,2+EK$2)&lt;&gt;"",INDEX('×入力'!$A$1:$L$1300,958,2+EK$2)&lt;&gt;"",INDEX('×入力'!$A$1:$L$1300,959+EK$3,1)&lt;&gt;""),1,0),0)</f>
        <v/>
      </c>
      <c r="EL44">
        <f>IF(EL$4=1,IF(OR(INDEX('×入力'!$A$1:$L$1300,959+EL$3,2+EL$2)&lt;&gt;"",INDEX('×入力'!$A$1:$L$1300,958,2+EL$2)&lt;&gt;"",INDEX('×入力'!$A$1:$L$1300,959+EL$3,1)&lt;&gt;""),1,0),0)</f>
        <v/>
      </c>
      <c r="EM44">
        <f>IF(EM$4=1,IF(OR(INDEX('×入力'!$A$1:$L$1300,959+EM$3,2+EM$2)&lt;&gt;"",INDEX('×入力'!$A$1:$L$1300,958,2+EM$2)&lt;&gt;"",INDEX('×入力'!$A$1:$L$1300,959+EM$3,1)&lt;&gt;""),1,0),0)</f>
        <v/>
      </c>
      <c r="EN44">
        <f>IF(EN$4=1,IF(OR(INDEX('×入力'!$A$1:$L$1300,959+EN$3,2+EN$2)&lt;&gt;"",INDEX('×入力'!$A$1:$L$1300,958,2+EN$2)&lt;&gt;"",INDEX('×入力'!$A$1:$L$1300,959+EN$3,1)&lt;&gt;""),1,0),0)</f>
        <v/>
      </c>
      <c r="EO44">
        <f>IF(EO$4=1,IF(OR(INDEX('×入力'!$A$1:$L$1300,959+EO$3,2+EO$2)&lt;&gt;"",INDEX('×入力'!$A$1:$L$1300,958,2+EO$2)&lt;&gt;"",INDEX('×入力'!$A$1:$L$1300,959+EO$3,1)&lt;&gt;""),1,0),0)</f>
        <v/>
      </c>
      <c r="EP44">
        <f>IF(EP$4=1,IF(OR(INDEX('×入力'!$A$1:$L$1300,959+EP$3,2+EP$2)&lt;&gt;"",INDEX('×入力'!$A$1:$L$1300,958,2+EP$2)&lt;&gt;"",INDEX('×入力'!$A$1:$L$1300,959+EP$3,1)&lt;&gt;""),1,0),0)</f>
        <v/>
      </c>
      <c r="EQ44">
        <f>IF(EQ$4=1,IF(OR(INDEX('×入力'!$A$1:$L$1300,959+EQ$3,2+EQ$2)&lt;&gt;"",INDEX('×入力'!$A$1:$L$1300,958,2+EQ$2)&lt;&gt;"",INDEX('×入力'!$A$1:$L$1300,959+EQ$3,1)&lt;&gt;""),1,0),0)</f>
        <v/>
      </c>
      <c r="HA44">
        <f>MAX(0,IT44)</f>
        <v/>
      </c>
      <c r="HB44">
        <f>IF(HA44=0,0,INDEX($D$2:$EQ$2,HA44))</f>
        <v/>
      </c>
      <c r="HC44">
        <f>IF(HA44=0,0,INDEX($D$3:$EQ$3,HA44))</f>
        <v/>
      </c>
      <c r="HD44">
        <f>MAX(0,IY44)</f>
        <v/>
      </c>
      <c r="HE44">
        <f>IF(HD44=0,0,INDEX($D$2:$EQ$2,HD44))</f>
        <v/>
      </c>
      <c r="HF44">
        <f>IF(HD44=0,0,INDEX($D$3:$EQ$3,HD44))</f>
        <v/>
      </c>
      <c r="HG44">
        <f>MAX(0,IZ44)</f>
        <v/>
      </c>
      <c r="HH44">
        <f>IF(HG44=0,0,INDEX($D$2:$EQ$2,HG44))</f>
        <v/>
      </c>
      <c r="HI44">
        <f>IF(HG44=0,0,INDEX($D$3:$EQ$3,HG44))</f>
        <v/>
      </c>
      <c r="HJ44">
        <f>IF(AND(HA44&gt;0,HC44&gt;1,OR(HC44-1&lt;&gt;$A$3,$A$4=0)),HA44-1,-1)</f>
        <v/>
      </c>
      <c r="HK44">
        <f>IF(AND(HA44&gt;0,HC44&lt;24,OR(HC44&lt;&gt;$A$3,$A$4=0)),HA44+1,-1)</f>
        <v/>
      </c>
      <c r="HL44">
        <f>IF(AND(HD44&gt;0,HF44&gt;1,OR(HF44-1&lt;&gt;$A$3,$A$4=0)),HD44-1,-1)</f>
        <v/>
      </c>
      <c r="HM44">
        <f>IF(AND(HD44&gt;0,HF44&lt;24,OR(HF44&lt;&gt;$A$3,$A$4=0)),HD44+1,-1)</f>
        <v/>
      </c>
      <c r="HN44">
        <f>IF(AND(HG44&gt;0,HI44&gt;1,OR(HI44-1&lt;&gt;$A$3,$A$4=0)),HG44-1,-1)</f>
        <v/>
      </c>
      <c r="HO44">
        <f>IF(AND(HG44&gt;0,HI44&lt;24,OR(HI44&lt;&gt;$A$3,$A$4=0)),HG44+1,-1)</f>
        <v/>
      </c>
      <c r="IK44">
        <f>IFERROR(INDEX('calcB'!$C$3:$C$47,MATCH(A44,'calcB'!$B$3:$B$47,0)),0)</f>
        <v/>
      </c>
      <c r="IL44">
        <f>IF(AND(C44=1,IK44=0,calcA!$A$6&gt;0),1,0)</f>
        <v/>
      </c>
      <c r="IM44">
        <f>SUMPRODUCT(D94:EQ94*(1-$D$7:$EQ$7))</f>
        <v/>
      </c>
      <c r="IN44">
        <f>SUM(D44:EQ44)</f>
        <v/>
      </c>
      <c r="IO44">
        <f>IF(B44="",0,IF(COUNTIF('調整・決定'!$C$6:$H$29,B44)=1,SUMPRODUCT(('調整・決定'!$C$6:$H$29=B44)*((COLUMN('調整・決定'!$C$6:$H$29)-3)*24+ROW('調整・決定'!$C$6:$H$29)-5)),0))</f>
        <v/>
      </c>
      <c r="IP44">
        <f>IFERROR(MATCH('名簿'!C39,{"早い時刻","遅い時刻","早い日","遅い日"},0),0)</f>
        <v/>
      </c>
      <c r="IQ44">
        <f>IF('名簿'!D39="必ず空けたい",2,IF('名簿'!D39="出来れば空けたい",1,0))</f>
        <v/>
      </c>
      <c r="IR44">
        <f>IFERROR(INDEX('calcC'!$C$3:$C$47,MATCH(A44,'calcC'!$B$3:$B$47,0)),0)</f>
        <v/>
      </c>
      <c r="IS44">
        <f>IF(AND(C44=1,IR44=0,calcA!$A$6&gt;0),1,0)</f>
        <v/>
      </c>
      <c r="IT44">
        <f>IF(OR('名簿'!G39="",'名簿'!H39=""),0,IFERROR((MATCH('名簿'!G39,'設定'!$E$11:$E$16,0)-1)*24+MATCH('名簿'!H39,'設定'!$I$11:$I$34,0),-1))</f>
        <v/>
      </c>
      <c r="IV44">
        <f>IF(OR(JF44=0,IO44=0),1,IF(OR(IF(IT44&gt;0,AND(INDEX($D$2:$EQ$2,IO44)=INDEX($D$2:$EQ$2,IT44),OR(AND(IO44=IT44+1,OR(INDEX($D$3:$EQ$3,IT44)&lt;&gt;$A$3,$A$4=0)),AND(IO44=IT44-1,OR(INDEX($D$3:$EQ$3,IO44)&lt;&gt;$A$3,$A$4=0)))),FALSE),IF(IY44&gt;0,AND(INDEX($D$2:$EQ$2,IO44)=INDEX($D$2:$EQ$2,IY44),OR(AND(IO44=IY44+1,OR(INDEX($D$3:$EQ$3,IY44)&lt;&gt;$A$3,$A$4=0)),AND(IO44=IY44-1,OR(INDEX($D$3:$EQ$3,IO44)&lt;&gt;$A$3,$A$4=0)))),FALSE),IF(IZ44&gt;0,AND(INDEX($D$2:$EQ$2,IO44)=INDEX($D$2:$EQ$2,IZ44),OR(AND(IO44=IZ44+1,OR(INDEX($D$3:$EQ$3,IZ44)&lt;&gt;$A$3,$A$4=0)),AND(IO44=IZ44-1,OR(INDEX($D$3:$EQ$3,IO44)&lt;&gt;$A$3,$A$4=0)))),FALSE)),1,0))</f>
        <v/>
      </c>
      <c r="IW44">
        <f>IF(AND('名簿'!E39&lt;&gt;"",JF44=0),1,0)</f>
        <v/>
      </c>
      <c r="IX44">
        <f>IF('名簿'!D39="空けない",1,0)</f>
        <v/>
      </c>
      <c r="IY44">
        <f>IF(OR('名簿'!J39="",'名簿'!K39=""),0,IFERROR((MATCH('名簿'!J39,'設定'!$E$11:$E$16,0)-1)*24+MATCH('名簿'!K39,'設定'!$I$11:$I$34,0),-1))</f>
        <v/>
      </c>
      <c r="IZ44">
        <f>IF(OR('名簿'!M39="",'名簿'!N39=""),0,IFERROR((MATCH('名簿'!M39,'設定'!$E$11:$E$16,0)-1)*24+MATCH('名簿'!N39,'設定'!$I$11:$I$34,0),-1))</f>
        <v/>
      </c>
      <c r="JC44">
        <f>IF(RIGHT('名簿'!I39,2)="の前",1,IF(RIGHT('名簿'!I39,2)="の後",2,0))</f>
        <v/>
      </c>
      <c r="JD44">
        <f>IF(RIGHT('名簿'!L39,2)="の前",1,IF(RIGHT('名簿'!L39,2)="の後",2,0))</f>
        <v/>
      </c>
      <c r="JE44">
        <f>IF(RIGHT('名簿'!O39,2)="の前",1,IF(RIGHT('名簿'!O39,2)="の後",2,0))</f>
        <v/>
      </c>
      <c r="JF44">
        <f>IF(OR(IT44&gt;0,IY44&gt;0,IZ44&gt;0),1,0)</f>
        <v/>
      </c>
      <c r="JG44">
        <f>IF(OR(IT44&lt;0,IY44&lt;0,IZ44&lt;0),1,0)</f>
        <v/>
      </c>
    </row>
    <row r="45">
      <c r="A45" t="n">
        <v>36</v>
      </c>
      <c r="B45">
        <f>'名簿'!P40</f>
        <v/>
      </c>
      <c r="C45">
        <f>IF(AND(B45&lt;&gt;"",OR('名簿'!Q40="入力済み",'名簿'!Q40="×なし"),IO45=0,COUNTIF('調整・決定'!$C$6:$H$29,B45)=0),1,0)</f>
        <v/>
      </c>
      <c r="D45">
        <f>IF(D$4=1,IF(OR(INDEX('×入力'!$A$1:$L$1300,987+D$3,2+D$2)&lt;&gt;"",INDEX('×入力'!$A$1:$L$1300,986,2+D$2)&lt;&gt;"",INDEX('×入力'!$A$1:$L$1300,987+D$3,1)&lt;&gt;""),1,0),0)</f>
        <v/>
      </c>
      <c r="E45">
        <f>IF(E$4=1,IF(OR(INDEX('×入力'!$A$1:$L$1300,987+E$3,2+E$2)&lt;&gt;"",INDEX('×入力'!$A$1:$L$1300,986,2+E$2)&lt;&gt;"",INDEX('×入力'!$A$1:$L$1300,987+E$3,1)&lt;&gt;""),1,0),0)</f>
        <v/>
      </c>
      <c r="F45">
        <f>IF(F$4=1,IF(OR(INDEX('×入力'!$A$1:$L$1300,987+F$3,2+F$2)&lt;&gt;"",INDEX('×入力'!$A$1:$L$1300,986,2+F$2)&lt;&gt;"",INDEX('×入力'!$A$1:$L$1300,987+F$3,1)&lt;&gt;""),1,0),0)</f>
        <v/>
      </c>
      <c r="G45">
        <f>IF(G$4=1,IF(OR(INDEX('×入力'!$A$1:$L$1300,987+G$3,2+G$2)&lt;&gt;"",INDEX('×入力'!$A$1:$L$1300,986,2+G$2)&lt;&gt;"",INDEX('×入力'!$A$1:$L$1300,987+G$3,1)&lt;&gt;""),1,0),0)</f>
        <v/>
      </c>
      <c r="H45">
        <f>IF(H$4=1,IF(OR(INDEX('×入力'!$A$1:$L$1300,987+H$3,2+H$2)&lt;&gt;"",INDEX('×入力'!$A$1:$L$1300,986,2+H$2)&lt;&gt;"",INDEX('×入力'!$A$1:$L$1300,987+H$3,1)&lt;&gt;""),1,0),0)</f>
        <v/>
      </c>
      <c r="I45">
        <f>IF(I$4=1,IF(OR(INDEX('×入力'!$A$1:$L$1300,987+I$3,2+I$2)&lt;&gt;"",INDEX('×入力'!$A$1:$L$1300,986,2+I$2)&lt;&gt;"",INDEX('×入力'!$A$1:$L$1300,987+I$3,1)&lt;&gt;""),1,0),0)</f>
        <v/>
      </c>
      <c r="J45">
        <f>IF(J$4=1,IF(OR(INDEX('×入力'!$A$1:$L$1300,987+J$3,2+J$2)&lt;&gt;"",INDEX('×入力'!$A$1:$L$1300,986,2+J$2)&lt;&gt;"",INDEX('×入力'!$A$1:$L$1300,987+J$3,1)&lt;&gt;""),1,0),0)</f>
        <v/>
      </c>
      <c r="K45">
        <f>IF(K$4=1,IF(OR(INDEX('×入力'!$A$1:$L$1300,987+K$3,2+K$2)&lt;&gt;"",INDEX('×入力'!$A$1:$L$1300,986,2+K$2)&lt;&gt;"",INDEX('×入力'!$A$1:$L$1300,987+K$3,1)&lt;&gt;""),1,0),0)</f>
        <v/>
      </c>
      <c r="L45">
        <f>IF(L$4=1,IF(OR(INDEX('×入力'!$A$1:$L$1300,987+L$3,2+L$2)&lt;&gt;"",INDEX('×入力'!$A$1:$L$1300,986,2+L$2)&lt;&gt;"",INDEX('×入力'!$A$1:$L$1300,987+L$3,1)&lt;&gt;""),1,0),0)</f>
        <v/>
      </c>
      <c r="M45">
        <f>IF(M$4=1,IF(OR(INDEX('×入力'!$A$1:$L$1300,987+M$3,2+M$2)&lt;&gt;"",INDEX('×入力'!$A$1:$L$1300,986,2+M$2)&lt;&gt;"",INDEX('×入力'!$A$1:$L$1300,987+M$3,1)&lt;&gt;""),1,0),0)</f>
        <v/>
      </c>
      <c r="N45">
        <f>IF(N$4=1,IF(OR(INDEX('×入力'!$A$1:$L$1300,987+N$3,2+N$2)&lt;&gt;"",INDEX('×入力'!$A$1:$L$1300,986,2+N$2)&lt;&gt;"",INDEX('×入力'!$A$1:$L$1300,987+N$3,1)&lt;&gt;""),1,0),0)</f>
        <v/>
      </c>
      <c r="O45">
        <f>IF(O$4=1,IF(OR(INDEX('×入力'!$A$1:$L$1300,987+O$3,2+O$2)&lt;&gt;"",INDEX('×入力'!$A$1:$L$1300,986,2+O$2)&lt;&gt;"",INDEX('×入力'!$A$1:$L$1300,987+O$3,1)&lt;&gt;""),1,0),0)</f>
        <v/>
      </c>
      <c r="P45">
        <f>IF(P$4=1,IF(OR(INDEX('×入力'!$A$1:$L$1300,987+P$3,2+P$2)&lt;&gt;"",INDEX('×入力'!$A$1:$L$1300,986,2+P$2)&lt;&gt;"",INDEX('×入力'!$A$1:$L$1300,987+P$3,1)&lt;&gt;""),1,0),0)</f>
        <v/>
      </c>
      <c r="Q45">
        <f>IF(Q$4=1,IF(OR(INDEX('×入力'!$A$1:$L$1300,987+Q$3,2+Q$2)&lt;&gt;"",INDEX('×入力'!$A$1:$L$1300,986,2+Q$2)&lt;&gt;"",INDEX('×入力'!$A$1:$L$1300,987+Q$3,1)&lt;&gt;""),1,0),0)</f>
        <v/>
      </c>
      <c r="R45">
        <f>IF(R$4=1,IF(OR(INDEX('×入力'!$A$1:$L$1300,987+R$3,2+R$2)&lt;&gt;"",INDEX('×入力'!$A$1:$L$1300,986,2+R$2)&lt;&gt;"",INDEX('×入力'!$A$1:$L$1300,987+R$3,1)&lt;&gt;""),1,0),0)</f>
        <v/>
      </c>
      <c r="S45">
        <f>IF(S$4=1,IF(OR(INDEX('×入力'!$A$1:$L$1300,987+S$3,2+S$2)&lt;&gt;"",INDEX('×入力'!$A$1:$L$1300,986,2+S$2)&lt;&gt;"",INDEX('×入力'!$A$1:$L$1300,987+S$3,1)&lt;&gt;""),1,0),0)</f>
        <v/>
      </c>
      <c r="T45">
        <f>IF(T$4=1,IF(OR(INDEX('×入力'!$A$1:$L$1300,987+T$3,2+T$2)&lt;&gt;"",INDEX('×入力'!$A$1:$L$1300,986,2+T$2)&lt;&gt;"",INDEX('×入力'!$A$1:$L$1300,987+T$3,1)&lt;&gt;""),1,0),0)</f>
        <v/>
      </c>
      <c r="U45">
        <f>IF(U$4=1,IF(OR(INDEX('×入力'!$A$1:$L$1300,987+U$3,2+U$2)&lt;&gt;"",INDEX('×入力'!$A$1:$L$1300,986,2+U$2)&lt;&gt;"",INDEX('×入力'!$A$1:$L$1300,987+U$3,1)&lt;&gt;""),1,0),0)</f>
        <v/>
      </c>
      <c r="V45">
        <f>IF(V$4=1,IF(OR(INDEX('×入力'!$A$1:$L$1300,987+V$3,2+V$2)&lt;&gt;"",INDEX('×入力'!$A$1:$L$1300,986,2+V$2)&lt;&gt;"",INDEX('×入力'!$A$1:$L$1300,987+V$3,1)&lt;&gt;""),1,0),0)</f>
        <v/>
      </c>
      <c r="W45">
        <f>IF(W$4=1,IF(OR(INDEX('×入力'!$A$1:$L$1300,987+W$3,2+W$2)&lt;&gt;"",INDEX('×入力'!$A$1:$L$1300,986,2+W$2)&lt;&gt;"",INDEX('×入力'!$A$1:$L$1300,987+W$3,1)&lt;&gt;""),1,0),0)</f>
        <v/>
      </c>
      <c r="X45">
        <f>IF(X$4=1,IF(OR(INDEX('×入力'!$A$1:$L$1300,987+X$3,2+X$2)&lt;&gt;"",INDEX('×入力'!$A$1:$L$1300,986,2+X$2)&lt;&gt;"",INDEX('×入力'!$A$1:$L$1300,987+X$3,1)&lt;&gt;""),1,0),0)</f>
        <v/>
      </c>
      <c r="Y45">
        <f>IF(Y$4=1,IF(OR(INDEX('×入力'!$A$1:$L$1300,987+Y$3,2+Y$2)&lt;&gt;"",INDEX('×入力'!$A$1:$L$1300,986,2+Y$2)&lt;&gt;"",INDEX('×入力'!$A$1:$L$1300,987+Y$3,1)&lt;&gt;""),1,0),0)</f>
        <v/>
      </c>
      <c r="Z45">
        <f>IF(Z$4=1,IF(OR(INDEX('×入力'!$A$1:$L$1300,987+Z$3,2+Z$2)&lt;&gt;"",INDEX('×入力'!$A$1:$L$1300,986,2+Z$2)&lt;&gt;"",INDEX('×入力'!$A$1:$L$1300,987+Z$3,1)&lt;&gt;""),1,0),0)</f>
        <v/>
      </c>
      <c r="AA45">
        <f>IF(AA$4=1,IF(OR(INDEX('×入力'!$A$1:$L$1300,987+AA$3,2+AA$2)&lt;&gt;"",INDEX('×入力'!$A$1:$L$1300,986,2+AA$2)&lt;&gt;"",INDEX('×入力'!$A$1:$L$1300,987+AA$3,1)&lt;&gt;""),1,0),0)</f>
        <v/>
      </c>
      <c r="AB45">
        <f>IF(AB$4=1,IF(OR(INDEX('×入力'!$A$1:$L$1300,987+AB$3,2+AB$2)&lt;&gt;"",INDEX('×入力'!$A$1:$L$1300,986,2+AB$2)&lt;&gt;"",INDEX('×入力'!$A$1:$L$1300,987+AB$3,1)&lt;&gt;""),1,0),0)</f>
        <v/>
      </c>
      <c r="AC45">
        <f>IF(AC$4=1,IF(OR(INDEX('×入力'!$A$1:$L$1300,987+AC$3,2+AC$2)&lt;&gt;"",INDEX('×入力'!$A$1:$L$1300,986,2+AC$2)&lt;&gt;"",INDEX('×入力'!$A$1:$L$1300,987+AC$3,1)&lt;&gt;""),1,0),0)</f>
        <v/>
      </c>
      <c r="AD45">
        <f>IF(AD$4=1,IF(OR(INDEX('×入力'!$A$1:$L$1300,987+AD$3,2+AD$2)&lt;&gt;"",INDEX('×入力'!$A$1:$L$1300,986,2+AD$2)&lt;&gt;"",INDEX('×入力'!$A$1:$L$1300,987+AD$3,1)&lt;&gt;""),1,0),0)</f>
        <v/>
      </c>
      <c r="AE45">
        <f>IF(AE$4=1,IF(OR(INDEX('×入力'!$A$1:$L$1300,987+AE$3,2+AE$2)&lt;&gt;"",INDEX('×入力'!$A$1:$L$1300,986,2+AE$2)&lt;&gt;"",INDEX('×入力'!$A$1:$L$1300,987+AE$3,1)&lt;&gt;""),1,0),0)</f>
        <v/>
      </c>
      <c r="AF45">
        <f>IF(AF$4=1,IF(OR(INDEX('×入力'!$A$1:$L$1300,987+AF$3,2+AF$2)&lt;&gt;"",INDEX('×入力'!$A$1:$L$1300,986,2+AF$2)&lt;&gt;"",INDEX('×入力'!$A$1:$L$1300,987+AF$3,1)&lt;&gt;""),1,0),0)</f>
        <v/>
      </c>
      <c r="AG45">
        <f>IF(AG$4=1,IF(OR(INDEX('×入力'!$A$1:$L$1300,987+AG$3,2+AG$2)&lt;&gt;"",INDEX('×入力'!$A$1:$L$1300,986,2+AG$2)&lt;&gt;"",INDEX('×入力'!$A$1:$L$1300,987+AG$3,1)&lt;&gt;""),1,0),0)</f>
        <v/>
      </c>
      <c r="AH45">
        <f>IF(AH$4=1,IF(OR(INDEX('×入力'!$A$1:$L$1300,987+AH$3,2+AH$2)&lt;&gt;"",INDEX('×入力'!$A$1:$L$1300,986,2+AH$2)&lt;&gt;"",INDEX('×入力'!$A$1:$L$1300,987+AH$3,1)&lt;&gt;""),1,0),0)</f>
        <v/>
      </c>
      <c r="AI45">
        <f>IF(AI$4=1,IF(OR(INDEX('×入力'!$A$1:$L$1300,987+AI$3,2+AI$2)&lt;&gt;"",INDEX('×入力'!$A$1:$L$1300,986,2+AI$2)&lt;&gt;"",INDEX('×入力'!$A$1:$L$1300,987+AI$3,1)&lt;&gt;""),1,0),0)</f>
        <v/>
      </c>
      <c r="AJ45">
        <f>IF(AJ$4=1,IF(OR(INDEX('×入力'!$A$1:$L$1300,987+AJ$3,2+AJ$2)&lt;&gt;"",INDEX('×入力'!$A$1:$L$1300,986,2+AJ$2)&lt;&gt;"",INDEX('×入力'!$A$1:$L$1300,987+AJ$3,1)&lt;&gt;""),1,0),0)</f>
        <v/>
      </c>
      <c r="AK45">
        <f>IF(AK$4=1,IF(OR(INDEX('×入力'!$A$1:$L$1300,987+AK$3,2+AK$2)&lt;&gt;"",INDEX('×入力'!$A$1:$L$1300,986,2+AK$2)&lt;&gt;"",INDEX('×入力'!$A$1:$L$1300,987+AK$3,1)&lt;&gt;""),1,0),0)</f>
        <v/>
      </c>
      <c r="AL45">
        <f>IF(AL$4=1,IF(OR(INDEX('×入力'!$A$1:$L$1300,987+AL$3,2+AL$2)&lt;&gt;"",INDEX('×入力'!$A$1:$L$1300,986,2+AL$2)&lt;&gt;"",INDEX('×入力'!$A$1:$L$1300,987+AL$3,1)&lt;&gt;""),1,0),0)</f>
        <v/>
      </c>
      <c r="AM45">
        <f>IF(AM$4=1,IF(OR(INDEX('×入力'!$A$1:$L$1300,987+AM$3,2+AM$2)&lt;&gt;"",INDEX('×入力'!$A$1:$L$1300,986,2+AM$2)&lt;&gt;"",INDEX('×入力'!$A$1:$L$1300,987+AM$3,1)&lt;&gt;""),1,0),0)</f>
        <v/>
      </c>
      <c r="AN45">
        <f>IF(AN$4=1,IF(OR(INDEX('×入力'!$A$1:$L$1300,987+AN$3,2+AN$2)&lt;&gt;"",INDEX('×入力'!$A$1:$L$1300,986,2+AN$2)&lt;&gt;"",INDEX('×入力'!$A$1:$L$1300,987+AN$3,1)&lt;&gt;""),1,0),0)</f>
        <v/>
      </c>
      <c r="AO45">
        <f>IF(AO$4=1,IF(OR(INDEX('×入力'!$A$1:$L$1300,987+AO$3,2+AO$2)&lt;&gt;"",INDEX('×入力'!$A$1:$L$1300,986,2+AO$2)&lt;&gt;"",INDEX('×入力'!$A$1:$L$1300,987+AO$3,1)&lt;&gt;""),1,0),0)</f>
        <v/>
      </c>
      <c r="AP45">
        <f>IF(AP$4=1,IF(OR(INDEX('×入力'!$A$1:$L$1300,987+AP$3,2+AP$2)&lt;&gt;"",INDEX('×入力'!$A$1:$L$1300,986,2+AP$2)&lt;&gt;"",INDEX('×入力'!$A$1:$L$1300,987+AP$3,1)&lt;&gt;""),1,0),0)</f>
        <v/>
      </c>
      <c r="AQ45">
        <f>IF(AQ$4=1,IF(OR(INDEX('×入力'!$A$1:$L$1300,987+AQ$3,2+AQ$2)&lt;&gt;"",INDEX('×入力'!$A$1:$L$1300,986,2+AQ$2)&lt;&gt;"",INDEX('×入力'!$A$1:$L$1300,987+AQ$3,1)&lt;&gt;""),1,0),0)</f>
        <v/>
      </c>
      <c r="AR45">
        <f>IF(AR$4=1,IF(OR(INDEX('×入力'!$A$1:$L$1300,987+AR$3,2+AR$2)&lt;&gt;"",INDEX('×入力'!$A$1:$L$1300,986,2+AR$2)&lt;&gt;"",INDEX('×入力'!$A$1:$L$1300,987+AR$3,1)&lt;&gt;""),1,0),0)</f>
        <v/>
      </c>
      <c r="AS45">
        <f>IF(AS$4=1,IF(OR(INDEX('×入力'!$A$1:$L$1300,987+AS$3,2+AS$2)&lt;&gt;"",INDEX('×入力'!$A$1:$L$1300,986,2+AS$2)&lt;&gt;"",INDEX('×入力'!$A$1:$L$1300,987+AS$3,1)&lt;&gt;""),1,0),0)</f>
        <v/>
      </c>
      <c r="AT45">
        <f>IF(AT$4=1,IF(OR(INDEX('×入力'!$A$1:$L$1300,987+AT$3,2+AT$2)&lt;&gt;"",INDEX('×入力'!$A$1:$L$1300,986,2+AT$2)&lt;&gt;"",INDEX('×入力'!$A$1:$L$1300,987+AT$3,1)&lt;&gt;""),1,0),0)</f>
        <v/>
      </c>
      <c r="AU45">
        <f>IF(AU$4=1,IF(OR(INDEX('×入力'!$A$1:$L$1300,987+AU$3,2+AU$2)&lt;&gt;"",INDEX('×入力'!$A$1:$L$1300,986,2+AU$2)&lt;&gt;"",INDEX('×入力'!$A$1:$L$1300,987+AU$3,1)&lt;&gt;""),1,0),0)</f>
        <v/>
      </c>
      <c r="AV45">
        <f>IF(AV$4=1,IF(OR(INDEX('×入力'!$A$1:$L$1300,987+AV$3,2+AV$2)&lt;&gt;"",INDEX('×入力'!$A$1:$L$1300,986,2+AV$2)&lt;&gt;"",INDEX('×入力'!$A$1:$L$1300,987+AV$3,1)&lt;&gt;""),1,0),0)</f>
        <v/>
      </c>
      <c r="AW45">
        <f>IF(AW$4=1,IF(OR(INDEX('×入力'!$A$1:$L$1300,987+AW$3,2+AW$2)&lt;&gt;"",INDEX('×入力'!$A$1:$L$1300,986,2+AW$2)&lt;&gt;"",INDEX('×入力'!$A$1:$L$1300,987+AW$3,1)&lt;&gt;""),1,0),0)</f>
        <v/>
      </c>
      <c r="AX45">
        <f>IF(AX$4=1,IF(OR(INDEX('×入力'!$A$1:$L$1300,987+AX$3,2+AX$2)&lt;&gt;"",INDEX('×入力'!$A$1:$L$1300,986,2+AX$2)&lt;&gt;"",INDEX('×入力'!$A$1:$L$1300,987+AX$3,1)&lt;&gt;""),1,0),0)</f>
        <v/>
      </c>
      <c r="AY45">
        <f>IF(AY$4=1,IF(OR(INDEX('×入力'!$A$1:$L$1300,987+AY$3,2+AY$2)&lt;&gt;"",INDEX('×入力'!$A$1:$L$1300,986,2+AY$2)&lt;&gt;"",INDEX('×入力'!$A$1:$L$1300,987+AY$3,1)&lt;&gt;""),1,0),0)</f>
        <v/>
      </c>
      <c r="AZ45">
        <f>IF(AZ$4=1,IF(OR(INDEX('×入力'!$A$1:$L$1300,987+AZ$3,2+AZ$2)&lt;&gt;"",INDEX('×入力'!$A$1:$L$1300,986,2+AZ$2)&lt;&gt;"",INDEX('×入力'!$A$1:$L$1300,987+AZ$3,1)&lt;&gt;""),1,0),0)</f>
        <v/>
      </c>
      <c r="BA45">
        <f>IF(BA$4=1,IF(OR(INDEX('×入力'!$A$1:$L$1300,987+BA$3,2+BA$2)&lt;&gt;"",INDEX('×入力'!$A$1:$L$1300,986,2+BA$2)&lt;&gt;"",INDEX('×入力'!$A$1:$L$1300,987+BA$3,1)&lt;&gt;""),1,0),0)</f>
        <v/>
      </c>
      <c r="BB45">
        <f>IF(BB$4=1,IF(OR(INDEX('×入力'!$A$1:$L$1300,987+BB$3,2+BB$2)&lt;&gt;"",INDEX('×入力'!$A$1:$L$1300,986,2+BB$2)&lt;&gt;"",INDEX('×入力'!$A$1:$L$1300,987+BB$3,1)&lt;&gt;""),1,0),0)</f>
        <v/>
      </c>
      <c r="BC45">
        <f>IF(BC$4=1,IF(OR(INDEX('×入力'!$A$1:$L$1300,987+BC$3,2+BC$2)&lt;&gt;"",INDEX('×入力'!$A$1:$L$1300,986,2+BC$2)&lt;&gt;"",INDEX('×入力'!$A$1:$L$1300,987+BC$3,1)&lt;&gt;""),1,0),0)</f>
        <v/>
      </c>
      <c r="BD45">
        <f>IF(BD$4=1,IF(OR(INDEX('×入力'!$A$1:$L$1300,987+BD$3,2+BD$2)&lt;&gt;"",INDEX('×入力'!$A$1:$L$1300,986,2+BD$2)&lt;&gt;"",INDEX('×入力'!$A$1:$L$1300,987+BD$3,1)&lt;&gt;""),1,0),0)</f>
        <v/>
      </c>
      <c r="BE45">
        <f>IF(BE$4=1,IF(OR(INDEX('×入力'!$A$1:$L$1300,987+BE$3,2+BE$2)&lt;&gt;"",INDEX('×入力'!$A$1:$L$1300,986,2+BE$2)&lt;&gt;"",INDEX('×入力'!$A$1:$L$1300,987+BE$3,1)&lt;&gt;""),1,0),0)</f>
        <v/>
      </c>
      <c r="BF45">
        <f>IF(BF$4=1,IF(OR(INDEX('×入力'!$A$1:$L$1300,987+BF$3,2+BF$2)&lt;&gt;"",INDEX('×入力'!$A$1:$L$1300,986,2+BF$2)&lt;&gt;"",INDEX('×入力'!$A$1:$L$1300,987+BF$3,1)&lt;&gt;""),1,0),0)</f>
        <v/>
      </c>
      <c r="BG45">
        <f>IF(BG$4=1,IF(OR(INDEX('×入力'!$A$1:$L$1300,987+BG$3,2+BG$2)&lt;&gt;"",INDEX('×入力'!$A$1:$L$1300,986,2+BG$2)&lt;&gt;"",INDEX('×入力'!$A$1:$L$1300,987+BG$3,1)&lt;&gt;""),1,0),0)</f>
        <v/>
      </c>
      <c r="BH45">
        <f>IF(BH$4=1,IF(OR(INDEX('×入力'!$A$1:$L$1300,987+BH$3,2+BH$2)&lt;&gt;"",INDEX('×入力'!$A$1:$L$1300,986,2+BH$2)&lt;&gt;"",INDEX('×入力'!$A$1:$L$1300,987+BH$3,1)&lt;&gt;""),1,0),0)</f>
        <v/>
      </c>
      <c r="BI45">
        <f>IF(BI$4=1,IF(OR(INDEX('×入力'!$A$1:$L$1300,987+BI$3,2+BI$2)&lt;&gt;"",INDEX('×入力'!$A$1:$L$1300,986,2+BI$2)&lt;&gt;"",INDEX('×入力'!$A$1:$L$1300,987+BI$3,1)&lt;&gt;""),1,0),0)</f>
        <v/>
      </c>
      <c r="BJ45">
        <f>IF(BJ$4=1,IF(OR(INDEX('×入力'!$A$1:$L$1300,987+BJ$3,2+BJ$2)&lt;&gt;"",INDEX('×入力'!$A$1:$L$1300,986,2+BJ$2)&lt;&gt;"",INDEX('×入力'!$A$1:$L$1300,987+BJ$3,1)&lt;&gt;""),1,0),0)</f>
        <v/>
      </c>
      <c r="BK45">
        <f>IF(BK$4=1,IF(OR(INDEX('×入力'!$A$1:$L$1300,987+BK$3,2+BK$2)&lt;&gt;"",INDEX('×入力'!$A$1:$L$1300,986,2+BK$2)&lt;&gt;"",INDEX('×入力'!$A$1:$L$1300,987+BK$3,1)&lt;&gt;""),1,0),0)</f>
        <v/>
      </c>
      <c r="BL45">
        <f>IF(BL$4=1,IF(OR(INDEX('×入力'!$A$1:$L$1300,987+BL$3,2+BL$2)&lt;&gt;"",INDEX('×入力'!$A$1:$L$1300,986,2+BL$2)&lt;&gt;"",INDEX('×入力'!$A$1:$L$1300,987+BL$3,1)&lt;&gt;""),1,0),0)</f>
        <v/>
      </c>
      <c r="BM45">
        <f>IF(BM$4=1,IF(OR(INDEX('×入力'!$A$1:$L$1300,987+BM$3,2+BM$2)&lt;&gt;"",INDEX('×入力'!$A$1:$L$1300,986,2+BM$2)&lt;&gt;"",INDEX('×入力'!$A$1:$L$1300,987+BM$3,1)&lt;&gt;""),1,0),0)</f>
        <v/>
      </c>
      <c r="BN45">
        <f>IF(BN$4=1,IF(OR(INDEX('×入力'!$A$1:$L$1300,987+BN$3,2+BN$2)&lt;&gt;"",INDEX('×入力'!$A$1:$L$1300,986,2+BN$2)&lt;&gt;"",INDEX('×入力'!$A$1:$L$1300,987+BN$3,1)&lt;&gt;""),1,0),0)</f>
        <v/>
      </c>
      <c r="BO45">
        <f>IF(BO$4=1,IF(OR(INDEX('×入力'!$A$1:$L$1300,987+BO$3,2+BO$2)&lt;&gt;"",INDEX('×入力'!$A$1:$L$1300,986,2+BO$2)&lt;&gt;"",INDEX('×入力'!$A$1:$L$1300,987+BO$3,1)&lt;&gt;""),1,0),0)</f>
        <v/>
      </c>
      <c r="BP45">
        <f>IF(BP$4=1,IF(OR(INDEX('×入力'!$A$1:$L$1300,987+BP$3,2+BP$2)&lt;&gt;"",INDEX('×入力'!$A$1:$L$1300,986,2+BP$2)&lt;&gt;"",INDEX('×入力'!$A$1:$L$1300,987+BP$3,1)&lt;&gt;""),1,0),0)</f>
        <v/>
      </c>
      <c r="BQ45">
        <f>IF(BQ$4=1,IF(OR(INDEX('×入力'!$A$1:$L$1300,987+BQ$3,2+BQ$2)&lt;&gt;"",INDEX('×入力'!$A$1:$L$1300,986,2+BQ$2)&lt;&gt;"",INDEX('×入力'!$A$1:$L$1300,987+BQ$3,1)&lt;&gt;""),1,0),0)</f>
        <v/>
      </c>
      <c r="BR45">
        <f>IF(BR$4=1,IF(OR(INDEX('×入力'!$A$1:$L$1300,987+BR$3,2+BR$2)&lt;&gt;"",INDEX('×入力'!$A$1:$L$1300,986,2+BR$2)&lt;&gt;"",INDEX('×入力'!$A$1:$L$1300,987+BR$3,1)&lt;&gt;""),1,0),0)</f>
        <v/>
      </c>
      <c r="BS45">
        <f>IF(BS$4=1,IF(OR(INDEX('×入力'!$A$1:$L$1300,987+BS$3,2+BS$2)&lt;&gt;"",INDEX('×入力'!$A$1:$L$1300,986,2+BS$2)&lt;&gt;"",INDEX('×入力'!$A$1:$L$1300,987+BS$3,1)&lt;&gt;""),1,0),0)</f>
        <v/>
      </c>
      <c r="BT45">
        <f>IF(BT$4=1,IF(OR(INDEX('×入力'!$A$1:$L$1300,987+BT$3,2+BT$2)&lt;&gt;"",INDEX('×入力'!$A$1:$L$1300,986,2+BT$2)&lt;&gt;"",INDEX('×入力'!$A$1:$L$1300,987+BT$3,1)&lt;&gt;""),1,0),0)</f>
        <v/>
      </c>
      <c r="BU45">
        <f>IF(BU$4=1,IF(OR(INDEX('×入力'!$A$1:$L$1300,987+BU$3,2+BU$2)&lt;&gt;"",INDEX('×入力'!$A$1:$L$1300,986,2+BU$2)&lt;&gt;"",INDEX('×入力'!$A$1:$L$1300,987+BU$3,1)&lt;&gt;""),1,0),0)</f>
        <v/>
      </c>
      <c r="BV45">
        <f>IF(BV$4=1,IF(OR(INDEX('×入力'!$A$1:$L$1300,987+BV$3,2+BV$2)&lt;&gt;"",INDEX('×入力'!$A$1:$L$1300,986,2+BV$2)&lt;&gt;"",INDEX('×入力'!$A$1:$L$1300,987+BV$3,1)&lt;&gt;""),1,0),0)</f>
        <v/>
      </c>
      <c r="BW45">
        <f>IF(BW$4=1,IF(OR(INDEX('×入力'!$A$1:$L$1300,987+BW$3,2+BW$2)&lt;&gt;"",INDEX('×入力'!$A$1:$L$1300,986,2+BW$2)&lt;&gt;"",INDEX('×入力'!$A$1:$L$1300,987+BW$3,1)&lt;&gt;""),1,0),0)</f>
        <v/>
      </c>
      <c r="BX45">
        <f>IF(BX$4=1,IF(OR(INDEX('×入力'!$A$1:$L$1300,987+BX$3,2+BX$2)&lt;&gt;"",INDEX('×入力'!$A$1:$L$1300,986,2+BX$2)&lt;&gt;"",INDEX('×入力'!$A$1:$L$1300,987+BX$3,1)&lt;&gt;""),1,0),0)</f>
        <v/>
      </c>
      <c r="BY45">
        <f>IF(BY$4=1,IF(OR(INDEX('×入力'!$A$1:$L$1300,987+BY$3,2+BY$2)&lt;&gt;"",INDEX('×入力'!$A$1:$L$1300,986,2+BY$2)&lt;&gt;"",INDEX('×入力'!$A$1:$L$1300,987+BY$3,1)&lt;&gt;""),1,0),0)</f>
        <v/>
      </c>
      <c r="BZ45">
        <f>IF(BZ$4=1,IF(OR(INDEX('×入力'!$A$1:$L$1300,987+BZ$3,2+BZ$2)&lt;&gt;"",INDEX('×入力'!$A$1:$L$1300,986,2+BZ$2)&lt;&gt;"",INDEX('×入力'!$A$1:$L$1300,987+BZ$3,1)&lt;&gt;""),1,0),0)</f>
        <v/>
      </c>
      <c r="CA45">
        <f>IF(CA$4=1,IF(OR(INDEX('×入力'!$A$1:$L$1300,987+CA$3,2+CA$2)&lt;&gt;"",INDEX('×入力'!$A$1:$L$1300,986,2+CA$2)&lt;&gt;"",INDEX('×入力'!$A$1:$L$1300,987+CA$3,1)&lt;&gt;""),1,0),0)</f>
        <v/>
      </c>
      <c r="CB45">
        <f>IF(CB$4=1,IF(OR(INDEX('×入力'!$A$1:$L$1300,987+CB$3,2+CB$2)&lt;&gt;"",INDEX('×入力'!$A$1:$L$1300,986,2+CB$2)&lt;&gt;"",INDEX('×入力'!$A$1:$L$1300,987+CB$3,1)&lt;&gt;""),1,0),0)</f>
        <v/>
      </c>
      <c r="CC45">
        <f>IF(CC$4=1,IF(OR(INDEX('×入力'!$A$1:$L$1300,987+CC$3,2+CC$2)&lt;&gt;"",INDEX('×入力'!$A$1:$L$1300,986,2+CC$2)&lt;&gt;"",INDEX('×入力'!$A$1:$L$1300,987+CC$3,1)&lt;&gt;""),1,0),0)</f>
        <v/>
      </c>
      <c r="CD45">
        <f>IF(CD$4=1,IF(OR(INDEX('×入力'!$A$1:$L$1300,987+CD$3,2+CD$2)&lt;&gt;"",INDEX('×入力'!$A$1:$L$1300,986,2+CD$2)&lt;&gt;"",INDEX('×入力'!$A$1:$L$1300,987+CD$3,1)&lt;&gt;""),1,0),0)</f>
        <v/>
      </c>
      <c r="CE45">
        <f>IF(CE$4=1,IF(OR(INDEX('×入力'!$A$1:$L$1300,987+CE$3,2+CE$2)&lt;&gt;"",INDEX('×入力'!$A$1:$L$1300,986,2+CE$2)&lt;&gt;"",INDEX('×入力'!$A$1:$L$1300,987+CE$3,1)&lt;&gt;""),1,0),0)</f>
        <v/>
      </c>
      <c r="CF45">
        <f>IF(CF$4=1,IF(OR(INDEX('×入力'!$A$1:$L$1300,987+CF$3,2+CF$2)&lt;&gt;"",INDEX('×入力'!$A$1:$L$1300,986,2+CF$2)&lt;&gt;"",INDEX('×入力'!$A$1:$L$1300,987+CF$3,1)&lt;&gt;""),1,0),0)</f>
        <v/>
      </c>
      <c r="CG45">
        <f>IF(CG$4=1,IF(OR(INDEX('×入力'!$A$1:$L$1300,987+CG$3,2+CG$2)&lt;&gt;"",INDEX('×入力'!$A$1:$L$1300,986,2+CG$2)&lt;&gt;"",INDEX('×入力'!$A$1:$L$1300,987+CG$3,1)&lt;&gt;""),1,0),0)</f>
        <v/>
      </c>
      <c r="CH45">
        <f>IF(CH$4=1,IF(OR(INDEX('×入力'!$A$1:$L$1300,987+CH$3,2+CH$2)&lt;&gt;"",INDEX('×入力'!$A$1:$L$1300,986,2+CH$2)&lt;&gt;"",INDEX('×入力'!$A$1:$L$1300,987+CH$3,1)&lt;&gt;""),1,0),0)</f>
        <v/>
      </c>
      <c r="CI45">
        <f>IF(CI$4=1,IF(OR(INDEX('×入力'!$A$1:$L$1300,987+CI$3,2+CI$2)&lt;&gt;"",INDEX('×入力'!$A$1:$L$1300,986,2+CI$2)&lt;&gt;"",INDEX('×入力'!$A$1:$L$1300,987+CI$3,1)&lt;&gt;""),1,0),0)</f>
        <v/>
      </c>
      <c r="CJ45">
        <f>IF(CJ$4=1,IF(OR(INDEX('×入力'!$A$1:$L$1300,987+CJ$3,2+CJ$2)&lt;&gt;"",INDEX('×入力'!$A$1:$L$1300,986,2+CJ$2)&lt;&gt;"",INDEX('×入力'!$A$1:$L$1300,987+CJ$3,1)&lt;&gt;""),1,0),0)</f>
        <v/>
      </c>
      <c r="CK45">
        <f>IF(CK$4=1,IF(OR(INDEX('×入力'!$A$1:$L$1300,987+CK$3,2+CK$2)&lt;&gt;"",INDEX('×入力'!$A$1:$L$1300,986,2+CK$2)&lt;&gt;"",INDEX('×入力'!$A$1:$L$1300,987+CK$3,1)&lt;&gt;""),1,0),0)</f>
        <v/>
      </c>
      <c r="CL45">
        <f>IF(CL$4=1,IF(OR(INDEX('×入力'!$A$1:$L$1300,987+CL$3,2+CL$2)&lt;&gt;"",INDEX('×入力'!$A$1:$L$1300,986,2+CL$2)&lt;&gt;"",INDEX('×入力'!$A$1:$L$1300,987+CL$3,1)&lt;&gt;""),1,0),0)</f>
        <v/>
      </c>
      <c r="CM45">
        <f>IF(CM$4=1,IF(OR(INDEX('×入力'!$A$1:$L$1300,987+CM$3,2+CM$2)&lt;&gt;"",INDEX('×入力'!$A$1:$L$1300,986,2+CM$2)&lt;&gt;"",INDEX('×入力'!$A$1:$L$1300,987+CM$3,1)&lt;&gt;""),1,0),0)</f>
        <v/>
      </c>
      <c r="CN45">
        <f>IF(CN$4=1,IF(OR(INDEX('×入力'!$A$1:$L$1300,987+CN$3,2+CN$2)&lt;&gt;"",INDEX('×入力'!$A$1:$L$1300,986,2+CN$2)&lt;&gt;"",INDEX('×入力'!$A$1:$L$1300,987+CN$3,1)&lt;&gt;""),1,0),0)</f>
        <v/>
      </c>
      <c r="CO45">
        <f>IF(CO$4=1,IF(OR(INDEX('×入力'!$A$1:$L$1300,987+CO$3,2+CO$2)&lt;&gt;"",INDEX('×入力'!$A$1:$L$1300,986,2+CO$2)&lt;&gt;"",INDEX('×入力'!$A$1:$L$1300,987+CO$3,1)&lt;&gt;""),1,0),0)</f>
        <v/>
      </c>
      <c r="CP45">
        <f>IF(CP$4=1,IF(OR(INDEX('×入力'!$A$1:$L$1300,987+CP$3,2+CP$2)&lt;&gt;"",INDEX('×入力'!$A$1:$L$1300,986,2+CP$2)&lt;&gt;"",INDEX('×入力'!$A$1:$L$1300,987+CP$3,1)&lt;&gt;""),1,0),0)</f>
        <v/>
      </c>
      <c r="CQ45">
        <f>IF(CQ$4=1,IF(OR(INDEX('×入力'!$A$1:$L$1300,987+CQ$3,2+CQ$2)&lt;&gt;"",INDEX('×入力'!$A$1:$L$1300,986,2+CQ$2)&lt;&gt;"",INDEX('×入力'!$A$1:$L$1300,987+CQ$3,1)&lt;&gt;""),1,0),0)</f>
        <v/>
      </c>
      <c r="CR45">
        <f>IF(CR$4=1,IF(OR(INDEX('×入力'!$A$1:$L$1300,987+CR$3,2+CR$2)&lt;&gt;"",INDEX('×入力'!$A$1:$L$1300,986,2+CR$2)&lt;&gt;"",INDEX('×入力'!$A$1:$L$1300,987+CR$3,1)&lt;&gt;""),1,0),0)</f>
        <v/>
      </c>
      <c r="CS45">
        <f>IF(CS$4=1,IF(OR(INDEX('×入力'!$A$1:$L$1300,987+CS$3,2+CS$2)&lt;&gt;"",INDEX('×入力'!$A$1:$L$1300,986,2+CS$2)&lt;&gt;"",INDEX('×入力'!$A$1:$L$1300,987+CS$3,1)&lt;&gt;""),1,0),0)</f>
        <v/>
      </c>
      <c r="CT45">
        <f>IF(CT$4=1,IF(OR(INDEX('×入力'!$A$1:$L$1300,987+CT$3,2+CT$2)&lt;&gt;"",INDEX('×入力'!$A$1:$L$1300,986,2+CT$2)&lt;&gt;"",INDEX('×入力'!$A$1:$L$1300,987+CT$3,1)&lt;&gt;""),1,0),0)</f>
        <v/>
      </c>
      <c r="CU45">
        <f>IF(CU$4=1,IF(OR(INDEX('×入力'!$A$1:$L$1300,987+CU$3,2+CU$2)&lt;&gt;"",INDEX('×入力'!$A$1:$L$1300,986,2+CU$2)&lt;&gt;"",INDEX('×入力'!$A$1:$L$1300,987+CU$3,1)&lt;&gt;""),1,0),0)</f>
        <v/>
      </c>
      <c r="CV45">
        <f>IF(CV$4=1,IF(OR(INDEX('×入力'!$A$1:$L$1300,987+CV$3,2+CV$2)&lt;&gt;"",INDEX('×入力'!$A$1:$L$1300,986,2+CV$2)&lt;&gt;"",INDEX('×入力'!$A$1:$L$1300,987+CV$3,1)&lt;&gt;""),1,0),0)</f>
        <v/>
      </c>
      <c r="CW45">
        <f>IF(CW$4=1,IF(OR(INDEX('×入力'!$A$1:$L$1300,987+CW$3,2+CW$2)&lt;&gt;"",INDEX('×入力'!$A$1:$L$1300,986,2+CW$2)&lt;&gt;"",INDEX('×入力'!$A$1:$L$1300,987+CW$3,1)&lt;&gt;""),1,0),0)</f>
        <v/>
      </c>
      <c r="CX45">
        <f>IF(CX$4=1,IF(OR(INDEX('×入力'!$A$1:$L$1300,987+CX$3,2+CX$2)&lt;&gt;"",INDEX('×入力'!$A$1:$L$1300,986,2+CX$2)&lt;&gt;"",INDEX('×入力'!$A$1:$L$1300,987+CX$3,1)&lt;&gt;""),1,0),0)</f>
        <v/>
      </c>
      <c r="CY45">
        <f>IF(CY$4=1,IF(OR(INDEX('×入力'!$A$1:$L$1300,987+CY$3,2+CY$2)&lt;&gt;"",INDEX('×入力'!$A$1:$L$1300,986,2+CY$2)&lt;&gt;"",INDEX('×入力'!$A$1:$L$1300,987+CY$3,1)&lt;&gt;""),1,0),0)</f>
        <v/>
      </c>
      <c r="CZ45">
        <f>IF(CZ$4=1,IF(OR(INDEX('×入力'!$A$1:$L$1300,987+CZ$3,2+CZ$2)&lt;&gt;"",INDEX('×入力'!$A$1:$L$1300,986,2+CZ$2)&lt;&gt;"",INDEX('×入力'!$A$1:$L$1300,987+CZ$3,1)&lt;&gt;""),1,0),0)</f>
        <v/>
      </c>
      <c r="DA45">
        <f>IF(DA$4=1,IF(OR(INDEX('×入力'!$A$1:$L$1300,987+DA$3,2+DA$2)&lt;&gt;"",INDEX('×入力'!$A$1:$L$1300,986,2+DA$2)&lt;&gt;"",INDEX('×入力'!$A$1:$L$1300,987+DA$3,1)&lt;&gt;""),1,0),0)</f>
        <v/>
      </c>
      <c r="DB45">
        <f>IF(DB$4=1,IF(OR(INDEX('×入力'!$A$1:$L$1300,987+DB$3,2+DB$2)&lt;&gt;"",INDEX('×入力'!$A$1:$L$1300,986,2+DB$2)&lt;&gt;"",INDEX('×入力'!$A$1:$L$1300,987+DB$3,1)&lt;&gt;""),1,0),0)</f>
        <v/>
      </c>
      <c r="DC45">
        <f>IF(DC$4=1,IF(OR(INDEX('×入力'!$A$1:$L$1300,987+DC$3,2+DC$2)&lt;&gt;"",INDEX('×入力'!$A$1:$L$1300,986,2+DC$2)&lt;&gt;"",INDEX('×入力'!$A$1:$L$1300,987+DC$3,1)&lt;&gt;""),1,0),0)</f>
        <v/>
      </c>
      <c r="DD45">
        <f>IF(DD$4=1,IF(OR(INDEX('×入力'!$A$1:$L$1300,987+DD$3,2+DD$2)&lt;&gt;"",INDEX('×入力'!$A$1:$L$1300,986,2+DD$2)&lt;&gt;"",INDEX('×入力'!$A$1:$L$1300,987+DD$3,1)&lt;&gt;""),1,0),0)</f>
        <v/>
      </c>
      <c r="DE45">
        <f>IF(DE$4=1,IF(OR(INDEX('×入力'!$A$1:$L$1300,987+DE$3,2+DE$2)&lt;&gt;"",INDEX('×入力'!$A$1:$L$1300,986,2+DE$2)&lt;&gt;"",INDEX('×入力'!$A$1:$L$1300,987+DE$3,1)&lt;&gt;""),1,0),0)</f>
        <v/>
      </c>
      <c r="DF45">
        <f>IF(DF$4=1,IF(OR(INDEX('×入力'!$A$1:$L$1300,987+DF$3,2+DF$2)&lt;&gt;"",INDEX('×入力'!$A$1:$L$1300,986,2+DF$2)&lt;&gt;"",INDEX('×入力'!$A$1:$L$1300,987+DF$3,1)&lt;&gt;""),1,0),0)</f>
        <v/>
      </c>
      <c r="DG45">
        <f>IF(DG$4=1,IF(OR(INDEX('×入力'!$A$1:$L$1300,987+DG$3,2+DG$2)&lt;&gt;"",INDEX('×入力'!$A$1:$L$1300,986,2+DG$2)&lt;&gt;"",INDEX('×入力'!$A$1:$L$1300,987+DG$3,1)&lt;&gt;""),1,0),0)</f>
        <v/>
      </c>
      <c r="DH45">
        <f>IF(DH$4=1,IF(OR(INDEX('×入力'!$A$1:$L$1300,987+DH$3,2+DH$2)&lt;&gt;"",INDEX('×入力'!$A$1:$L$1300,986,2+DH$2)&lt;&gt;"",INDEX('×入力'!$A$1:$L$1300,987+DH$3,1)&lt;&gt;""),1,0),0)</f>
        <v/>
      </c>
      <c r="DI45">
        <f>IF(DI$4=1,IF(OR(INDEX('×入力'!$A$1:$L$1300,987+DI$3,2+DI$2)&lt;&gt;"",INDEX('×入力'!$A$1:$L$1300,986,2+DI$2)&lt;&gt;"",INDEX('×入力'!$A$1:$L$1300,987+DI$3,1)&lt;&gt;""),1,0),0)</f>
        <v/>
      </c>
      <c r="DJ45">
        <f>IF(DJ$4=1,IF(OR(INDEX('×入力'!$A$1:$L$1300,987+DJ$3,2+DJ$2)&lt;&gt;"",INDEX('×入力'!$A$1:$L$1300,986,2+DJ$2)&lt;&gt;"",INDEX('×入力'!$A$1:$L$1300,987+DJ$3,1)&lt;&gt;""),1,0),0)</f>
        <v/>
      </c>
      <c r="DK45">
        <f>IF(DK$4=1,IF(OR(INDEX('×入力'!$A$1:$L$1300,987+DK$3,2+DK$2)&lt;&gt;"",INDEX('×入力'!$A$1:$L$1300,986,2+DK$2)&lt;&gt;"",INDEX('×入力'!$A$1:$L$1300,987+DK$3,1)&lt;&gt;""),1,0),0)</f>
        <v/>
      </c>
      <c r="DL45">
        <f>IF(DL$4=1,IF(OR(INDEX('×入力'!$A$1:$L$1300,987+DL$3,2+DL$2)&lt;&gt;"",INDEX('×入力'!$A$1:$L$1300,986,2+DL$2)&lt;&gt;"",INDEX('×入力'!$A$1:$L$1300,987+DL$3,1)&lt;&gt;""),1,0),0)</f>
        <v/>
      </c>
      <c r="DM45">
        <f>IF(DM$4=1,IF(OR(INDEX('×入力'!$A$1:$L$1300,987+DM$3,2+DM$2)&lt;&gt;"",INDEX('×入力'!$A$1:$L$1300,986,2+DM$2)&lt;&gt;"",INDEX('×入力'!$A$1:$L$1300,987+DM$3,1)&lt;&gt;""),1,0),0)</f>
        <v/>
      </c>
      <c r="DN45">
        <f>IF(DN$4=1,IF(OR(INDEX('×入力'!$A$1:$L$1300,987+DN$3,2+DN$2)&lt;&gt;"",INDEX('×入力'!$A$1:$L$1300,986,2+DN$2)&lt;&gt;"",INDEX('×入力'!$A$1:$L$1300,987+DN$3,1)&lt;&gt;""),1,0),0)</f>
        <v/>
      </c>
      <c r="DO45">
        <f>IF(DO$4=1,IF(OR(INDEX('×入力'!$A$1:$L$1300,987+DO$3,2+DO$2)&lt;&gt;"",INDEX('×入力'!$A$1:$L$1300,986,2+DO$2)&lt;&gt;"",INDEX('×入力'!$A$1:$L$1300,987+DO$3,1)&lt;&gt;""),1,0),0)</f>
        <v/>
      </c>
      <c r="DP45">
        <f>IF(DP$4=1,IF(OR(INDEX('×入力'!$A$1:$L$1300,987+DP$3,2+DP$2)&lt;&gt;"",INDEX('×入力'!$A$1:$L$1300,986,2+DP$2)&lt;&gt;"",INDEX('×入力'!$A$1:$L$1300,987+DP$3,1)&lt;&gt;""),1,0),0)</f>
        <v/>
      </c>
      <c r="DQ45">
        <f>IF(DQ$4=1,IF(OR(INDEX('×入力'!$A$1:$L$1300,987+DQ$3,2+DQ$2)&lt;&gt;"",INDEX('×入力'!$A$1:$L$1300,986,2+DQ$2)&lt;&gt;"",INDEX('×入力'!$A$1:$L$1300,987+DQ$3,1)&lt;&gt;""),1,0),0)</f>
        <v/>
      </c>
      <c r="DR45">
        <f>IF(DR$4=1,IF(OR(INDEX('×入力'!$A$1:$L$1300,987+DR$3,2+DR$2)&lt;&gt;"",INDEX('×入力'!$A$1:$L$1300,986,2+DR$2)&lt;&gt;"",INDEX('×入力'!$A$1:$L$1300,987+DR$3,1)&lt;&gt;""),1,0),0)</f>
        <v/>
      </c>
      <c r="DS45">
        <f>IF(DS$4=1,IF(OR(INDEX('×入力'!$A$1:$L$1300,987+DS$3,2+DS$2)&lt;&gt;"",INDEX('×入力'!$A$1:$L$1300,986,2+DS$2)&lt;&gt;"",INDEX('×入力'!$A$1:$L$1300,987+DS$3,1)&lt;&gt;""),1,0),0)</f>
        <v/>
      </c>
      <c r="DT45">
        <f>IF(DT$4=1,IF(OR(INDEX('×入力'!$A$1:$L$1300,987+DT$3,2+DT$2)&lt;&gt;"",INDEX('×入力'!$A$1:$L$1300,986,2+DT$2)&lt;&gt;"",INDEX('×入力'!$A$1:$L$1300,987+DT$3,1)&lt;&gt;""),1,0),0)</f>
        <v/>
      </c>
      <c r="DU45">
        <f>IF(DU$4=1,IF(OR(INDEX('×入力'!$A$1:$L$1300,987+DU$3,2+DU$2)&lt;&gt;"",INDEX('×入力'!$A$1:$L$1300,986,2+DU$2)&lt;&gt;"",INDEX('×入力'!$A$1:$L$1300,987+DU$3,1)&lt;&gt;""),1,0),0)</f>
        <v/>
      </c>
      <c r="DV45">
        <f>IF(DV$4=1,IF(OR(INDEX('×入力'!$A$1:$L$1300,987+DV$3,2+DV$2)&lt;&gt;"",INDEX('×入力'!$A$1:$L$1300,986,2+DV$2)&lt;&gt;"",INDEX('×入力'!$A$1:$L$1300,987+DV$3,1)&lt;&gt;""),1,0),0)</f>
        <v/>
      </c>
      <c r="DW45">
        <f>IF(DW$4=1,IF(OR(INDEX('×入力'!$A$1:$L$1300,987+DW$3,2+DW$2)&lt;&gt;"",INDEX('×入力'!$A$1:$L$1300,986,2+DW$2)&lt;&gt;"",INDEX('×入力'!$A$1:$L$1300,987+DW$3,1)&lt;&gt;""),1,0),0)</f>
        <v/>
      </c>
      <c r="DX45">
        <f>IF(DX$4=1,IF(OR(INDEX('×入力'!$A$1:$L$1300,987+DX$3,2+DX$2)&lt;&gt;"",INDEX('×入力'!$A$1:$L$1300,986,2+DX$2)&lt;&gt;"",INDEX('×入力'!$A$1:$L$1300,987+DX$3,1)&lt;&gt;""),1,0),0)</f>
        <v/>
      </c>
      <c r="DY45">
        <f>IF(DY$4=1,IF(OR(INDEX('×入力'!$A$1:$L$1300,987+DY$3,2+DY$2)&lt;&gt;"",INDEX('×入力'!$A$1:$L$1300,986,2+DY$2)&lt;&gt;"",INDEX('×入力'!$A$1:$L$1300,987+DY$3,1)&lt;&gt;""),1,0),0)</f>
        <v/>
      </c>
      <c r="DZ45">
        <f>IF(DZ$4=1,IF(OR(INDEX('×入力'!$A$1:$L$1300,987+DZ$3,2+DZ$2)&lt;&gt;"",INDEX('×入力'!$A$1:$L$1300,986,2+DZ$2)&lt;&gt;"",INDEX('×入力'!$A$1:$L$1300,987+DZ$3,1)&lt;&gt;""),1,0),0)</f>
        <v/>
      </c>
      <c r="EA45">
        <f>IF(EA$4=1,IF(OR(INDEX('×入力'!$A$1:$L$1300,987+EA$3,2+EA$2)&lt;&gt;"",INDEX('×入力'!$A$1:$L$1300,986,2+EA$2)&lt;&gt;"",INDEX('×入力'!$A$1:$L$1300,987+EA$3,1)&lt;&gt;""),1,0),0)</f>
        <v/>
      </c>
      <c r="EB45">
        <f>IF(EB$4=1,IF(OR(INDEX('×入力'!$A$1:$L$1300,987+EB$3,2+EB$2)&lt;&gt;"",INDEX('×入力'!$A$1:$L$1300,986,2+EB$2)&lt;&gt;"",INDEX('×入力'!$A$1:$L$1300,987+EB$3,1)&lt;&gt;""),1,0),0)</f>
        <v/>
      </c>
      <c r="EC45">
        <f>IF(EC$4=1,IF(OR(INDEX('×入力'!$A$1:$L$1300,987+EC$3,2+EC$2)&lt;&gt;"",INDEX('×入力'!$A$1:$L$1300,986,2+EC$2)&lt;&gt;"",INDEX('×入力'!$A$1:$L$1300,987+EC$3,1)&lt;&gt;""),1,0),0)</f>
        <v/>
      </c>
      <c r="ED45">
        <f>IF(ED$4=1,IF(OR(INDEX('×入力'!$A$1:$L$1300,987+ED$3,2+ED$2)&lt;&gt;"",INDEX('×入力'!$A$1:$L$1300,986,2+ED$2)&lt;&gt;"",INDEX('×入力'!$A$1:$L$1300,987+ED$3,1)&lt;&gt;""),1,0),0)</f>
        <v/>
      </c>
      <c r="EE45">
        <f>IF(EE$4=1,IF(OR(INDEX('×入力'!$A$1:$L$1300,987+EE$3,2+EE$2)&lt;&gt;"",INDEX('×入力'!$A$1:$L$1300,986,2+EE$2)&lt;&gt;"",INDEX('×入力'!$A$1:$L$1300,987+EE$3,1)&lt;&gt;""),1,0),0)</f>
        <v/>
      </c>
      <c r="EF45">
        <f>IF(EF$4=1,IF(OR(INDEX('×入力'!$A$1:$L$1300,987+EF$3,2+EF$2)&lt;&gt;"",INDEX('×入力'!$A$1:$L$1300,986,2+EF$2)&lt;&gt;"",INDEX('×入力'!$A$1:$L$1300,987+EF$3,1)&lt;&gt;""),1,0),0)</f>
        <v/>
      </c>
      <c r="EG45">
        <f>IF(EG$4=1,IF(OR(INDEX('×入力'!$A$1:$L$1300,987+EG$3,2+EG$2)&lt;&gt;"",INDEX('×入力'!$A$1:$L$1300,986,2+EG$2)&lt;&gt;"",INDEX('×入力'!$A$1:$L$1300,987+EG$3,1)&lt;&gt;""),1,0),0)</f>
        <v/>
      </c>
      <c r="EH45">
        <f>IF(EH$4=1,IF(OR(INDEX('×入力'!$A$1:$L$1300,987+EH$3,2+EH$2)&lt;&gt;"",INDEX('×入力'!$A$1:$L$1300,986,2+EH$2)&lt;&gt;"",INDEX('×入力'!$A$1:$L$1300,987+EH$3,1)&lt;&gt;""),1,0),0)</f>
        <v/>
      </c>
      <c r="EI45">
        <f>IF(EI$4=1,IF(OR(INDEX('×入力'!$A$1:$L$1300,987+EI$3,2+EI$2)&lt;&gt;"",INDEX('×入力'!$A$1:$L$1300,986,2+EI$2)&lt;&gt;"",INDEX('×入力'!$A$1:$L$1300,987+EI$3,1)&lt;&gt;""),1,0),0)</f>
        <v/>
      </c>
      <c r="EJ45">
        <f>IF(EJ$4=1,IF(OR(INDEX('×入力'!$A$1:$L$1300,987+EJ$3,2+EJ$2)&lt;&gt;"",INDEX('×入力'!$A$1:$L$1300,986,2+EJ$2)&lt;&gt;"",INDEX('×入力'!$A$1:$L$1300,987+EJ$3,1)&lt;&gt;""),1,0),0)</f>
        <v/>
      </c>
      <c r="EK45">
        <f>IF(EK$4=1,IF(OR(INDEX('×入力'!$A$1:$L$1300,987+EK$3,2+EK$2)&lt;&gt;"",INDEX('×入力'!$A$1:$L$1300,986,2+EK$2)&lt;&gt;"",INDEX('×入力'!$A$1:$L$1300,987+EK$3,1)&lt;&gt;""),1,0),0)</f>
        <v/>
      </c>
      <c r="EL45">
        <f>IF(EL$4=1,IF(OR(INDEX('×入力'!$A$1:$L$1300,987+EL$3,2+EL$2)&lt;&gt;"",INDEX('×入力'!$A$1:$L$1300,986,2+EL$2)&lt;&gt;"",INDEX('×入力'!$A$1:$L$1300,987+EL$3,1)&lt;&gt;""),1,0),0)</f>
        <v/>
      </c>
      <c r="EM45">
        <f>IF(EM$4=1,IF(OR(INDEX('×入力'!$A$1:$L$1300,987+EM$3,2+EM$2)&lt;&gt;"",INDEX('×入力'!$A$1:$L$1300,986,2+EM$2)&lt;&gt;"",INDEX('×入力'!$A$1:$L$1300,987+EM$3,1)&lt;&gt;""),1,0),0)</f>
        <v/>
      </c>
      <c r="EN45">
        <f>IF(EN$4=1,IF(OR(INDEX('×入力'!$A$1:$L$1300,987+EN$3,2+EN$2)&lt;&gt;"",INDEX('×入力'!$A$1:$L$1300,986,2+EN$2)&lt;&gt;"",INDEX('×入力'!$A$1:$L$1300,987+EN$3,1)&lt;&gt;""),1,0),0)</f>
        <v/>
      </c>
      <c r="EO45">
        <f>IF(EO$4=1,IF(OR(INDEX('×入力'!$A$1:$L$1300,987+EO$3,2+EO$2)&lt;&gt;"",INDEX('×入力'!$A$1:$L$1300,986,2+EO$2)&lt;&gt;"",INDEX('×入力'!$A$1:$L$1300,987+EO$3,1)&lt;&gt;""),1,0),0)</f>
        <v/>
      </c>
      <c r="EP45">
        <f>IF(EP$4=1,IF(OR(INDEX('×入力'!$A$1:$L$1300,987+EP$3,2+EP$2)&lt;&gt;"",INDEX('×入力'!$A$1:$L$1300,986,2+EP$2)&lt;&gt;"",INDEX('×入力'!$A$1:$L$1300,987+EP$3,1)&lt;&gt;""),1,0),0)</f>
        <v/>
      </c>
      <c r="EQ45">
        <f>IF(EQ$4=1,IF(OR(INDEX('×入力'!$A$1:$L$1300,987+EQ$3,2+EQ$2)&lt;&gt;"",INDEX('×入力'!$A$1:$L$1300,986,2+EQ$2)&lt;&gt;"",INDEX('×入力'!$A$1:$L$1300,987+EQ$3,1)&lt;&gt;""),1,0),0)</f>
        <v/>
      </c>
      <c r="HA45">
        <f>MAX(0,IT45)</f>
        <v/>
      </c>
      <c r="HB45">
        <f>IF(HA45=0,0,INDEX($D$2:$EQ$2,HA45))</f>
        <v/>
      </c>
      <c r="HC45">
        <f>IF(HA45=0,0,INDEX($D$3:$EQ$3,HA45))</f>
        <v/>
      </c>
      <c r="HD45">
        <f>MAX(0,IY45)</f>
        <v/>
      </c>
      <c r="HE45">
        <f>IF(HD45=0,0,INDEX($D$2:$EQ$2,HD45))</f>
        <v/>
      </c>
      <c r="HF45">
        <f>IF(HD45=0,0,INDEX($D$3:$EQ$3,HD45))</f>
        <v/>
      </c>
      <c r="HG45">
        <f>MAX(0,IZ45)</f>
        <v/>
      </c>
      <c r="HH45">
        <f>IF(HG45=0,0,INDEX($D$2:$EQ$2,HG45))</f>
        <v/>
      </c>
      <c r="HI45">
        <f>IF(HG45=0,0,INDEX($D$3:$EQ$3,HG45))</f>
        <v/>
      </c>
      <c r="HJ45">
        <f>IF(AND(HA45&gt;0,HC45&gt;1,OR(HC45-1&lt;&gt;$A$3,$A$4=0)),HA45-1,-1)</f>
        <v/>
      </c>
      <c r="HK45">
        <f>IF(AND(HA45&gt;0,HC45&lt;24,OR(HC45&lt;&gt;$A$3,$A$4=0)),HA45+1,-1)</f>
        <v/>
      </c>
      <c r="HL45">
        <f>IF(AND(HD45&gt;0,HF45&gt;1,OR(HF45-1&lt;&gt;$A$3,$A$4=0)),HD45-1,-1)</f>
        <v/>
      </c>
      <c r="HM45">
        <f>IF(AND(HD45&gt;0,HF45&lt;24,OR(HF45&lt;&gt;$A$3,$A$4=0)),HD45+1,-1)</f>
        <v/>
      </c>
      <c r="HN45">
        <f>IF(AND(HG45&gt;0,HI45&gt;1,OR(HI45-1&lt;&gt;$A$3,$A$4=0)),HG45-1,-1)</f>
        <v/>
      </c>
      <c r="HO45">
        <f>IF(AND(HG45&gt;0,HI45&lt;24,OR(HI45&lt;&gt;$A$3,$A$4=0)),HG45+1,-1)</f>
        <v/>
      </c>
      <c r="IK45">
        <f>IFERROR(INDEX('calcB'!$C$3:$C$47,MATCH(A45,'calcB'!$B$3:$B$47,0)),0)</f>
        <v/>
      </c>
      <c r="IL45">
        <f>IF(AND(C45=1,IK45=0,calcA!$A$6&gt;0),1,0)</f>
        <v/>
      </c>
      <c r="IM45">
        <f>SUMPRODUCT(D95:EQ95*(1-$D$7:$EQ$7))</f>
        <v/>
      </c>
      <c r="IN45">
        <f>SUM(D45:EQ45)</f>
        <v/>
      </c>
      <c r="IO45">
        <f>IF(B45="",0,IF(COUNTIF('調整・決定'!$C$6:$H$29,B45)=1,SUMPRODUCT(('調整・決定'!$C$6:$H$29=B45)*((COLUMN('調整・決定'!$C$6:$H$29)-3)*24+ROW('調整・決定'!$C$6:$H$29)-5)),0))</f>
        <v/>
      </c>
      <c r="IP45">
        <f>IFERROR(MATCH('名簿'!C40,{"早い時刻","遅い時刻","早い日","遅い日"},0),0)</f>
        <v/>
      </c>
      <c r="IQ45">
        <f>IF('名簿'!D40="必ず空けたい",2,IF('名簿'!D40="出来れば空けたい",1,0))</f>
        <v/>
      </c>
      <c r="IR45">
        <f>IFERROR(INDEX('calcC'!$C$3:$C$47,MATCH(A45,'calcC'!$B$3:$B$47,0)),0)</f>
        <v/>
      </c>
      <c r="IS45">
        <f>IF(AND(C45=1,IR45=0,calcA!$A$6&gt;0),1,0)</f>
        <v/>
      </c>
      <c r="IT45">
        <f>IF(OR('名簿'!G40="",'名簿'!H40=""),0,IFERROR((MATCH('名簿'!G40,'設定'!$E$11:$E$16,0)-1)*24+MATCH('名簿'!H40,'設定'!$I$11:$I$34,0),-1))</f>
        <v/>
      </c>
      <c r="IV45">
        <f>IF(OR(JF45=0,IO45=0),1,IF(OR(IF(IT45&gt;0,AND(INDEX($D$2:$EQ$2,IO45)=INDEX($D$2:$EQ$2,IT45),OR(AND(IO45=IT45+1,OR(INDEX($D$3:$EQ$3,IT45)&lt;&gt;$A$3,$A$4=0)),AND(IO45=IT45-1,OR(INDEX($D$3:$EQ$3,IO45)&lt;&gt;$A$3,$A$4=0)))),FALSE),IF(IY45&gt;0,AND(INDEX($D$2:$EQ$2,IO45)=INDEX($D$2:$EQ$2,IY45),OR(AND(IO45=IY45+1,OR(INDEX($D$3:$EQ$3,IY45)&lt;&gt;$A$3,$A$4=0)),AND(IO45=IY45-1,OR(INDEX($D$3:$EQ$3,IO45)&lt;&gt;$A$3,$A$4=0)))),FALSE),IF(IZ45&gt;0,AND(INDEX($D$2:$EQ$2,IO45)=INDEX($D$2:$EQ$2,IZ45),OR(AND(IO45=IZ45+1,OR(INDEX($D$3:$EQ$3,IZ45)&lt;&gt;$A$3,$A$4=0)),AND(IO45=IZ45-1,OR(INDEX($D$3:$EQ$3,IO45)&lt;&gt;$A$3,$A$4=0)))),FALSE)),1,0))</f>
        <v/>
      </c>
      <c r="IW45">
        <f>IF(AND('名簿'!E40&lt;&gt;"",JF45=0),1,0)</f>
        <v/>
      </c>
      <c r="IX45">
        <f>IF('名簿'!D40="空けない",1,0)</f>
        <v/>
      </c>
      <c r="IY45">
        <f>IF(OR('名簿'!J40="",'名簿'!K40=""),0,IFERROR((MATCH('名簿'!J40,'設定'!$E$11:$E$16,0)-1)*24+MATCH('名簿'!K40,'設定'!$I$11:$I$34,0),-1))</f>
        <v/>
      </c>
      <c r="IZ45">
        <f>IF(OR('名簿'!M40="",'名簿'!N40=""),0,IFERROR((MATCH('名簿'!M40,'設定'!$E$11:$E$16,0)-1)*24+MATCH('名簿'!N40,'設定'!$I$11:$I$34,0),-1))</f>
        <v/>
      </c>
      <c r="JC45">
        <f>IF(RIGHT('名簿'!I40,2)="の前",1,IF(RIGHT('名簿'!I40,2)="の後",2,0))</f>
        <v/>
      </c>
      <c r="JD45">
        <f>IF(RIGHT('名簿'!L40,2)="の前",1,IF(RIGHT('名簿'!L40,2)="の後",2,0))</f>
        <v/>
      </c>
      <c r="JE45">
        <f>IF(RIGHT('名簿'!O40,2)="の前",1,IF(RIGHT('名簿'!O40,2)="の後",2,0))</f>
        <v/>
      </c>
      <c r="JF45">
        <f>IF(OR(IT45&gt;0,IY45&gt;0,IZ45&gt;0),1,0)</f>
        <v/>
      </c>
      <c r="JG45">
        <f>IF(OR(IT45&lt;0,IY45&lt;0,IZ45&lt;0),1,0)</f>
        <v/>
      </c>
    </row>
    <row r="46">
      <c r="A46" t="n">
        <v>37</v>
      </c>
      <c r="B46">
        <f>'名簿'!P41</f>
        <v/>
      </c>
      <c r="C46">
        <f>IF(AND(B46&lt;&gt;"",OR('名簿'!Q41="入力済み",'名簿'!Q41="×なし"),IO46=0,COUNTIF('調整・決定'!$C$6:$H$29,B46)=0),1,0)</f>
        <v/>
      </c>
      <c r="D46">
        <f>IF(D$4=1,IF(OR(INDEX('×入力'!$A$1:$L$1300,1015+D$3,2+D$2)&lt;&gt;"",INDEX('×入力'!$A$1:$L$1300,1014,2+D$2)&lt;&gt;"",INDEX('×入力'!$A$1:$L$1300,1015+D$3,1)&lt;&gt;""),1,0),0)</f>
        <v/>
      </c>
      <c r="E46">
        <f>IF(E$4=1,IF(OR(INDEX('×入力'!$A$1:$L$1300,1015+E$3,2+E$2)&lt;&gt;"",INDEX('×入力'!$A$1:$L$1300,1014,2+E$2)&lt;&gt;"",INDEX('×入力'!$A$1:$L$1300,1015+E$3,1)&lt;&gt;""),1,0),0)</f>
        <v/>
      </c>
      <c r="F46">
        <f>IF(F$4=1,IF(OR(INDEX('×入力'!$A$1:$L$1300,1015+F$3,2+F$2)&lt;&gt;"",INDEX('×入力'!$A$1:$L$1300,1014,2+F$2)&lt;&gt;"",INDEX('×入力'!$A$1:$L$1300,1015+F$3,1)&lt;&gt;""),1,0),0)</f>
        <v/>
      </c>
      <c r="G46">
        <f>IF(G$4=1,IF(OR(INDEX('×入力'!$A$1:$L$1300,1015+G$3,2+G$2)&lt;&gt;"",INDEX('×入力'!$A$1:$L$1300,1014,2+G$2)&lt;&gt;"",INDEX('×入力'!$A$1:$L$1300,1015+G$3,1)&lt;&gt;""),1,0),0)</f>
        <v/>
      </c>
      <c r="H46">
        <f>IF(H$4=1,IF(OR(INDEX('×入力'!$A$1:$L$1300,1015+H$3,2+H$2)&lt;&gt;"",INDEX('×入力'!$A$1:$L$1300,1014,2+H$2)&lt;&gt;"",INDEX('×入力'!$A$1:$L$1300,1015+H$3,1)&lt;&gt;""),1,0),0)</f>
        <v/>
      </c>
      <c r="I46">
        <f>IF(I$4=1,IF(OR(INDEX('×入力'!$A$1:$L$1300,1015+I$3,2+I$2)&lt;&gt;"",INDEX('×入力'!$A$1:$L$1300,1014,2+I$2)&lt;&gt;"",INDEX('×入力'!$A$1:$L$1300,1015+I$3,1)&lt;&gt;""),1,0),0)</f>
        <v/>
      </c>
      <c r="J46">
        <f>IF(J$4=1,IF(OR(INDEX('×入力'!$A$1:$L$1300,1015+J$3,2+J$2)&lt;&gt;"",INDEX('×入力'!$A$1:$L$1300,1014,2+J$2)&lt;&gt;"",INDEX('×入力'!$A$1:$L$1300,1015+J$3,1)&lt;&gt;""),1,0),0)</f>
        <v/>
      </c>
      <c r="K46">
        <f>IF(K$4=1,IF(OR(INDEX('×入力'!$A$1:$L$1300,1015+K$3,2+K$2)&lt;&gt;"",INDEX('×入力'!$A$1:$L$1300,1014,2+K$2)&lt;&gt;"",INDEX('×入力'!$A$1:$L$1300,1015+K$3,1)&lt;&gt;""),1,0),0)</f>
        <v/>
      </c>
      <c r="L46">
        <f>IF(L$4=1,IF(OR(INDEX('×入力'!$A$1:$L$1300,1015+L$3,2+L$2)&lt;&gt;"",INDEX('×入力'!$A$1:$L$1300,1014,2+L$2)&lt;&gt;"",INDEX('×入力'!$A$1:$L$1300,1015+L$3,1)&lt;&gt;""),1,0),0)</f>
        <v/>
      </c>
      <c r="M46">
        <f>IF(M$4=1,IF(OR(INDEX('×入力'!$A$1:$L$1300,1015+M$3,2+M$2)&lt;&gt;"",INDEX('×入力'!$A$1:$L$1300,1014,2+M$2)&lt;&gt;"",INDEX('×入力'!$A$1:$L$1300,1015+M$3,1)&lt;&gt;""),1,0),0)</f>
        <v/>
      </c>
      <c r="N46">
        <f>IF(N$4=1,IF(OR(INDEX('×入力'!$A$1:$L$1300,1015+N$3,2+N$2)&lt;&gt;"",INDEX('×入力'!$A$1:$L$1300,1014,2+N$2)&lt;&gt;"",INDEX('×入力'!$A$1:$L$1300,1015+N$3,1)&lt;&gt;""),1,0),0)</f>
        <v/>
      </c>
      <c r="O46">
        <f>IF(O$4=1,IF(OR(INDEX('×入力'!$A$1:$L$1300,1015+O$3,2+O$2)&lt;&gt;"",INDEX('×入力'!$A$1:$L$1300,1014,2+O$2)&lt;&gt;"",INDEX('×入力'!$A$1:$L$1300,1015+O$3,1)&lt;&gt;""),1,0),0)</f>
        <v/>
      </c>
      <c r="P46">
        <f>IF(P$4=1,IF(OR(INDEX('×入力'!$A$1:$L$1300,1015+P$3,2+P$2)&lt;&gt;"",INDEX('×入力'!$A$1:$L$1300,1014,2+P$2)&lt;&gt;"",INDEX('×入力'!$A$1:$L$1300,1015+P$3,1)&lt;&gt;""),1,0),0)</f>
        <v/>
      </c>
      <c r="Q46">
        <f>IF(Q$4=1,IF(OR(INDEX('×入力'!$A$1:$L$1300,1015+Q$3,2+Q$2)&lt;&gt;"",INDEX('×入力'!$A$1:$L$1300,1014,2+Q$2)&lt;&gt;"",INDEX('×入力'!$A$1:$L$1300,1015+Q$3,1)&lt;&gt;""),1,0),0)</f>
        <v/>
      </c>
      <c r="R46">
        <f>IF(R$4=1,IF(OR(INDEX('×入力'!$A$1:$L$1300,1015+R$3,2+R$2)&lt;&gt;"",INDEX('×入力'!$A$1:$L$1300,1014,2+R$2)&lt;&gt;"",INDEX('×入力'!$A$1:$L$1300,1015+R$3,1)&lt;&gt;""),1,0),0)</f>
        <v/>
      </c>
      <c r="S46">
        <f>IF(S$4=1,IF(OR(INDEX('×入力'!$A$1:$L$1300,1015+S$3,2+S$2)&lt;&gt;"",INDEX('×入力'!$A$1:$L$1300,1014,2+S$2)&lt;&gt;"",INDEX('×入力'!$A$1:$L$1300,1015+S$3,1)&lt;&gt;""),1,0),0)</f>
        <v/>
      </c>
      <c r="T46">
        <f>IF(T$4=1,IF(OR(INDEX('×入力'!$A$1:$L$1300,1015+T$3,2+T$2)&lt;&gt;"",INDEX('×入力'!$A$1:$L$1300,1014,2+T$2)&lt;&gt;"",INDEX('×入力'!$A$1:$L$1300,1015+T$3,1)&lt;&gt;""),1,0),0)</f>
        <v/>
      </c>
      <c r="U46">
        <f>IF(U$4=1,IF(OR(INDEX('×入力'!$A$1:$L$1300,1015+U$3,2+U$2)&lt;&gt;"",INDEX('×入力'!$A$1:$L$1300,1014,2+U$2)&lt;&gt;"",INDEX('×入力'!$A$1:$L$1300,1015+U$3,1)&lt;&gt;""),1,0),0)</f>
        <v/>
      </c>
      <c r="V46">
        <f>IF(V$4=1,IF(OR(INDEX('×入力'!$A$1:$L$1300,1015+V$3,2+V$2)&lt;&gt;"",INDEX('×入力'!$A$1:$L$1300,1014,2+V$2)&lt;&gt;"",INDEX('×入力'!$A$1:$L$1300,1015+V$3,1)&lt;&gt;""),1,0),0)</f>
        <v/>
      </c>
      <c r="W46">
        <f>IF(W$4=1,IF(OR(INDEX('×入力'!$A$1:$L$1300,1015+W$3,2+W$2)&lt;&gt;"",INDEX('×入力'!$A$1:$L$1300,1014,2+W$2)&lt;&gt;"",INDEX('×入力'!$A$1:$L$1300,1015+W$3,1)&lt;&gt;""),1,0),0)</f>
        <v/>
      </c>
      <c r="X46">
        <f>IF(X$4=1,IF(OR(INDEX('×入力'!$A$1:$L$1300,1015+X$3,2+X$2)&lt;&gt;"",INDEX('×入力'!$A$1:$L$1300,1014,2+X$2)&lt;&gt;"",INDEX('×入力'!$A$1:$L$1300,1015+X$3,1)&lt;&gt;""),1,0),0)</f>
        <v/>
      </c>
      <c r="Y46">
        <f>IF(Y$4=1,IF(OR(INDEX('×入力'!$A$1:$L$1300,1015+Y$3,2+Y$2)&lt;&gt;"",INDEX('×入力'!$A$1:$L$1300,1014,2+Y$2)&lt;&gt;"",INDEX('×入力'!$A$1:$L$1300,1015+Y$3,1)&lt;&gt;""),1,0),0)</f>
        <v/>
      </c>
      <c r="Z46">
        <f>IF(Z$4=1,IF(OR(INDEX('×入力'!$A$1:$L$1300,1015+Z$3,2+Z$2)&lt;&gt;"",INDEX('×入力'!$A$1:$L$1300,1014,2+Z$2)&lt;&gt;"",INDEX('×入力'!$A$1:$L$1300,1015+Z$3,1)&lt;&gt;""),1,0),0)</f>
        <v/>
      </c>
      <c r="AA46">
        <f>IF(AA$4=1,IF(OR(INDEX('×入力'!$A$1:$L$1300,1015+AA$3,2+AA$2)&lt;&gt;"",INDEX('×入力'!$A$1:$L$1300,1014,2+AA$2)&lt;&gt;"",INDEX('×入力'!$A$1:$L$1300,1015+AA$3,1)&lt;&gt;""),1,0),0)</f>
        <v/>
      </c>
      <c r="AB46">
        <f>IF(AB$4=1,IF(OR(INDEX('×入力'!$A$1:$L$1300,1015+AB$3,2+AB$2)&lt;&gt;"",INDEX('×入力'!$A$1:$L$1300,1014,2+AB$2)&lt;&gt;"",INDEX('×入力'!$A$1:$L$1300,1015+AB$3,1)&lt;&gt;""),1,0),0)</f>
        <v/>
      </c>
      <c r="AC46">
        <f>IF(AC$4=1,IF(OR(INDEX('×入力'!$A$1:$L$1300,1015+AC$3,2+AC$2)&lt;&gt;"",INDEX('×入力'!$A$1:$L$1300,1014,2+AC$2)&lt;&gt;"",INDEX('×入力'!$A$1:$L$1300,1015+AC$3,1)&lt;&gt;""),1,0),0)</f>
        <v/>
      </c>
      <c r="AD46">
        <f>IF(AD$4=1,IF(OR(INDEX('×入力'!$A$1:$L$1300,1015+AD$3,2+AD$2)&lt;&gt;"",INDEX('×入力'!$A$1:$L$1300,1014,2+AD$2)&lt;&gt;"",INDEX('×入力'!$A$1:$L$1300,1015+AD$3,1)&lt;&gt;""),1,0),0)</f>
        <v/>
      </c>
      <c r="AE46">
        <f>IF(AE$4=1,IF(OR(INDEX('×入力'!$A$1:$L$1300,1015+AE$3,2+AE$2)&lt;&gt;"",INDEX('×入力'!$A$1:$L$1300,1014,2+AE$2)&lt;&gt;"",INDEX('×入力'!$A$1:$L$1300,1015+AE$3,1)&lt;&gt;""),1,0),0)</f>
        <v/>
      </c>
      <c r="AF46">
        <f>IF(AF$4=1,IF(OR(INDEX('×入力'!$A$1:$L$1300,1015+AF$3,2+AF$2)&lt;&gt;"",INDEX('×入力'!$A$1:$L$1300,1014,2+AF$2)&lt;&gt;"",INDEX('×入力'!$A$1:$L$1300,1015+AF$3,1)&lt;&gt;""),1,0),0)</f>
        <v/>
      </c>
      <c r="AG46">
        <f>IF(AG$4=1,IF(OR(INDEX('×入力'!$A$1:$L$1300,1015+AG$3,2+AG$2)&lt;&gt;"",INDEX('×入力'!$A$1:$L$1300,1014,2+AG$2)&lt;&gt;"",INDEX('×入力'!$A$1:$L$1300,1015+AG$3,1)&lt;&gt;""),1,0),0)</f>
        <v/>
      </c>
      <c r="AH46">
        <f>IF(AH$4=1,IF(OR(INDEX('×入力'!$A$1:$L$1300,1015+AH$3,2+AH$2)&lt;&gt;"",INDEX('×入力'!$A$1:$L$1300,1014,2+AH$2)&lt;&gt;"",INDEX('×入力'!$A$1:$L$1300,1015+AH$3,1)&lt;&gt;""),1,0),0)</f>
        <v/>
      </c>
      <c r="AI46">
        <f>IF(AI$4=1,IF(OR(INDEX('×入力'!$A$1:$L$1300,1015+AI$3,2+AI$2)&lt;&gt;"",INDEX('×入力'!$A$1:$L$1300,1014,2+AI$2)&lt;&gt;"",INDEX('×入力'!$A$1:$L$1300,1015+AI$3,1)&lt;&gt;""),1,0),0)</f>
        <v/>
      </c>
      <c r="AJ46">
        <f>IF(AJ$4=1,IF(OR(INDEX('×入力'!$A$1:$L$1300,1015+AJ$3,2+AJ$2)&lt;&gt;"",INDEX('×入力'!$A$1:$L$1300,1014,2+AJ$2)&lt;&gt;"",INDEX('×入力'!$A$1:$L$1300,1015+AJ$3,1)&lt;&gt;""),1,0),0)</f>
        <v/>
      </c>
      <c r="AK46">
        <f>IF(AK$4=1,IF(OR(INDEX('×入力'!$A$1:$L$1300,1015+AK$3,2+AK$2)&lt;&gt;"",INDEX('×入力'!$A$1:$L$1300,1014,2+AK$2)&lt;&gt;"",INDEX('×入力'!$A$1:$L$1300,1015+AK$3,1)&lt;&gt;""),1,0),0)</f>
        <v/>
      </c>
      <c r="AL46">
        <f>IF(AL$4=1,IF(OR(INDEX('×入力'!$A$1:$L$1300,1015+AL$3,2+AL$2)&lt;&gt;"",INDEX('×入力'!$A$1:$L$1300,1014,2+AL$2)&lt;&gt;"",INDEX('×入力'!$A$1:$L$1300,1015+AL$3,1)&lt;&gt;""),1,0),0)</f>
        <v/>
      </c>
      <c r="AM46">
        <f>IF(AM$4=1,IF(OR(INDEX('×入力'!$A$1:$L$1300,1015+AM$3,2+AM$2)&lt;&gt;"",INDEX('×入力'!$A$1:$L$1300,1014,2+AM$2)&lt;&gt;"",INDEX('×入力'!$A$1:$L$1300,1015+AM$3,1)&lt;&gt;""),1,0),0)</f>
        <v/>
      </c>
      <c r="AN46">
        <f>IF(AN$4=1,IF(OR(INDEX('×入力'!$A$1:$L$1300,1015+AN$3,2+AN$2)&lt;&gt;"",INDEX('×入力'!$A$1:$L$1300,1014,2+AN$2)&lt;&gt;"",INDEX('×入力'!$A$1:$L$1300,1015+AN$3,1)&lt;&gt;""),1,0),0)</f>
        <v/>
      </c>
      <c r="AO46">
        <f>IF(AO$4=1,IF(OR(INDEX('×入力'!$A$1:$L$1300,1015+AO$3,2+AO$2)&lt;&gt;"",INDEX('×入力'!$A$1:$L$1300,1014,2+AO$2)&lt;&gt;"",INDEX('×入力'!$A$1:$L$1300,1015+AO$3,1)&lt;&gt;""),1,0),0)</f>
        <v/>
      </c>
      <c r="AP46">
        <f>IF(AP$4=1,IF(OR(INDEX('×入力'!$A$1:$L$1300,1015+AP$3,2+AP$2)&lt;&gt;"",INDEX('×入力'!$A$1:$L$1300,1014,2+AP$2)&lt;&gt;"",INDEX('×入力'!$A$1:$L$1300,1015+AP$3,1)&lt;&gt;""),1,0),0)</f>
        <v/>
      </c>
      <c r="AQ46">
        <f>IF(AQ$4=1,IF(OR(INDEX('×入力'!$A$1:$L$1300,1015+AQ$3,2+AQ$2)&lt;&gt;"",INDEX('×入力'!$A$1:$L$1300,1014,2+AQ$2)&lt;&gt;"",INDEX('×入力'!$A$1:$L$1300,1015+AQ$3,1)&lt;&gt;""),1,0),0)</f>
        <v/>
      </c>
      <c r="AR46">
        <f>IF(AR$4=1,IF(OR(INDEX('×入力'!$A$1:$L$1300,1015+AR$3,2+AR$2)&lt;&gt;"",INDEX('×入力'!$A$1:$L$1300,1014,2+AR$2)&lt;&gt;"",INDEX('×入力'!$A$1:$L$1300,1015+AR$3,1)&lt;&gt;""),1,0),0)</f>
        <v/>
      </c>
      <c r="AS46">
        <f>IF(AS$4=1,IF(OR(INDEX('×入力'!$A$1:$L$1300,1015+AS$3,2+AS$2)&lt;&gt;"",INDEX('×入力'!$A$1:$L$1300,1014,2+AS$2)&lt;&gt;"",INDEX('×入力'!$A$1:$L$1300,1015+AS$3,1)&lt;&gt;""),1,0),0)</f>
        <v/>
      </c>
      <c r="AT46">
        <f>IF(AT$4=1,IF(OR(INDEX('×入力'!$A$1:$L$1300,1015+AT$3,2+AT$2)&lt;&gt;"",INDEX('×入力'!$A$1:$L$1300,1014,2+AT$2)&lt;&gt;"",INDEX('×入力'!$A$1:$L$1300,1015+AT$3,1)&lt;&gt;""),1,0),0)</f>
        <v/>
      </c>
      <c r="AU46">
        <f>IF(AU$4=1,IF(OR(INDEX('×入力'!$A$1:$L$1300,1015+AU$3,2+AU$2)&lt;&gt;"",INDEX('×入力'!$A$1:$L$1300,1014,2+AU$2)&lt;&gt;"",INDEX('×入力'!$A$1:$L$1300,1015+AU$3,1)&lt;&gt;""),1,0),0)</f>
        <v/>
      </c>
      <c r="AV46">
        <f>IF(AV$4=1,IF(OR(INDEX('×入力'!$A$1:$L$1300,1015+AV$3,2+AV$2)&lt;&gt;"",INDEX('×入力'!$A$1:$L$1300,1014,2+AV$2)&lt;&gt;"",INDEX('×入力'!$A$1:$L$1300,1015+AV$3,1)&lt;&gt;""),1,0),0)</f>
        <v/>
      </c>
      <c r="AW46">
        <f>IF(AW$4=1,IF(OR(INDEX('×入力'!$A$1:$L$1300,1015+AW$3,2+AW$2)&lt;&gt;"",INDEX('×入力'!$A$1:$L$1300,1014,2+AW$2)&lt;&gt;"",INDEX('×入力'!$A$1:$L$1300,1015+AW$3,1)&lt;&gt;""),1,0),0)</f>
        <v/>
      </c>
      <c r="AX46">
        <f>IF(AX$4=1,IF(OR(INDEX('×入力'!$A$1:$L$1300,1015+AX$3,2+AX$2)&lt;&gt;"",INDEX('×入力'!$A$1:$L$1300,1014,2+AX$2)&lt;&gt;"",INDEX('×入力'!$A$1:$L$1300,1015+AX$3,1)&lt;&gt;""),1,0),0)</f>
        <v/>
      </c>
      <c r="AY46">
        <f>IF(AY$4=1,IF(OR(INDEX('×入力'!$A$1:$L$1300,1015+AY$3,2+AY$2)&lt;&gt;"",INDEX('×入力'!$A$1:$L$1300,1014,2+AY$2)&lt;&gt;"",INDEX('×入力'!$A$1:$L$1300,1015+AY$3,1)&lt;&gt;""),1,0),0)</f>
        <v/>
      </c>
      <c r="AZ46">
        <f>IF(AZ$4=1,IF(OR(INDEX('×入力'!$A$1:$L$1300,1015+AZ$3,2+AZ$2)&lt;&gt;"",INDEX('×入力'!$A$1:$L$1300,1014,2+AZ$2)&lt;&gt;"",INDEX('×入力'!$A$1:$L$1300,1015+AZ$3,1)&lt;&gt;""),1,0),0)</f>
        <v/>
      </c>
      <c r="BA46">
        <f>IF(BA$4=1,IF(OR(INDEX('×入力'!$A$1:$L$1300,1015+BA$3,2+BA$2)&lt;&gt;"",INDEX('×入力'!$A$1:$L$1300,1014,2+BA$2)&lt;&gt;"",INDEX('×入力'!$A$1:$L$1300,1015+BA$3,1)&lt;&gt;""),1,0),0)</f>
        <v/>
      </c>
      <c r="BB46">
        <f>IF(BB$4=1,IF(OR(INDEX('×入力'!$A$1:$L$1300,1015+BB$3,2+BB$2)&lt;&gt;"",INDEX('×入力'!$A$1:$L$1300,1014,2+BB$2)&lt;&gt;"",INDEX('×入力'!$A$1:$L$1300,1015+BB$3,1)&lt;&gt;""),1,0),0)</f>
        <v/>
      </c>
      <c r="BC46">
        <f>IF(BC$4=1,IF(OR(INDEX('×入力'!$A$1:$L$1300,1015+BC$3,2+BC$2)&lt;&gt;"",INDEX('×入力'!$A$1:$L$1300,1014,2+BC$2)&lt;&gt;"",INDEX('×入力'!$A$1:$L$1300,1015+BC$3,1)&lt;&gt;""),1,0),0)</f>
        <v/>
      </c>
      <c r="BD46">
        <f>IF(BD$4=1,IF(OR(INDEX('×入力'!$A$1:$L$1300,1015+BD$3,2+BD$2)&lt;&gt;"",INDEX('×入力'!$A$1:$L$1300,1014,2+BD$2)&lt;&gt;"",INDEX('×入力'!$A$1:$L$1300,1015+BD$3,1)&lt;&gt;""),1,0),0)</f>
        <v/>
      </c>
      <c r="BE46">
        <f>IF(BE$4=1,IF(OR(INDEX('×入力'!$A$1:$L$1300,1015+BE$3,2+BE$2)&lt;&gt;"",INDEX('×入力'!$A$1:$L$1300,1014,2+BE$2)&lt;&gt;"",INDEX('×入力'!$A$1:$L$1300,1015+BE$3,1)&lt;&gt;""),1,0),0)</f>
        <v/>
      </c>
      <c r="BF46">
        <f>IF(BF$4=1,IF(OR(INDEX('×入力'!$A$1:$L$1300,1015+BF$3,2+BF$2)&lt;&gt;"",INDEX('×入力'!$A$1:$L$1300,1014,2+BF$2)&lt;&gt;"",INDEX('×入力'!$A$1:$L$1300,1015+BF$3,1)&lt;&gt;""),1,0),0)</f>
        <v/>
      </c>
      <c r="BG46">
        <f>IF(BG$4=1,IF(OR(INDEX('×入力'!$A$1:$L$1300,1015+BG$3,2+BG$2)&lt;&gt;"",INDEX('×入力'!$A$1:$L$1300,1014,2+BG$2)&lt;&gt;"",INDEX('×入力'!$A$1:$L$1300,1015+BG$3,1)&lt;&gt;""),1,0),0)</f>
        <v/>
      </c>
      <c r="BH46">
        <f>IF(BH$4=1,IF(OR(INDEX('×入力'!$A$1:$L$1300,1015+BH$3,2+BH$2)&lt;&gt;"",INDEX('×入力'!$A$1:$L$1300,1014,2+BH$2)&lt;&gt;"",INDEX('×入力'!$A$1:$L$1300,1015+BH$3,1)&lt;&gt;""),1,0),0)</f>
        <v/>
      </c>
      <c r="BI46">
        <f>IF(BI$4=1,IF(OR(INDEX('×入力'!$A$1:$L$1300,1015+BI$3,2+BI$2)&lt;&gt;"",INDEX('×入力'!$A$1:$L$1300,1014,2+BI$2)&lt;&gt;"",INDEX('×入力'!$A$1:$L$1300,1015+BI$3,1)&lt;&gt;""),1,0),0)</f>
        <v/>
      </c>
      <c r="BJ46">
        <f>IF(BJ$4=1,IF(OR(INDEX('×入力'!$A$1:$L$1300,1015+BJ$3,2+BJ$2)&lt;&gt;"",INDEX('×入力'!$A$1:$L$1300,1014,2+BJ$2)&lt;&gt;"",INDEX('×入力'!$A$1:$L$1300,1015+BJ$3,1)&lt;&gt;""),1,0),0)</f>
        <v/>
      </c>
      <c r="BK46">
        <f>IF(BK$4=1,IF(OR(INDEX('×入力'!$A$1:$L$1300,1015+BK$3,2+BK$2)&lt;&gt;"",INDEX('×入力'!$A$1:$L$1300,1014,2+BK$2)&lt;&gt;"",INDEX('×入力'!$A$1:$L$1300,1015+BK$3,1)&lt;&gt;""),1,0),0)</f>
        <v/>
      </c>
      <c r="BL46">
        <f>IF(BL$4=1,IF(OR(INDEX('×入力'!$A$1:$L$1300,1015+BL$3,2+BL$2)&lt;&gt;"",INDEX('×入力'!$A$1:$L$1300,1014,2+BL$2)&lt;&gt;"",INDEX('×入力'!$A$1:$L$1300,1015+BL$3,1)&lt;&gt;""),1,0),0)</f>
        <v/>
      </c>
      <c r="BM46">
        <f>IF(BM$4=1,IF(OR(INDEX('×入力'!$A$1:$L$1300,1015+BM$3,2+BM$2)&lt;&gt;"",INDEX('×入力'!$A$1:$L$1300,1014,2+BM$2)&lt;&gt;"",INDEX('×入力'!$A$1:$L$1300,1015+BM$3,1)&lt;&gt;""),1,0),0)</f>
        <v/>
      </c>
      <c r="BN46">
        <f>IF(BN$4=1,IF(OR(INDEX('×入力'!$A$1:$L$1300,1015+BN$3,2+BN$2)&lt;&gt;"",INDEX('×入力'!$A$1:$L$1300,1014,2+BN$2)&lt;&gt;"",INDEX('×入力'!$A$1:$L$1300,1015+BN$3,1)&lt;&gt;""),1,0),0)</f>
        <v/>
      </c>
      <c r="BO46">
        <f>IF(BO$4=1,IF(OR(INDEX('×入力'!$A$1:$L$1300,1015+BO$3,2+BO$2)&lt;&gt;"",INDEX('×入力'!$A$1:$L$1300,1014,2+BO$2)&lt;&gt;"",INDEX('×入力'!$A$1:$L$1300,1015+BO$3,1)&lt;&gt;""),1,0),0)</f>
        <v/>
      </c>
      <c r="BP46">
        <f>IF(BP$4=1,IF(OR(INDEX('×入力'!$A$1:$L$1300,1015+BP$3,2+BP$2)&lt;&gt;"",INDEX('×入力'!$A$1:$L$1300,1014,2+BP$2)&lt;&gt;"",INDEX('×入力'!$A$1:$L$1300,1015+BP$3,1)&lt;&gt;""),1,0),0)</f>
        <v/>
      </c>
      <c r="BQ46">
        <f>IF(BQ$4=1,IF(OR(INDEX('×入力'!$A$1:$L$1300,1015+BQ$3,2+BQ$2)&lt;&gt;"",INDEX('×入力'!$A$1:$L$1300,1014,2+BQ$2)&lt;&gt;"",INDEX('×入力'!$A$1:$L$1300,1015+BQ$3,1)&lt;&gt;""),1,0),0)</f>
        <v/>
      </c>
      <c r="BR46">
        <f>IF(BR$4=1,IF(OR(INDEX('×入力'!$A$1:$L$1300,1015+BR$3,2+BR$2)&lt;&gt;"",INDEX('×入力'!$A$1:$L$1300,1014,2+BR$2)&lt;&gt;"",INDEX('×入力'!$A$1:$L$1300,1015+BR$3,1)&lt;&gt;""),1,0),0)</f>
        <v/>
      </c>
      <c r="BS46">
        <f>IF(BS$4=1,IF(OR(INDEX('×入力'!$A$1:$L$1300,1015+BS$3,2+BS$2)&lt;&gt;"",INDEX('×入力'!$A$1:$L$1300,1014,2+BS$2)&lt;&gt;"",INDEX('×入力'!$A$1:$L$1300,1015+BS$3,1)&lt;&gt;""),1,0),0)</f>
        <v/>
      </c>
      <c r="BT46">
        <f>IF(BT$4=1,IF(OR(INDEX('×入力'!$A$1:$L$1300,1015+BT$3,2+BT$2)&lt;&gt;"",INDEX('×入力'!$A$1:$L$1300,1014,2+BT$2)&lt;&gt;"",INDEX('×入力'!$A$1:$L$1300,1015+BT$3,1)&lt;&gt;""),1,0),0)</f>
        <v/>
      </c>
      <c r="BU46">
        <f>IF(BU$4=1,IF(OR(INDEX('×入力'!$A$1:$L$1300,1015+BU$3,2+BU$2)&lt;&gt;"",INDEX('×入力'!$A$1:$L$1300,1014,2+BU$2)&lt;&gt;"",INDEX('×入力'!$A$1:$L$1300,1015+BU$3,1)&lt;&gt;""),1,0),0)</f>
        <v/>
      </c>
      <c r="BV46">
        <f>IF(BV$4=1,IF(OR(INDEX('×入力'!$A$1:$L$1300,1015+BV$3,2+BV$2)&lt;&gt;"",INDEX('×入力'!$A$1:$L$1300,1014,2+BV$2)&lt;&gt;"",INDEX('×入力'!$A$1:$L$1300,1015+BV$3,1)&lt;&gt;""),1,0),0)</f>
        <v/>
      </c>
      <c r="BW46">
        <f>IF(BW$4=1,IF(OR(INDEX('×入力'!$A$1:$L$1300,1015+BW$3,2+BW$2)&lt;&gt;"",INDEX('×入力'!$A$1:$L$1300,1014,2+BW$2)&lt;&gt;"",INDEX('×入力'!$A$1:$L$1300,1015+BW$3,1)&lt;&gt;""),1,0),0)</f>
        <v/>
      </c>
      <c r="BX46">
        <f>IF(BX$4=1,IF(OR(INDEX('×入力'!$A$1:$L$1300,1015+BX$3,2+BX$2)&lt;&gt;"",INDEX('×入力'!$A$1:$L$1300,1014,2+BX$2)&lt;&gt;"",INDEX('×入力'!$A$1:$L$1300,1015+BX$3,1)&lt;&gt;""),1,0),0)</f>
        <v/>
      </c>
      <c r="BY46">
        <f>IF(BY$4=1,IF(OR(INDEX('×入力'!$A$1:$L$1300,1015+BY$3,2+BY$2)&lt;&gt;"",INDEX('×入力'!$A$1:$L$1300,1014,2+BY$2)&lt;&gt;"",INDEX('×入力'!$A$1:$L$1300,1015+BY$3,1)&lt;&gt;""),1,0),0)</f>
        <v/>
      </c>
      <c r="BZ46">
        <f>IF(BZ$4=1,IF(OR(INDEX('×入力'!$A$1:$L$1300,1015+BZ$3,2+BZ$2)&lt;&gt;"",INDEX('×入力'!$A$1:$L$1300,1014,2+BZ$2)&lt;&gt;"",INDEX('×入力'!$A$1:$L$1300,1015+BZ$3,1)&lt;&gt;""),1,0),0)</f>
        <v/>
      </c>
      <c r="CA46">
        <f>IF(CA$4=1,IF(OR(INDEX('×入力'!$A$1:$L$1300,1015+CA$3,2+CA$2)&lt;&gt;"",INDEX('×入力'!$A$1:$L$1300,1014,2+CA$2)&lt;&gt;"",INDEX('×入力'!$A$1:$L$1300,1015+CA$3,1)&lt;&gt;""),1,0),0)</f>
        <v/>
      </c>
      <c r="CB46">
        <f>IF(CB$4=1,IF(OR(INDEX('×入力'!$A$1:$L$1300,1015+CB$3,2+CB$2)&lt;&gt;"",INDEX('×入力'!$A$1:$L$1300,1014,2+CB$2)&lt;&gt;"",INDEX('×入力'!$A$1:$L$1300,1015+CB$3,1)&lt;&gt;""),1,0),0)</f>
        <v/>
      </c>
      <c r="CC46">
        <f>IF(CC$4=1,IF(OR(INDEX('×入力'!$A$1:$L$1300,1015+CC$3,2+CC$2)&lt;&gt;"",INDEX('×入力'!$A$1:$L$1300,1014,2+CC$2)&lt;&gt;"",INDEX('×入力'!$A$1:$L$1300,1015+CC$3,1)&lt;&gt;""),1,0),0)</f>
        <v/>
      </c>
      <c r="CD46">
        <f>IF(CD$4=1,IF(OR(INDEX('×入力'!$A$1:$L$1300,1015+CD$3,2+CD$2)&lt;&gt;"",INDEX('×入力'!$A$1:$L$1300,1014,2+CD$2)&lt;&gt;"",INDEX('×入力'!$A$1:$L$1300,1015+CD$3,1)&lt;&gt;""),1,0),0)</f>
        <v/>
      </c>
      <c r="CE46">
        <f>IF(CE$4=1,IF(OR(INDEX('×入力'!$A$1:$L$1300,1015+CE$3,2+CE$2)&lt;&gt;"",INDEX('×入力'!$A$1:$L$1300,1014,2+CE$2)&lt;&gt;"",INDEX('×入力'!$A$1:$L$1300,1015+CE$3,1)&lt;&gt;""),1,0),0)</f>
        <v/>
      </c>
      <c r="CF46">
        <f>IF(CF$4=1,IF(OR(INDEX('×入力'!$A$1:$L$1300,1015+CF$3,2+CF$2)&lt;&gt;"",INDEX('×入力'!$A$1:$L$1300,1014,2+CF$2)&lt;&gt;"",INDEX('×入力'!$A$1:$L$1300,1015+CF$3,1)&lt;&gt;""),1,0),0)</f>
        <v/>
      </c>
      <c r="CG46">
        <f>IF(CG$4=1,IF(OR(INDEX('×入力'!$A$1:$L$1300,1015+CG$3,2+CG$2)&lt;&gt;"",INDEX('×入力'!$A$1:$L$1300,1014,2+CG$2)&lt;&gt;"",INDEX('×入力'!$A$1:$L$1300,1015+CG$3,1)&lt;&gt;""),1,0),0)</f>
        <v/>
      </c>
      <c r="CH46">
        <f>IF(CH$4=1,IF(OR(INDEX('×入力'!$A$1:$L$1300,1015+CH$3,2+CH$2)&lt;&gt;"",INDEX('×入力'!$A$1:$L$1300,1014,2+CH$2)&lt;&gt;"",INDEX('×入力'!$A$1:$L$1300,1015+CH$3,1)&lt;&gt;""),1,0),0)</f>
        <v/>
      </c>
      <c r="CI46">
        <f>IF(CI$4=1,IF(OR(INDEX('×入力'!$A$1:$L$1300,1015+CI$3,2+CI$2)&lt;&gt;"",INDEX('×入力'!$A$1:$L$1300,1014,2+CI$2)&lt;&gt;"",INDEX('×入力'!$A$1:$L$1300,1015+CI$3,1)&lt;&gt;""),1,0),0)</f>
        <v/>
      </c>
      <c r="CJ46">
        <f>IF(CJ$4=1,IF(OR(INDEX('×入力'!$A$1:$L$1300,1015+CJ$3,2+CJ$2)&lt;&gt;"",INDEX('×入力'!$A$1:$L$1300,1014,2+CJ$2)&lt;&gt;"",INDEX('×入力'!$A$1:$L$1300,1015+CJ$3,1)&lt;&gt;""),1,0),0)</f>
        <v/>
      </c>
      <c r="CK46">
        <f>IF(CK$4=1,IF(OR(INDEX('×入力'!$A$1:$L$1300,1015+CK$3,2+CK$2)&lt;&gt;"",INDEX('×入力'!$A$1:$L$1300,1014,2+CK$2)&lt;&gt;"",INDEX('×入力'!$A$1:$L$1300,1015+CK$3,1)&lt;&gt;""),1,0),0)</f>
        <v/>
      </c>
      <c r="CL46">
        <f>IF(CL$4=1,IF(OR(INDEX('×入力'!$A$1:$L$1300,1015+CL$3,2+CL$2)&lt;&gt;"",INDEX('×入力'!$A$1:$L$1300,1014,2+CL$2)&lt;&gt;"",INDEX('×入力'!$A$1:$L$1300,1015+CL$3,1)&lt;&gt;""),1,0),0)</f>
        <v/>
      </c>
      <c r="CM46">
        <f>IF(CM$4=1,IF(OR(INDEX('×入力'!$A$1:$L$1300,1015+CM$3,2+CM$2)&lt;&gt;"",INDEX('×入力'!$A$1:$L$1300,1014,2+CM$2)&lt;&gt;"",INDEX('×入力'!$A$1:$L$1300,1015+CM$3,1)&lt;&gt;""),1,0),0)</f>
        <v/>
      </c>
      <c r="CN46">
        <f>IF(CN$4=1,IF(OR(INDEX('×入力'!$A$1:$L$1300,1015+CN$3,2+CN$2)&lt;&gt;"",INDEX('×入力'!$A$1:$L$1300,1014,2+CN$2)&lt;&gt;"",INDEX('×入力'!$A$1:$L$1300,1015+CN$3,1)&lt;&gt;""),1,0),0)</f>
        <v/>
      </c>
      <c r="CO46">
        <f>IF(CO$4=1,IF(OR(INDEX('×入力'!$A$1:$L$1300,1015+CO$3,2+CO$2)&lt;&gt;"",INDEX('×入力'!$A$1:$L$1300,1014,2+CO$2)&lt;&gt;"",INDEX('×入力'!$A$1:$L$1300,1015+CO$3,1)&lt;&gt;""),1,0),0)</f>
        <v/>
      </c>
      <c r="CP46">
        <f>IF(CP$4=1,IF(OR(INDEX('×入力'!$A$1:$L$1300,1015+CP$3,2+CP$2)&lt;&gt;"",INDEX('×入力'!$A$1:$L$1300,1014,2+CP$2)&lt;&gt;"",INDEX('×入力'!$A$1:$L$1300,1015+CP$3,1)&lt;&gt;""),1,0),0)</f>
        <v/>
      </c>
      <c r="CQ46">
        <f>IF(CQ$4=1,IF(OR(INDEX('×入力'!$A$1:$L$1300,1015+CQ$3,2+CQ$2)&lt;&gt;"",INDEX('×入力'!$A$1:$L$1300,1014,2+CQ$2)&lt;&gt;"",INDEX('×入力'!$A$1:$L$1300,1015+CQ$3,1)&lt;&gt;""),1,0),0)</f>
        <v/>
      </c>
      <c r="CR46">
        <f>IF(CR$4=1,IF(OR(INDEX('×入力'!$A$1:$L$1300,1015+CR$3,2+CR$2)&lt;&gt;"",INDEX('×入力'!$A$1:$L$1300,1014,2+CR$2)&lt;&gt;"",INDEX('×入力'!$A$1:$L$1300,1015+CR$3,1)&lt;&gt;""),1,0),0)</f>
        <v/>
      </c>
      <c r="CS46">
        <f>IF(CS$4=1,IF(OR(INDEX('×入力'!$A$1:$L$1300,1015+CS$3,2+CS$2)&lt;&gt;"",INDEX('×入力'!$A$1:$L$1300,1014,2+CS$2)&lt;&gt;"",INDEX('×入力'!$A$1:$L$1300,1015+CS$3,1)&lt;&gt;""),1,0),0)</f>
        <v/>
      </c>
      <c r="CT46">
        <f>IF(CT$4=1,IF(OR(INDEX('×入力'!$A$1:$L$1300,1015+CT$3,2+CT$2)&lt;&gt;"",INDEX('×入力'!$A$1:$L$1300,1014,2+CT$2)&lt;&gt;"",INDEX('×入力'!$A$1:$L$1300,1015+CT$3,1)&lt;&gt;""),1,0),0)</f>
        <v/>
      </c>
      <c r="CU46">
        <f>IF(CU$4=1,IF(OR(INDEX('×入力'!$A$1:$L$1300,1015+CU$3,2+CU$2)&lt;&gt;"",INDEX('×入力'!$A$1:$L$1300,1014,2+CU$2)&lt;&gt;"",INDEX('×入力'!$A$1:$L$1300,1015+CU$3,1)&lt;&gt;""),1,0),0)</f>
        <v/>
      </c>
      <c r="CV46">
        <f>IF(CV$4=1,IF(OR(INDEX('×入力'!$A$1:$L$1300,1015+CV$3,2+CV$2)&lt;&gt;"",INDEX('×入力'!$A$1:$L$1300,1014,2+CV$2)&lt;&gt;"",INDEX('×入力'!$A$1:$L$1300,1015+CV$3,1)&lt;&gt;""),1,0),0)</f>
        <v/>
      </c>
      <c r="CW46">
        <f>IF(CW$4=1,IF(OR(INDEX('×入力'!$A$1:$L$1300,1015+CW$3,2+CW$2)&lt;&gt;"",INDEX('×入力'!$A$1:$L$1300,1014,2+CW$2)&lt;&gt;"",INDEX('×入力'!$A$1:$L$1300,1015+CW$3,1)&lt;&gt;""),1,0),0)</f>
        <v/>
      </c>
      <c r="CX46">
        <f>IF(CX$4=1,IF(OR(INDEX('×入力'!$A$1:$L$1300,1015+CX$3,2+CX$2)&lt;&gt;"",INDEX('×入力'!$A$1:$L$1300,1014,2+CX$2)&lt;&gt;"",INDEX('×入力'!$A$1:$L$1300,1015+CX$3,1)&lt;&gt;""),1,0),0)</f>
        <v/>
      </c>
      <c r="CY46">
        <f>IF(CY$4=1,IF(OR(INDEX('×入力'!$A$1:$L$1300,1015+CY$3,2+CY$2)&lt;&gt;"",INDEX('×入力'!$A$1:$L$1300,1014,2+CY$2)&lt;&gt;"",INDEX('×入力'!$A$1:$L$1300,1015+CY$3,1)&lt;&gt;""),1,0),0)</f>
        <v/>
      </c>
      <c r="CZ46">
        <f>IF(CZ$4=1,IF(OR(INDEX('×入力'!$A$1:$L$1300,1015+CZ$3,2+CZ$2)&lt;&gt;"",INDEX('×入力'!$A$1:$L$1300,1014,2+CZ$2)&lt;&gt;"",INDEX('×入力'!$A$1:$L$1300,1015+CZ$3,1)&lt;&gt;""),1,0),0)</f>
        <v/>
      </c>
      <c r="DA46">
        <f>IF(DA$4=1,IF(OR(INDEX('×入力'!$A$1:$L$1300,1015+DA$3,2+DA$2)&lt;&gt;"",INDEX('×入力'!$A$1:$L$1300,1014,2+DA$2)&lt;&gt;"",INDEX('×入力'!$A$1:$L$1300,1015+DA$3,1)&lt;&gt;""),1,0),0)</f>
        <v/>
      </c>
      <c r="DB46">
        <f>IF(DB$4=1,IF(OR(INDEX('×入力'!$A$1:$L$1300,1015+DB$3,2+DB$2)&lt;&gt;"",INDEX('×入力'!$A$1:$L$1300,1014,2+DB$2)&lt;&gt;"",INDEX('×入力'!$A$1:$L$1300,1015+DB$3,1)&lt;&gt;""),1,0),0)</f>
        <v/>
      </c>
      <c r="DC46">
        <f>IF(DC$4=1,IF(OR(INDEX('×入力'!$A$1:$L$1300,1015+DC$3,2+DC$2)&lt;&gt;"",INDEX('×入力'!$A$1:$L$1300,1014,2+DC$2)&lt;&gt;"",INDEX('×入力'!$A$1:$L$1300,1015+DC$3,1)&lt;&gt;""),1,0),0)</f>
        <v/>
      </c>
      <c r="DD46">
        <f>IF(DD$4=1,IF(OR(INDEX('×入力'!$A$1:$L$1300,1015+DD$3,2+DD$2)&lt;&gt;"",INDEX('×入力'!$A$1:$L$1300,1014,2+DD$2)&lt;&gt;"",INDEX('×入力'!$A$1:$L$1300,1015+DD$3,1)&lt;&gt;""),1,0),0)</f>
        <v/>
      </c>
      <c r="DE46">
        <f>IF(DE$4=1,IF(OR(INDEX('×入力'!$A$1:$L$1300,1015+DE$3,2+DE$2)&lt;&gt;"",INDEX('×入力'!$A$1:$L$1300,1014,2+DE$2)&lt;&gt;"",INDEX('×入力'!$A$1:$L$1300,1015+DE$3,1)&lt;&gt;""),1,0),0)</f>
        <v/>
      </c>
      <c r="DF46">
        <f>IF(DF$4=1,IF(OR(INDEX('×入力'!$A$1:$L$1300,1015+DF$3,2+DF$2)&lt;&gt;"",INDEX('×入力'!$A$1:$L$1300,1014,2+DF$2)&lt;&gt;"",INDEX('×入力'!$A$1:$L$1300,1015+DF$3,1)&lt;&gt;""),1,0),0)</f>
        <v/>
      </c>
      <c r="DG46">
        <f>IF(DG$4=1,IF(OR(INDEX('×入力'!$A$1:$L$1300,1015+DG$3,2+DG$2)&lt;&gt;"",INDEX('×入力'!$A$1:$L$1300,1014,2+DG$2)&lt;&gt;"",INDEX('×入力'!$A$1:$L$1300,1015+DG$3,1)&lt;&gt;""),1,0),0)</f>
        <v/>
      </c>
      <c r="DH46">
        <f>IF(DH$4=1,IF(OR(INDEX('×入力'!$A$1:$L$1300,1015+DH$3,2+DH$2)&lt;&gt;"",INDEX('×入力'!$A$1:$L$1300,1014,2+DH$2)&lt;&gt;"",INDEX('×入力'!$A$1:$L$1300,1015+DH$3,1)&lt;&gt;""),1,0),0)</f>
        <v/>
      </c>
      <c r="DI46">
        <f>IF(DI$4=1,IF(OR(INDEX('×入力'!$A$1:$L$1300,1015+DI$3,2+DI$2)&lt;&gt;"",INDEX('×入力'!$A$1:$L$1300,1014,2+DI$2)&lt;&gt;"",INDEX('×入力'!$A$1:$L$1300,1015+DI$3,1)&lt;&gt;""),1,0),0)</f>
        <v/>
      </c>
      <c r="DJ46">
        <f>IF(DJ$4=1,IF(OR(INDEX('×入力'!$A$1:$L$1300,1015+DJ$3,2+DJ$2)&lt;&gt;"",INDEX('×入力'!$A$1:$L$1300,1014,2+DJ$2)&lt;&gt;"",INDEX('×入力'!$A$1:$L$1300,1015+DJ$3,1)&lt;&gt;""),1,0),0)</f>
        <v/>
      </c>
      <c r="DK46">
        <f>IF(DK$4=1,IF(OR(INDEX('×入力'!$A$1:$L$1300,1015+DK$3,2+DK$2)&lt;&gt;"",INDEX('×入力'!$A$1:$L$1300,1014,2+DK$2)&lt;&gt;"",INDEX('×入力'!$A$1:$L$1300,1015+DK$3,1)&lt;&gt;""),1,0),0)</f>
        <v/>
      </c>
      <c r="DL46">
        <f>IF(DL$4=1,IF(OR(INDEX('×入力'!$A$1:$L$1300,1015+DL$3,2+DL$2)&lt;&gt;"",INDEX('×入力'!$A$1:$L$1300,1014,2+DL$2)&lt;&gt;"",INDEX('×入力'!$A$1:$L$1300,1015+DL$3,1)&lt;&gt;""),1,0),0)</f>
        <v/>
      </c>
      <c r="DM46">
        <f>IF(DM$4=1,IF(OR(INDEX('×入力'!$A$1:$L$1300,1015+DM$3,2+DM$2)&lt;&gt;"",INDEX('×入力'!$A$1:$L$1300,1014,2+DM$2)&lt;&gt;"",INDEX('×入力'!$A$1:$L$1300,1015+DM$3,1)&lt;&gt;""),1,0),0)</f>
        <v/>
      </c>
      <c r="DN46">
        <f>IF(DN$4=1,IF(OR(INDEX('×入力'!$A$1:$L$1300,1015+DN$3,2+DN$2)&lt;&gt;"",INDEX('×入力'!$A$1:$L$1300,1014,2+DN$2)&lt;&gt;"",INDEX('×入力'!$A$1:$L$1300,1015+DN$3,1)&lt;&gt;""),1,0),0)</f>
        <v/>
      </c>
      <c r="DO46">
        <f>IF(DO$4=1,IF(OR(INDEX('×入力'!$A$1:$L$1300,1015+DO$3,2+DO$2)&lt;&gt;"",INDEX('×入力'!$A$1:$L$1300,1014,2+DO$2)&lt;&gt;"",INDEX('×入力'!$A$1:$L$1300,1015+DO$3,1)&lt;&gt;""),1,0),0)</f>
        <v/>
      </c>
      <c r="DP46">
        <f>IF(DP$4=1,IF(OR(INDEX('×入力'!$A$1:$L$1300,1015+DP$3,2+DP$2)&lt;&gt;"",INDEX('×入力'!$A$1:$L$1300,1014,2+DP$2)&lt;&gt;"",INDEX('×入力'!$A$1:$L$1300,1015+DP$3,1)&lt;&gt;""),1,0),0)</f>
        <v/>
      </c>
      <c r="DQ46">
        <f>IF(DQ$4=1,IF(OR(INDEX('×入力'!$A$1:$L$1300,1015+DQ$3,2+DQ$2)&lt;&gt;"",INDEX('×入力'!$A$1:$L$1300,1014,2+DQ$2)&lt;&gt;"",INDEX('×入力'!$A$1:$L$1300,1015+DQ$3,1)&lt;&gt;""),1,0),0)</f>
        <v/>
      </c>
      <c r="DR46">
        <f>IF(DR$4=1,IF(OR(INDEX('×入力'!$A$1:$L$1300,1015+DR$3,2+DR$2)&lt;&gt;"",INDEX('×入力'!$A$1:$L$1300,1014,2+DR$2)&lt;&gt;"",INDEX('×入力'!$A$1:$L$1300,1015+DR$3,1)&lt;&gt;""),1,0),0)</f>
        <v/>
      </c>
      <c r="DS46">
        <f>IF(DS$4=1,IF(OR(INDEX('×入力'!$A$1:$L$1300,1015+DS$3,2+DS$2)&lt;&gt;"",INDEX('×入力'!$A$1:$L$1300,1014,2+DS$2)&lt;&gt;"",INDEX('×入力'!$A$1:$L$1300,1015+DS$3,1)&lt;&gt;""),1,0),0)</f>
        <v/>
      </c>
      <c r="DT46">
        <f>IF(DT$4=1,IF(OR(INDEX('×入力'!$A$1:$L$1300,1015+DT$3,2+DT$2)&lt;&gt;"",INDEX('×入力'!$A$1:$L$1300,1014,2+DT$2)&lt;&gt;"",INDEX('×入力'!$A$1:$L$1300,1015+DT$3,1)&lt;&gt;""),1,0),0)</f>
        <v/>
      </c>
      <c r="DU46">
        <f>IF(DU$4=1,IF(OR(INDEX('×入力'!$A$1:$L$1300,1015+DU$3,2+DU$2)&lt;&gt;"",INDEX('×入力'!$A$1:$L$1300,1014,2+DU$2)&lt;&gt;"",INDEX('×入力'!$A$1:$L$1300,1015+DU$3,1)&lt;&gt;""),1,0),0)</f>
        <v/>
      </c>
      <c r="DV46">
        <f>IF(DV$4=1,IF(OR(INDEX('×入力'!$A$1:$L$1300,1015+DV$3,2+DV$2)&lt;&gt;"",INDEX('×入力'!$A$1:$L$1300,1014,2+DV$2)&lt;&gt;"",INDEX('×入力'!$A$1:$L$1300,1015+DV$3,1)&lt;&gt;""),1,0),0)</f>
        <v/>
      </c>
      <c r="DW46">
        <f>IF(DW$4=1,IF(OR(INDEX('×入力'!$A$1:$L$1300,1015+DW$3,2+DW$2)&lt;&gt;"",INDEX('×入力'!$A$1:$L$1300,1014,2+DW$2)&lt;&gt;"",INDEX('×入力'!$A$1:$L$1300,1015+DW$3,1)&lt;&gt;""),1,0),0)</f>
        <v/>
      </c>
      <c r="DX46">
        <f>IF(DX$4=1,IF(OR(INDEX('×入力'!$A$1:$L$1300,1015+DX$3,2+DX$2)&lt;&gt;"",INDEX('×入力'!$A$1:$L$1300,1014,2+DX$2)&lt;&gt;"",INDEX('×入力'!$A$1:$L$1300,1015+DX$3,1)&lt;&gt;""),1,0),0)</f>
        <v/>
      </c>
      <c r="DY46">
        <f>IF(DY$4=1,IF(OR(INDEX('×入力'!$A$1:$L$1300,1015+DY$3,2+DY$2)&lt;&gt;"",INDEX('×入力'!$A$1:$L$1300,1014,2+DY$2)&lt;&gt;"",INDEX('×入力'!$A$1:$L$1300,1015+DY$3,1)&lt;&gt;""),1,0),0)</f>
        <v/>
      </c>
      <c r="DZ46">
        <f>IF(DZ$4=1,IF(OR(INDEX('×入力'!$A$1:$L$1300,1015+DZ$3,2+DZ$2)&lt;&gt;"",INDEX('×入力'!$A$1:$L$1300,1014,2+DZ$2)&lt;&gt;"",INDEX('×入力'!$A$1:$L$1300,1015+DZ$3,1)&lt;&gt;""),1,0),0)</f>
        <v/>
      </c>
      <c r="EA46">
        <f>IF(EA$4=1,IF(OR(INDEX('×入力'!$A$1:$L$1300,1015+EA$3,2+EA$2)&lt;&gt;"",INDEX('×入力'!$A$1:$L$1300,1014,2+EA$2)&lt;&gt;"",INDEX('×入力'!$A$1:$L$1300,1015+EA$3,1)&lt;&gt;""),1,0),0)</f>
        <v/>
      </c>
      <c r="EB46">
        <f>IF(EB$4=1,IF(OR(INDEX('×入力'!$A$1:$L$1300,1015+EB$3,2+EB$2)&lt;&gt;"",INDEX('×入力'!$A$1:$L$1300,1014,2+EB$2)&lt;&gt;"",INDEX('×入力'!$A$1:$L$1300,1015+EB$3,1)&lt;&gt;""),1,0),0)</f>
        <v/>
      </c>
      <c r="EC46">
        <f>IF(EC$4=1,IF(OR(INDEX('×入力'!$A$1:$L$1300,1015+EC$3,2+EC$2)&lt;&gt;"",INDEX('×入力'!$A$1:$L$1300,1014,2+EC$2)&lt;&gt;"",INDEX('×入力'!$A$1:$L$1300,1015+EC$3,1)&lt;&gt;""),1,0),0)</f>
        <v/>
      </c>
      <c r="ED46">
        <f>IF(ED$4=1,IF(OR(INDEX('×入力'!$A$1:$L$1300,1015+ED$3,2+ED$2)&lt;&gt;"",INDEX('×入力'!$A$1:$L$1300,1014,2+ED$2)&lt;&gt;"",INDEX('×入力'!$A$1:$L$1300,1015+ED$3,1)&lt;&gt;""),1,0),0)</f>
        <v/>
      </c>
      <c r="EE46">
        <f>IF(EE$4=1,IF(OR(INDEX('×入力'!$A$1:$L$1300,1015+EE$3,2+EE$2)&lt;&gt;"",INDEX('×入力'!$A$1:$L$1300,1014,2+EE$2)&lt;&gt;"",INDEX('×入力'!$A$1:$L$1300,1015+EE$3,1)&lt;&gt;""),1,0),0)</f>
        <v/>
      </c>
      <c r="EF46">
        <f>IF(EF$4=1,IF(OR(INDEX('×入力'!$A$1:$L$1300,1015+EF$3,2+EF$2)&lt;&gt;"",INDEX('×入力'!$A$1:$L$1300,1014,2+EF$2)&lt;&gt;"",INDEX('×入力'!$A$1:$L$1300,1015+EF$3,1)&lt;&gt;""),1,0),0)</f>
        <v/>
      </c>
      <c r="EG46">
        <f>IF(EG$4=1,IF(OR(INDEX('×入力'!$A$1:$L$1300,1015+EG$3,2+EG$2)&lt;&gt;"",INDEX('×入力'!$A$1:$L$1300,1014,2+EG$2)&lt;&gt;"",INDEX('×入力'!$A$1:$L$1300,1015+EG$3,1)&lt;&gt;""),1,0),0)</f>
        <v/>
      </c>
      <c r="EH46">
        <f>IF(EH$4=1,IF(OR(INDEX('×入力'!$A$1:$L$1300,1015+EH$3,2+EH$2)&lt;&gt;"",INDEX('×入力'!$A$1:$L$1300,1014,2+EH$2)&lt;&gt;"",INDEX('×入力'!$A$1:$L$1300,1015+EH$3,1)&lt;&gt;""),1,0),0)</f>
        <v/>
      </c>
      <c r="EI46">
        <f>IF(EI$4=1,IF(OR(INDEX('×入力'!$A$1:$L$1300,1015+EI$3,2+EI$2)&lt;&gt;"",INDEX('×入力'!$A$1:$L$1300,1014,2+EI$2)&lt;&gt;"",INDEX('×入力'!$A$1:$L$1300,1015+EI$3,1)&lt;&gt;""),1,0),0)</f>
        <v/>
      </c>
      <c r="EJ46">
        <f>IF(EJ$4=1,IF(OR(INDEX('×入力'!$A$1:$L$1300,1015+EJ$3,2+EJ$2)&lt;&gt;"",INDEX('×入力'!$A$1:$L$1300,1014,2+EJ$2)&lt;&gt;"",INDEX('×入力'!$A$1:$L$1300,1015+EJ$3,1)&lt;&gt;""),1,0),0)</f>
        <v/>
      </c>
      <c r="EK46">
        <f>IF(EK$4=1,IF(OR(INDEX('×入力'!$A$1:$L$1300,1015+EK$3,2+EK$2)&lt;&gt;"",INDEX('×入力'!$A$1:$L$1300,1014,2+EK$2)&lt;&gt;"",INDEX('×入力'!$A$1:$L$1300,1015+EK$3,1)&lt;&gt;""),1,0),0)</f>
        <v/>
      </c>
      <c r="EL46">
        <f>IF(EL$4=1,IF(OR(INDEX('×入力'!$A$1:$L$1300,1015+EL$3,2+EL$2)&lt;&gt;"",INDEX('×入力'!$A$1:$L$1300,1014,2+EL$2)&lt;&gt;"",INDEX('×入力'!$A$1:$L$1300,1015+EL$3,1)&lt;&gt;""),1,0),0)</f>
        <v/>
      </c>
      <c r="EM46">
        <f>IF(EM$4=1,IF(OR(INDEX('×入力'!$A$1:$L$1300,1015+EM$3,2+EM$2)&lt;&gt;"",INDEX('×入力'!$A$1:$L$1300,1014,2+EM$2)&lt;&gt;"",INDEX('×入力'!$A$1:$L$1300,1015+EM$3,1)&lt;&gt;""),1,0),0)</f>
        <v/>
      </c>
      <c r="EN46">
        <f>IF(EN$4=1,IF(OR(INDEX('×入力'!$A$1:$L$1300,1015+EN$3,2+EN$2)&lt;&gt;"",INDEX('×入力'!$A$1:$L$1300,1014,2+EN$2)&lt;&gt;"",INDEX('×入力'!$A$1:$L$1300,1015+EN$3,1)&lt;&gt;""),1,0),0)</f>
        <v/>
      </c>
      <c r="EO46">
        <f>IF(EO$4=1,IF(OR(INDEX('×入力'!$A$1:$L$1300,1015+EO$3,2+EO$2)&lt;&gt;"",INDEX('×入力'!$A$1:$L$1300,1014,2+EO$2)&lt;&gt;"",INDEX('×入力'!$A$1:$L$1300,1015+EO$3,1)&lt;&gt;""),1,0),0)</f>
        <v/>
      </c>
      <c r="EP46">
        <f>IF(EP$4=1,IF(OR(INDEX('×入力'!$A$1:$L$1300,1015+EP$3,2+EP$2)&lt;&gt;"",INDEX('×入力'!$A$1:$L$1300,1014,2+EP$2)&lt;&gt;"",INDEX('×入力'!$A$1:$L$1300,1015+EP$3,1)&lt;&gt;""),1,0),0)</f>
        <v/>
      </c>
      <c r="EQ46">
        <f>IF(EQ$4=1,IF(OR(INDEX('×入力'!$A$1:$L$1300,1015+EQ$3,2+EQ$2)&lt;&gt;"",INDEX('×入力'!$A$1:$L$1300,1014,2+EQ$2)&lt;&gt;"",INDEX('×入力'!$A$1:$L$1300,1015+EQ$3,1)&lt;&gt;""),1,0),0)</f>
        <v/>
      </c>
      <c r="HA46">
        <f>MAX(0,IT46)</f>
        <v/>
      </c>
      <c r="HB46">
        <f>IF(HA46=0,0,INDEX($D$2:$EQ$2,HA46))</f>
        <v/>
      </c>
      <c r="HC46">
        <f>IF(HA46=0,0,INDEX($D$3:$EQ$3,HA46))</f>
        <v/>
      </c>
      <c r="HD46">
        <f>MAX(0,IY46)</f>
        <v/>
      </c>
      <c r="HE46">
        <f>IF(HD46=0,0,INDEX($D$2:$EQ$2,HD46))</f>
        <v/>
      </c>
      <c r="HF46">
        <f>IF(HD46=0,0,INDEX($D$3:$EQ$3,HD46))</f>
        <v/>
      </c>
      <c r="HG46">
        <f>MAX(0,IZ46)</f>
        <v/>
      </c>
      <c r="HH46">
        <f>IF(HG46=0,0,INDEX($D$2:$EQ$2,HG46))</f>
        <v/>
      </c>
      <c r="HI46">
        <f>IF(HG46=0,0,INDEX($D$3:$EQ$3,HG46))</f>
        <v/>
      </c>
      <c r="HJ46">
        <f>IF(AND(HA46&gt;0,HC46&gt;1,OR(HC46-1&lt;&gt;$A$3,$A$4=0)),HA46-1,-1)</f>
        <v/>
      </c>
      <c r="HK46">
        <f>IF(AND(HA46&gt;0,HC46&lt;24,OR(HC46&lt;&gt;$A$3,$A$4=0)),HA46+1,-1)</f>
        <v/>
      </c>
      <c r="HL46">
        <f>IF(AND(HD46&gt;0,HF46&gt;1,OR(HF46-1&lt;&gt;$A$3,$A$4=0)),HD46-1,-1)</f>
        <v/>
      </c>
      <c r="HM46">
        <f>IF(AND(HD46&gt;0,HF46&lt;24,OR(HF46&lt;&gt;$A$3,$A$4=0)),HD46+1,-1)</f>
        <v/>
      </c>
      <c r="HN46">
        <f>IF(AND(HG46&gt;0,HI46&gt;1,OR(HI46-1&lt;&gt;$A$3,$A$4=0)),HG46-1,-1)</f>
        <v/>
      </c>
      <c r="HO46">
        <f>IF(AND(HG46&gt;0,HI46&lt;24,OR(HI46&lt;&gt;$A$3,$A$4=0)),HG46+1,-1)</f>
        <v/>
      </c>
      <c r="IK46">
        <f>IFERROR(INDEX('calcB'!$C$3:$C$47,MATCH(A46,'calcB'!$B$3:$B$47,0)),0)</f>
        <v/>
      </c>
      <c r="IL46">
        <f>IF(AND(C46=1,IK46=0,calcA!$A$6&gt;0),1,0)</f>
        <v/>
      </c>
      <c r="IM46">
        <f>SUMPRODUCT(D96:EQ96*(1-$D$7:$EQ$7))</f>
        <v/>
      </c>
      <c r="IN46">
        <f>SUM(D46:EQ46)</f>
        <v/>
      </c>
      <c r="IO46">
        <f>IF(B46="",0,IF(COUNTIF('調整・決定'!$C$6:$H$29,B46)=1,SUMPRODUCT(('調整・決定'!$C$6:$H$29=B46)*((COLUMN('調整・決定'!$C$6:$H$29)-3)*24+ROW('調整・決定'!$C$6:$H$29)-5)),0))</f>
        <v/>
      </c>
      <c r="IP46">
        <f>IFERROR(MATCH('名簿'!C41,{"早い時刻","遅い時刻","早い日","遅い日"},0),0)</f>
        <v/>
      </c>
      <c r="IQ46">
        <f>IF('名簿'!D41="必ず空けたい",2,IF('名簿'!D41="出来れば空けたい",1,0))</f>
        <v/>
      </c>
      <c r="IR46">
        <f>IFERROR(INDEX('calcC'!$C$3:$C$47,MATCH(A46,'calcC'!$B$3:$B$47,0)),0)</f>
        <v/>
      </c>
      <c r="IS46">
        <f>IF(AND(C46=1,IR46=0,calcA!$A$6&gt;0),1,0)</f>
        <v/>
      </c>
      <c r="IT46">
        <f>IF(OR('名簿'!G41="",'名簿'!H41=""),0,IFERROR((MATCH('名簿'!G41,'設定'!$E$11:$E$16,0)-1)*24+MATCH('名簿'!H41,'設定'!$I$11:$I$34,0),-1))</f>
        <v/>
      </c>
      <c r="IV46">
        <f>IF(OR(JF46=0,IO46=0),1,IF(OR(IF(IT46&gt;0,AND(INDEX($D$2:$EQ$2,IO46)=INDEX($D$2:$EQ$2,IT46),OR(AND(IO46=IT46+1,OR(INDEX($D$3:$EQ$3,IT46)&lt;&gt;$A$3,$A$4=0)),AND(IO46=IT46-1,OR(INDEX($D$3:$EQ$3,IO46)&lt;&gt;$A$3,$A$4=0)))),FALSE),IF(IY46&gt;0,AND(INDEX($D$2:$EQ$2,IO46)=INDEX($D$2:$EQ$2,IY46),OR(AND(IO46=IY46+1,OR(INDEX($D$3:$EQ$3,IY46)&lt;&gt;$A$3,$A$4=0)),AND(IO46=IY46-1,OR(INDEX($D$3:$EQ$3,IO46)&lt;&gt;$A$3,$A$4=0)))),FALSE),IF(IZ46&gt;0,AND(INDEX($D$2:$EQ$2,IO46)=INDEX($D$2:$EQ$2,IZ46),OR(AND(IO46=IZ46+1,OR(INDEX($D$3:$EQ$3,IZ46)&lt;&gt;$A$3,$A$4=0)),AND(IO46=IZ46-1,OR(INDEX($D$3:$EQ$3,IO46)&lt;&gt;$A$3,$A$4=0)))),FALSE)),1,0))</f>
        <v/>
      </c>
      <c r="IW46">
        <f>IF(AND('名簿'!E41&lt;&gt;"",JF46=0),1,0)</f>
        <v/>
      </c>
      <c r="IX46">
        <f>IF('名簿'!D41="空けない",1,0)</f>
        <v/>
      </c>
      <c r="IY46">
        <f>IF(OR('名簿'!J41="",'名簿'!K41=""),0,IFERROR((MATCH('名簿'!J41,'設定'!$E$11:$E$16,0)-1)*24+MATCH('名簿'!K41,'設定'!$I$11:$I$34,0),-1))</f>
        <v/>
      </c>
      <c r="IZ46">
        <f>IF(OR('名簿'!M41="",'名簿'!N41=""),0,IFERROR((MATCH('名簿'!M41,'設定'!$E$11:$E$16,0)-1)*24+MATCH('名簿'!N41,'設定'!$I$11:$I$34,0),-1))</f>
        <v/>
      </c>
      <c r="JC46">
        <f>IF(RIGHT('名簿'!I41,2)="の前",1,IF(RIGHT('名簿'!I41,2)="の後",2,0))</f>
        <v/>
      </c>
      <c r="JD46">
        <f>IF(RIGHT('名簿'!L41,2)="の前",1,IF(RIGHT('名簿'!L41,2)="の後",2,0))</f>
        <v/>
      </c>
      <c r="JE46">
        <f>IF(RIGHT('名簿'!O41,2)="の前",1,IF(RIGHT('名簿'!O41,2)="の後",2,0))</f>
        <v/>
      </c>
      <c r="JF46">
        <f>IF(OR(IT46&gt;0,IY46&gt;0,IZ46&gt;0),1,0)</f>
        <v/>
      </c>
      <c r="JG46">
        <f>IF(OR(IT46&lt;0,IY46&lt;0,IZ46&lt;0),1,0)</f>
        <v/>
      </c>
    </row>
    <row r="47">
      <c r="A47" t="n">
        <v>38</v>
      </c>
      <c r="B47">
        <f>'名簿'!P42</f>
        <v/>
      </c>
      <c r="C47">
        <f>IF(AND(B47&lt;&gt;"",OR('名簿'!Q42="入力済み",'名簿'!Q42="×なし"),IO47=0,COUNTIF('調整・決定'!$C$6:$H$29,B47)=0),1,0)</f>
        <v/>
      </c>
      <c r="D47">
        <f>IF(D$4=1,IF(OR(INDEX('×入力'!$A$1:$L$1300,1043+D$3,2+D$2)&lt;&gt;"",INDEX('×入力'!$A$1:$L$1300,1042,2+D$2)&lt;&gt;"",INDEX('×入力'!$A$1:$L$1300,1043+D$3,1)&lt;&gt;""),1,0),0)</f>
        <v/>
      </c>
      <c r="E47">
        <f>IF(E$4=1,IF(OR(INDEX('×入力'!$A$1:$L$1300,1043+E$3,2+E$2)&lt;&gt;"",INDEX('×入力'!$A$1:$L$1300,1042,2+E$2)&lt;&gt;"",INDEX('×入力'!$A$1:$L$1300,1043+E$3,1)&lt;&gt;""),1,0),0)</f>
        <v/>
      </c>
      <c r="F47">
        <f>IF(F$4=1,IF(OR(INDEX('×入力'!$A$1:$L$1300,1043+F$3,2+F$2)&lt;&gt;"",INDEX('×入力'!$A$1:$L$1300,1042,2+F$2)&lt;&gt;"",INDEX('×入力'!$A$1:$L$1300,1043+F$3,1)&lt;&gt;""),1,0),0)</f>
        <v/>
      </c>
      <c r="G47">
        <f>IF(G$4=1,IF(OR(INDEX('×入力'!$A$1:$L$1300,1043+G$3,2+G$2)&lt;&gt;"",INDEX('×入力'!$A$1:$L$1300,1042,2+G$2)&lt;&gt;"",INDEX('×入力'!$A$1:$L$1300,1043+G$3,1)&lt;&gt;""),1,0),0)</f>
        <v/>
      </c>
      <c r="H47">
        <f>IF(H$4=1,IF(OR(INDEX('×入力'!$A$1:$L$1300,1043+H$3,2+H$2)&lt;&gt;"",INDEX('×入力'!$A$1:$L$1300,1042,2+H$2)&lt;&gt;"",INDEX('×入力'!$A$1:$L$1300,1043+H$3,1)&lt;&gt;""),1,0),0)</f>
        <v/>
      </c>
      <c r="I47">
        <f>IF(I$4=1,IF(OR(INDEX('×入力'!$A$1:$L$1300,1043+I$3,2+I$2)&lt;&gt;"",INDEX('×入力'!$A$1:$L$1300,1042,2+I$2)&lt;&gt;"",INDEX('×入力'!$A$1:$L$1300,1043+I$3,1)&lt;&gt;""),1,0),0)</f>
        <v/>
      </c>
      <c r="J47">
        <f>IF(J$4=1,IF(OR(INDEX('×入力'!$A$1:$L$1300,1043+J$3,2+J$2)&lt;&gt;"",INDEX('×入力'!$A$1:$L$1300,1042,2+J$2)&lt;&gt;"",INDEX('×入力'!$A$1:$L$1300,1043+J$3,1)&lt;&gt;""),1,0),0)</f>
        <v/>
      </c>
      <c r="K47">
        <f>IF(K$4=1,IF(OR(INDEX('×入力'!$A$1:$L$1300,1043+K$3,2+K$2)&lt;&gt;"",INDEX('×入力'!$A$1:$L$1300,1042,2+K$2)&lt;&gt;"",INDEX('×入力'!$A$1:$L$1300,1043+K$3,1)&lt;&gt;""),1,0),0)</f>
        <v/>
      </c>
      <c r="L47">
        <f>IF(L$4=1,IF(OR(INDEX('×入力'!$A$1:$L$1300,1043+L$3,2+L$2)&lt;&gt;"",INDEX('×入力'!$A$1:$L$1300,1042,2+L$2)&lt;&gt;"",INDEX('×入力'!$A$1:$L$1300,1043+L$3,1)&lt;&gt;""),1,0),0)</f>
        <v/>
      </c>
      <c r="M47">
        <f>IF(M$4=1,IF(OR(INDEX('×入力'!$A$1:$L$1300,1043+M$3,2+M$2)&lt;&gt;"",INDEX('×入力'!$A$1:$L$1300,1042,2+M$2)&lt;&gt;"",INDEX('×入力'!$A$1:$L$1300,1043+M$3,1)&lt;&gt;""),1,0),0)</f>
        <v/>
      </c>
      <c r="N47">
        <f>IF(N$4=1,IF(OR(INDEX('×入力'!$A$1:$L$1300,1043+N$3,2+N$2)&lt;&gt;"",INDEX('×入力'!$A$1:$L$1300,1042,2+N$2)&lt;&gt;"",INDEX('×入力'!$A$1:$L$1300,1043+N$3,1)&lt;&gt;""),1,0),0)</f>
        <v/>
      </c>
      <c r="O47">
        <f>IF(O$4=1,IF(OR(INDEX('×入力'!$A$1:$L$1300,1043+O$3,2+O$2)&lt;&gt;"",INDEX('×入力'!$A$1:$L$1300,1042,2+O$2)&lt;&gt;"",INDEX('×入力'!$A$1:$L$1300,1043+O$3,1)&lt;&gt;""),1,0),0)</f>
        <v/>
      </c>
      <c r="P47">
        <f>IF(P$4=1,IF(OR(INDEX('×入力'!$A$1:$L$1300,1043+P$3,2+P$2)&lt;&gt;"",INDEX('×入力'!$A$1:$L$1300,1042,2+P$2)&lt;&gt;"",INDEX('×入力'!$A$1:$L$1300,1043+P$3,1)&lt;&gt;""),1,0),0)</f>
        <v/>
      </c>
      <c r="Q47">
        <f>IF(Q$4=1,IF(OR(INDEX('×入力'!$A$1:$L$1300,1043+Q$3,2+Q$2)&lt;&gt;"",INDEX('×入力'!$A$1:$L$1300,1042,2+Q$2)&lt;&gt;"",INDEX('×入力'!$A$1:$L$1300,1043+Q$3,1)&lt;&gt;""),1,0),0)</f>
        <v/>
      </c>
      <c r="R47">
        <f>IF(R$4=1,IF(OR(INDEX('×入力'!$A$1:$L$1300,1043+R$3,2+R$2)&lt;&gt;"",INDEX('×入力'!$A$1:$L$1300,1042,2+R$2)&lt;&gt;"",INDEX('×入力'!$A$1:$L$1300,1043+R$3,1)&lt;&gt;""),1,0),0)</f>
        <v/>
      </c>
      <c r="S47">
        <f>IF(S$4=1,IF(OR(INDEX('×入力'!$A$1:$L$1300,1043+S$3,2+S$2)&lt;&gt;"",INDEX('×入力'!$A$1:$L$1300,1042,2+S$2)&lt;&gt;"",INDEX('×入力'!$A$1:$L$1300,1043+S$3,1)&lt;&gt;""),1,0),0)</f>
        <v/>
      </c>
      <c r="T47">
        <f>IF(T$4=1,IF(OR(INDEX('×入力'!$A$1:$L$1300,1043+T$3,2+T$2)&lt;&gt;"",INDEX('×入力'!$A$1:$L$1300,1042,2+T$2)&lt;&gt;"",INDEX('×入力'!$A$1:$L$1300,1043+T$3,1)&lt;&gt;""),1,0),0)</f>
        <v/>
      </c>
      <c r="U47">
        <f>IF(U$4=1,IF(OR(INDEX('×入力'!$A$1:$L$1300,1043+U$3,2+U$2)&lt;&gt;"",INDEX('×入力'!$A$1:$L$1300,1042,2+U$2)&lt;&gt;"",INDEX('×入力'!$A$1:$L$1300,1043+U$3,1)&lt;&gt;""),1,0),0)</f>
        <v/>
      </c>
      <c r="V47">
        <f>IF(V$4=1,IF(OR(INDEX('×入力'!$A$1:$L$1300,1043+V$3,2+V$2)&lt;&gt;"",INDEX('×入力'!$A$1:$L$1300,1042,2+V$2)&lt;&gt;"",INDEX('×入力'!$A$1:$L$1300,1043+V$3,1)&lt;&gt;""),1,0),0)</f>
        <v/>
      </c>
      <c r="W47">
        <f>IF(W$4=1,IF(OR(INDEX('×入力'!$A$1:$L$1300,1043+W$3,2+W$2)&lt;&gt;"",INDEX('×入力'!$A$1:$L$1300,1042,2+W$2)&lt;&gt;"",INDEX('×入力'!$A$1:$L$1300,1043+W$3,1)&lt;&gt;""),1,0),0)</f>
        <v/>
      </c>
      <c r="X47">
        <f>IF(X$4=1,IF(OR(INDEX('×入力'!$A$1:$L$1300,1043+X$3,2+X$2)&lt;&gt;"",INDEX('×入力'!$A$1:$L$1300,1042,2+X$2)&lt;&gt;"",INDEX('×入力'!$A$1:$L$1300,1043+X$3,1)&lt;&gt;""),1,0),0)</f>
        <v/>
      </c>
      <c r="Y47">
        <f>IF(Y$4=1,IF(OR(INDEX('×入力'!$A$1:$L$1300,1043+Y$3,2+Y$2)&lt;&gt;"",INDEX('×入力'!$A$1:$L$1300,1042,2+Y$2)&lt;&gt;"",INDEX('×入力'!$A$1:$L$1300,1043+Y$3,1)&lt;&gt;""),1,0),0)</f>
        <v/>
      </c>
      <c r="Z47">
        <f>IF(Z$4=1,IF(OR(INDEX('×入力'!$A$1:$L$1300,1043+Z$3,2+Z$2)&lt;&gt;"",INDEX('×入力'!$A$1:$L$1300,1042,2+Z$2)&lt;&gt;"",INDEX('×入力'!$A$1:$L$1300,1043+Z$3,1)&lt;&gt;""),1,0),0)</f>
        <v/>
      </c>
      <c r="AA47">
        <f>IF(AA$4=1,IF(OR(INDEX('×入力'!$A$1:$L$1300,1043+AA$3,2+AA$2)&lt;&gt;"",INDEX('×入力'!$A$1:$L$1300,1042,2+AA$2)&lt;&gt;"",INDEX('×入力'!$A$1:$L$1300,1043+AA$3,1)&lt;&gt;""),1,0),0)</f>
        <v/>
      </c>
      <c r="AB47">
        <f>IF(AB$4=1,IF(OR(INDEX('×入力'!$A$1:$L$1300,1043+AB$3,2+AB$2)&lt;&gt;"",INDEX('×入力'!$A$1:$L$1300,1042,2+AB$2)&lt;&gt;"",INDEX('×入力'!$A$1:$L$1300,1043+AB$3,1)&lt;&gt;""),1,0),0)</f>
        <v/>
      </c>
      <c r="AC47">
        <f>IF(AC$4=1,IF(OR(INDEX('×入力'!$A$1:$L$1300,1043+AC$3,2+AC$2)&lt;&gt;"",INDEX('×入力'!$A$1:$L$1300,1042,2+AC$2)&lt;&gt;"",INDEX('×入力'!$A$1:$L$1300,1043+AC$3,1)&lt;&gt;""),1,0),0)</f>
        <v/>
      </c>
      <c r="AD47">
        <f>IF(AD$4=1,IF(OR(INDEX('×入力'!$A$1:$L$1300,1043+AD$3,2+AD$2)&lt;&gt;"",INDEX('×入力'!$A$1:$L$1300,1042,2+AD$2)&lt;&gt;"",INDEX('×入力'!$A$1:$L$1300,1043+AD$3,1)&lt;&gt;""),1,0),0)</f>
        <v/>
      </c>
      <c r="AE47">
        <f>IF(AE$4=1,IF(OR(INDEX('×入力'!$A$1:$L$1300,1043+AE$3,2+AE$2)&lt;&gt;"",INDEX('×入力'!$A$1:$L$1300,1042,2+AE$2)&lt;&gt;"",INDEX('×入力'!$A$1:$L$1300,1043+AE$3,1)&lt;&gt;""),1,0),0)</f>
        <v/>
      </c>
      <c r="AF47">
        <f>IF(AF$4=1,IF(OR(INDEX('×入力'!$A$1:$L$1300,1043+AF$3,2+AF$2)&lt;&gt;"",INDEX('×入力'!$A$1:$L$1300,1042,2+AF$2)&lt;&gt;"",INDEX('×入力'!$A$1:$L$1300,1043+AF$3,1)&lt;&gt;""),1,0),0)</f>
        <v/>
      </c>
      <c r="AG47">
        <f>IF(AG$4=1,IF(OR(INDEX('×入力'!$A$1:$L$1300,1043+AG$3,2+AG$2)&lt;&gt;"",INDEX('×入力'!$A$1:$L$1300,1042,2+AG$2)&lt;&gt;"",INDEX('×入力'!$A$1:$L$1300,1043+AG$3,1)&lt;&gt;""),1,0),0)</f>
        <v/>
      </c>
      <c r="AH47">
        <f>IF(AH$4=1,IF(OR(INDEX('×入力'!$A$1:$L$1300,1043+AH$3,2+AH$2)&lt;&gt;"",INDEX('×入力'!$A$1:$L$1300,1042,2+AH$2)&lt;&gt;"",INDEX('×入力'!$A$1:$L$1300,1043+AH$3,1)&lt;&gt;""),1,0),0)</f>
        <v/>
      </c>
      <c r="AI47">
        <f>IF(AI$4=1,IF(OR(INDEX('×入力'!$A$1:$L$1300,1043+AI$3,2+AI$2)&lt;&gt;"",INDEX('×入力'!$A$1:$L$1300,1042,2+AI$2)&lt;&gt;"",INDEX('×入力'!$A$1:$L$1300,1043+AI$3,1)&lt;&gt;""),1,0),0)</f>
        <v/>
      </c>
      <c r="AJ47">
        <f>IF(AJ$4=1,IF(OR(INDEX('×入力'!$A$1:$L$1300,1043+AJ$3,2+AJ$2)&lt;&gt;"",INDEX('×入力'!$A$1:$L$1300,1042,2+AJ$2)&lt;&gt;"",INDEX('×入力'!$A$1:$L$1300,1043+AJ$3,1)&lt;&gt;""),1,0),0)</f>
        <v/>
      </c>
      <c r="AK47">
        <f>IF(AK$4=1,IF(OR(INDEX('×入力'!$A$1:$L$1300,1043+AK$3,2+AK$2)&lt;&gt;"",INDEX('×入力'!$A$1:$L$1300,1042,2+AK$2)&lt;&gt;"",INDEX('×入力'!$A$1:$L$1300,1043+AK$3,1)&lt;&gt;""),1,0),0)</f>
        <v/>
      </c>
      <c r="AL47">
        <f>IF(AL$4=1,IF(OR(INDEX('×入力'!$A$1:$L$1300,1043+AL$3,2+AL$2)&lt;&gt;"",INDEX('×入力'!$A$1:$L$1300,1042,2+AL$2)&lt;&gt;"",INDEX('×入力'!$A$1:$L$1300,1043+AL$3,1)&lt;&gt;""),1,0),0)</f>
        <v/>
      </c>
      <c r="AM47">
        <f>IF(AM$4=1,IF(OR(INDEX('×入力'!$A$1:$L$1300,1043+AM$3,2+AM$2)&lt;&gt;"",INDEX('×入力'!$A$1:$L$1300,1042,2+AM$2)&lt;&gt;"",INDEX('×入力'!$A$1:$L$1300,1043+AM$3,1)&lt;&gt;""),1,0),0)</f>
        <v/>
      </c>
      <c r="AN47">
        <f>IF(AN$4=1,IF(OR(INDEX('×入力'!$A$1:$L$1300,1043+AN$3,2+AN$2)&lt;&gt;"",INDEX('×入力'!$A$1:$L$1300,1042,2+AN$2)&lt;&gt;"",INDEX('×入力'!$A$1:$L$1300,1043+AN$3,1)&lt;&gt;""),1,0),0)</f>
        <v/>
      </c>
      <c r="AO47">
        <f>IF(AO$4=1,IF(OR(INDEX('×入力'!$A$1:$L$1300,1043+AO$3,2+AO$2)&lt;&gt;"",INDEX('×入力'!$A$1:$L$1300,1042,2+AO$2)&lt;&gt;"",INDEX('×入力'!$A$1:$L$1300,1043+AO$3,1)&lt;&gt;""),1,0),0)</f>
        <v/>
      </c>
      <c r="AP47">
        <f>IF(AP$4=1,IF(OR(INDEX('×入力'!$A$1:$L$1300,1043+AP$3,2+AP$2)&lt;&gt;"",INDEX('×入力'!$A$1:$L$1300,1042,2+AP$2)&lt;&gt;"",INDEX('×入力'!$A$1:$L$1300,1043+AP$3,1)&lt;&gt;""),1,0),0)</f>
        <v/>
      </c>
      <c r="AQ47">
        <f>IF(AQ$4=1,IF(OR(INDEX('×入力'!$A$1:$L$1300,1043+AQ$3,2+AQ$2)&lt;&gt;"",INDEX('×入力'!$A$1:$L$1300,1042,2+AQ$2)&lt;&gt;"",INDEX('×入力'!$A$1:$L$1300,1043+AQ$3,1)&lt;&gt;""),1,0),0)</f>
        <v/>
      </c>
      <c r="AR47">
        <f>IF(AR$4=1,IF(OR(INDEX('×入力'!$A$1:$L$1300,1043+AR$3,2+AR$2)&lt;&gt;"",INDEX('×入力'!$A$1:$L$1300,1042,2+AR$2)&lt;&gt;"",INDEX('×入力'!$A$1:$L$1300,1043+AR$3,1)&lt;&gt;""),1,0),0)</f>
        <v/>
      </c>
      <c r="AS47">
        <f>IF(AS$4=1,IF(OR(INDEX('×入力'!$A$1:$L$1300,1043+AS$3,2+AS$2)&lt;&gt;"",INDEX('×入力'!$A$1:$L$1300,1042,2+AS$2)&lt;&gt;"",INDEX('×入力'!$A$1:$L$1300,1043+AS$3,1)&lt;&gt;""),1,0),0)</f>
        <v/>
      </c>
      <c r="AT47">
        <f>IF(AT$4=1,IF(OR(INDEX('×入力'!$A$1:$L$1300,1043+AT$3,2+AT$2)&lt;&gt;"",INDEX('×入力'!$A$1:$L$1300,1042,2+AT$2)&lt;&gt;"",INDEX('×入力'!$A$1:$L$1300,1043+AT$3,1)&lt;&gt;""),1,0),0)</f>
        <v/>
      </c>
      <c r="AU47">
        <f>IF(AU$4=1,IF(OR(INDEX('×入力'!$A$1:$L$1300,1043+AU$3,2+AU$2)&lt;&gt;"",INDEX('×入力'!$A$1:$L$1300,1042,2+AU$2)&lt;&gt;"",INDEX('×入力'!$A$1:$L$1300,1043+AU$3,1)&lt;&gt;""),1,0),0)</f>
        <v/>
      </c>
      <c r="AV47">
        <f>IF(AV$4=1,IF(OR(INDEX('×入力'!$A$1:$L$1300,1043+AV$3,2+AV$2)&lt;&gt;"",INDEX('×入力'!$A$1:$L$1300,1042,2+AV$2)&lt;&gt;"",INDEX('×入力'!$A$1:$L$1300,1043+AV$3,1)&lt;&gt;""),1,0),0)</f>
        <v/>
      </c>
      <c r="AW47">
        <f>IF(AW$4=1,IF(OR(INDEX('×入力'!$A$1:$L$1300,1043+AW$3,2+AW$2)&lt;&gt;"",INDEX('×入力'!$A$1:$L$1300,1042,2+AW$2)&lt;&gt;"",INDEX('×入力'!$A$1:$L$1300,1043+AW$3,1)&lt;&gt;""),1,0),0)</f>
        <v/>
      </c>
      <c r="AX47">
        <f>IF(AX$4=1,IF(OR(INDEX('×入力'!$A$1:$L$1300,1043+AX$3,2+AX$2)&lt;&gt;"",INDEX('×入力'!$A$1:$L$1300,1042,2+AX$2)&lt;&gt;"",INDEX('×入力'!$A$1:$L$1300,1043+AX$3,1)&lt;&gt;""),1,0),0)</f>
        <v/>
      </c>
      <c r="AY47">
        <f>IF(AY$4=1,IF(OR(INDEX('×入力'!$A$1:$L$1300,1043+AY$3,2+AY$2)&lt;&gt;"",INDEX('×入力'!$A$1:$L$1300,1042,2+AY$2)&lt;&gt;"",INDEX('×入力'!$A$1:$L$1300,1043+AY$3,1)&lt;&gt;""),1,0),0)</f>
        <v/>
      </c>
      <c r="AZ47">
        <f>IF(AZ$4=1,IF(OR(INDEX('×入力'!$A$1:$L$1300,1043+AZ$3,2+AZ$2)&lt;&gt;"",INDEX('×入力'!$A$1:$L$1300,1042,2+AZ$2)&lt;&gt;"",INDEX('×入力'!$A$1:$L$1300,1043+AZ$3,1)&lt;&gt;""),1,0),0)</f>
        <v/>
      </c>
      <c r="BA47">
        <f>IF(BA$4=1,IF(OR(INDEX('×入力'!$A$1:$L$1300,1043+BA$3,2+BA$2)&lt;&gt;"",INDEX('×入力'!$A$1:$L$1300,1042,2+BA$2)&lt;&gt;"",INDEX('×入力'!$A$1:$L$1300,1043+BA$3,1)&lt;&gt;""),1,0),0)</f>
        <v/>
      </c>
      <c r="BB47">
        <f>IF(BB$4=1,IF(OR(INDEX('×入力'!$A$1:$L$1300,1043+BB$3,2+BB$2)&lt;&gt;"",INDEX('×入力'!$A$1:$L$1300,1042,2+BB$2)&lt;&gt;"",INDEX('×入力'!$A$1:$L$1300,1043+BB$3,1)&lt;&gt;""),1,0),0)</f>
        <v/>
      </c>
      <c r="BC47">
        <f>IF(BC$4=1,IF(OR(INDEX('×入力'!$A$1:$L$1300,1043+BC$3,2+BC$2)&lt;&gt;"",INDEX('×入力'!$A$1:$L$1300,1042,2+BC$2)&lt;&gt;"",INDEX('×入力'!$A$1:$L$1300,1043+BC$3,1)&lt;&gt;""),1,0),0)</f>
        <v/>
      </c>
      <c r="BD47">
        <f>IF(BD$4=1,IF(OR(INDEX('×入力'!$A$1:$L$1300,1043+BD$3,2+BD$2)&lt;&gt;"",INDEX('×入力'!$A$1:$L$1300,1042,2+BD$2)&lt;&gt;"",INDEX('×入力'!$A$1:$L$1300,1043+BD$3,1)&lt;&gt;""),1,0),0)</f>
        <v/>
      </c>
      <c r="BE47">
        <f>IF(BE$4=1,IF(OR(INDEX('×入力'!$A$1:$L$1300,1043+BE$3,2+BE$2)&lt;&gt;"",INDEX('×入力'!$A$1:$L$1300,1042,2+BE$2)&lt;&gt;"",INDEX('×入力'!$A$1:$L$1300,1043+BE$3,1)&lt;&gt;""),1,0),0)</f>
        <v/>
      </c>
      <c r="BF47">
        <f>IF(BF$4=1,IF(OR(INDEX('×入力'!$A$1:$L$1300,1043+BF$3,2+BF$2)&lt;&gt;"",INDEX('×入力'!$A$1:$L$1300,1042,2+BF$2)&lt;&gt;"",INDEX('×入力'!$A$1:$L$1300,1043+BF$3,1)&lt;&gt;""),1,0),0)</f>
        <v/>
      </c>
      <c r="BG47">
        <f>IF(BG$4=1,IF(OR(INDEX('×入力'!$A$1:$L$1300,1043+BG$3,2+BG$2)&lt;&gt;"",INDEX('×入力'!$A$1:$L$1300,1042,2+BG$2)&lt;&gt;"",INDEX('×入力'!$A$1:$L$1300,1043+BG$3,1)&lt;&gt;""),1,0),0)</f>
        <v/>
      </c>
      <c r="BH47">
        <f>IF(BH$4=1,IF(OR(INDEX('×入力'!$A$1:$L$1300,1043+BH$3,2+BH$2)&lt;&gt;"",INDEX('×入力'!$A$1:$L$1300,1042,2+BH$2)&lt;&gt;"",INDEX('×入力'!$A$1:$L$1300,1043+BH$3,1)&lt;&gt;""),1,0),0)</f>
        <v/>
      </c>
      <c r="BI47">
        <f>IF(BI$4=1,IF(OR(INDEX('×入力'!$A$1:$L$1300,1043+BI$3,2+BI$2)&lt;&gt;"",INDEX('×入力'!$A$1:$L$1300,1042,2+BI$2)&lt;&gt;"",INDEX('×入力'!$A$1:$L$1300,1043+BI$3,1)&lt;&gt;""),1,0),0)</f>
        <v/>
      </c>
      <c r="BJ47">
        <f>IF(BJ$4=1,IF(OR(INDEX('×入力'!$A$1:$L$1300,1043+BJ$3,2+BJ$2)&lt;&gt;"",INDEX('×入力'!$A$1:$L$1300,1042,2+BJ$2)&lt;&gt;"",INDEX('×入力'!$A$1:$L$1300,1043+BJ$3,1)&lt;&gt;""),1,0),0)</f>
        <v/>
      </c>
      <c r="BK47">
        <f>IF(BK$4=1,IF(OR(INDEX('×入力'!$A$1:$L$1300,1043+BK$3,2+BK$2)&lt;&gt;"",INDEX('×入力'!$A$1:$L$1300,1042,2+BK$2)&lt;&gt;"",INDEX('×入力'!$A$1:$L$1300,1043+BK$3,1)&lt;&gt;""),1,0),0)</f>
        <v/>
      </c>
      <c r="BL47">
        <f>IF(BL$4=1,IF(OR(INDEX('×入力'!$A$1:$L$1300,1043+BL$3,2+BL$2)&lt;&gt;"",INDEX('×入力'!$A$1:$L$1300,1042,2+BL$2)&lt;&gt;"",INDEX('×入力'!$A$1:$L$1300,1043+BL$3,1)&lt;&gt;""),1,0),0)</f>
        <v/>
      </c>
      <c r="BM47">
        <f>IF(BM$4=1,IF(OR(INDEX('×入力'!$A$1:$L$1300,1043+BM$3,2+BM$2)&lt;&gt;"",INDEX('×入力'!$A$1:$L$1300,1042,2+BM$2)&lt;&gt;"",INDEX('×入力'!$A$1:$L$1300,1043+BM$3,1)&lt;&gt;""),1,0),0)</f>
        <v/>
      </c>
      <c r="BN47">
        <f>IF(BN$4=1,IF(OR(INDEX('×入力'!$A$1:$L$1300,1043+BN$3,2+BN$2)&lt;&gt;"",INDEX('×入力'!$A$1:$L$1300,1042,2+BN$2)&lt;&gt;"",INDEX('×入力'!$A$1:$L$1300,1043+BN$3,1)&lt;&gt;""),1,0),0)</f>
        <v/>
      </c>
      <c r="BO47">
        <f>IF(BO$4=1,IF(OR(INDEX('×入力'!$A$1:$L$1300,1043+BO$3,2+BO$2)&lt;&gt;"",INDEX('×入力'!$A$1:$L$1300,1042,2+BO$2)&lt;&gt;"",INDEX('×入力'!$A$1:$L$1300,1043+BO$3,1)&lt;&gt;""),1,0),0)</f>
        <v/>
      </c>
      <c r="BP47">
        <f>IF(BP$4=1,IF(OR(INDEX('×入力'!$A$1:$L$1300,1043+BP$3,2+BP$2)&lt;&gt;"",INDEX('×入力'!$A$1:$L$1300,1042,2+BP$2)&lt;&gt;"",INDEX('×入力'!$A$1:$L$1300,1043+BP$3,1)&lt;&gt;""),1,0),0)</f>
        <v/>
      </c>
      <c r="BQ47">
        <f>IF(BQ$4=1,IF(OR(INDEX('×入力'!$A$1:$L$1300,1043+BQ$3,2+BQ$2)&lt;&gt;"",INDEX('×入力'!$A$1:$L$1300,1042,2+BQ$2)&lt;&gt;"",INDEX('×入力'!$A$1:$L$1300,1043+BQ$3,1)&lt;&gt;""),1,0),0)</f>
        <v/>
      </c>
      <c r="BR47">
        <f>IF(BR$4=1,IF(OR(INDEX('×入力'!$A$1:$L$1300,1043+BR$3,2+BR$2)&lt;&gt;"",INDEX('×入力'!$A$1:$L$1300,1042,2+BR$2)&lt;&gt;"",INDEX('×入力'!$A$1:$L$1300,1043+BR$3,1)&lt;&gt;""),1,0),0)</f>
        <v/>
      </c>
      <c r="BS47">
        <f>IF(BS$4=1,IF(OR(INDEX('×入力'!$A$1:$L$1300,1043+BS$3,2+BS$2)&lt;&gt;"",INDEX('×入力'!$A$1:$L$1300,1042,2+BS$2)&lt;&gt;"",INDEX('×入力'!$A$1:$L$1300,1043+BS$3,1)&lt;&gt;""),1,0),0)</f>
        <v/>
      </c>
      <c r="BT47">
        <f>IF(BT$4=1,IF(OR(INDEX('×入力'!$A$1:$L$1300,1043+BT$3,2+BT$2)&lt;&gt;"",INDEX('×入力'!$A$1:$L$1300,1042,2+BT$2)&lt;&gt;"",INDEX('×入力'!$A$1:$L$1300,1043+BT$3,1)&lt;&gt;""),1,0),0)</f>
        <v/>
      </c>
      <c r="BU47">
        <f>IF(BU$4=1,IF(OR(INDEX('×入力'!$A$1:$L$1300,1043+BU$3,2+BU$2)&lt;&gt;"",INDEX('×入力'!$A$1:$L$1300,1042,2+BU$2)&lt;&gt;"",INDEX('×入力'!$A$1:$L$1300,1043+BU$3,1)&lt;&gt;""),1,0),0)</f>
        <v/>
      </c>
      <c r="BV47">
        <f>IF(BV$4=1,IF(OR(INDEX('×入力'!$A$1:$L$1300,1043+BV$3,2+BV$2)&lt;&gt;"",INDEX('×入力'!$A$1:$L$1300,1042,2+BV$2)&lt;&gt;"",INDEX('×入力'!$A$1:$L$1300,1043+BV$3,1)&lt;&gt;""),1,0),0)</f>
        <v/>
      </c>
      <c r="BW47">
        <f>IF(BW$4=1,IF(OR(INDEX('×入力'!$A$1:$L$1300,1043+BW$3,2+BW$2)&lt;&gt;"",INDEX('×入力'!$A$1:$L$1300,1042,2+BW$2)&lt;&gt;"",INDEX('×入力'!$A$1:$L$1300,1043+BW$3,1)&lt;&gt;""),1,0),0)</f>
        <v/>
      </c>
      <c r="BX47">
        <f>IF(BX$4=1,IF(OR(INDEX('×入力'!$A$1:$L$1300,1043+BX$3,2+BX$2)&lt;&gt;"",INDEX('×入力'!$A$1:$L$1300,1042,2+BX$2)&lt;&gt;"",INDEX('×入力'!$A$1:$L$1300,1043+BX$3,1)&lt;&gt;""),1,0),0)</f>
        <v/>
      </c>
      <c r="BY47">
        <f>IF(BY$4=1,IF(OR(INDEX('×入力'!$A$1:$L$1300,1043+BY$3,2+BY$2)&lt;&gt;"",INDEX('×入力'!$A$1:$L$1300,1042,2+BY$2)&lt;&gt;"",INDEX('×入力'!$A$1:$L$1300,1043+BY$3,1)&lt;&gt;""),1,0),0)</f>
        <v/>
      </c>
      <c r="BZ47">
        <f>IF(BZ$4=1,IF(OR(INDEX('×入力'!$A$1:$L$1300,1043+BZ$3,2+BZ$2)&lt;&gt;"",INDEX('×入力'!$A$1:$L$1300,1042,2+BZ$2)&lt;&gt;"",INDEX('×入力'!$A$1:$L$1300,1043+BZ$3,1)&lt;&gt;""),1,0),0)</f>
        <v/>
      </c>
      <c r="CA47">
        <f>IF(CA$4=1,IF(OR(INDEX('×入力'!$A$1:$L$1300,1043+CA$3,2+CA$2)&lt;&gt;"",INDEX('×入力'!$A$1:$L$1300,1042,2+CA$2)&lt;&gt;"",INDEX('×入力'!$A$1:$L$1300,1043+CA$3,1)&lt;&gt;""),1,0),0)</f>
        <v/>
      </c>
      <c r="CB47">
        <f>IF(CB$4=1,IF(OR(INDEX('×入力'!$A$1:$L$1300,1043+CB$3,2+CB$2)&lt;&gt;"",INDEX('×入力'!$A$1:$L$1300,1042,2+CB$2)&lt;&gt;"",INDEX('×入力'!$A$1:$L$1300,1043+CB$3,1)&lt;&gt;""),1,0),0)</f>
        <v/>
      </c>
      <c r="CC47">
        <f>IF(CC$4=1,IF(OR(INDEX('×入力'!$A$1:$L$1300,1043+CC$3,2+CC$2)&lt;&gt;"",INDEX('×入力'!$A$1:$L$1300,1042,2+CC$2)&lt;&gt;"",INDEX('×入力'!$A$1:$L$1300,1043+CC$3,1)&lt;&gt;""),1,0),0)</f>
        <v/>
      </c>
      <c r="CD47">
        <f>IF(CD$4=1,IF(OR(INDEX('×入力'!$A$1:$L$1300,1043+CD$3,2+CD$2)&lt;&gt;"",INDEX('×入力'!$A$1:$L$1300,1042,2+CD$2)&lt;&gt;"",INDEX('×入力'!$A$1:$L$1300,1043+CD$3,1)&lt;&gt;""),1,0),0)</f>
        <v/>
      </c>
      <c r="CE47">
        <f>IF(CE$4=1,IF(OR(INDEX('×入力'!$A$1:$L$1300,1043+CE$3,2+CE$2)&lt;&gt;"",INDEX('×入力'!$A$1:$L$1300,1042,2+CE$2)&lt;&gt;"",INDEX('×入力'!$A$1:$L$1300,1043+CE$3,1)&lt;&gt;""),1,0),0)</f>
        <v/>
      </c>
      <c r="CF47">
        <f>IF(CF$4=1,IF(OR(INDEX('×入力'!$A$1:$L$1300,1043+CF$3,2+CF$2)&lt;&gt;"",INDEX('×入力'!$A$1:$L$1300,1042,2+CF$2)&lt;&gt;"",INDEX('×入力'!$A$1:$L$1300,1043+CF$3,1)&lt;&gt;""),1,0),0)</f>
        <v/>
      </c>
      <c r="CG47">
        <f>IF(CG$4=1,IF(OR(INDEX('×入力'!$A$1:$L$1300,1043+CG$3,2+CG$2)&lt;&gt;"",INDEX('×入力'!$A$1:$L$1300,1042,2+CG$2)&lt;&gt;"",INDEX('×入力'!$A$1:$L$1300,1043+CG$3,1)&lt;&gt;""),1,0),0)</f>
        <v/>
      </c>
      <c r="CH47">
        <f>IF(CH$4=1,IF(OR(INDEX('×入力'!$A$1:$L$1300,1043+CH$3,2+CH$2)&lt;&gt;"",INDEX('×入力'!$A$1:$L$1300,1042,2+CH$2)&lt;&gt;"",INDEX('×入力'!$A$1:$L$1300,1043+CH$3,1)&lt;&gt;""),1,0),0)</f>
        <v/>
      </c>
      <c r="CI47">
        <f>IF(CI$4=1,IF(OR(INDEX('×入力'!$A$1:$L$1300,1043+CI$3,2+CI$2)&lt;&gt;"",INDEX('×入力'!$A$1:$L$1300,1042,2+CI$2)&lt;&gt;"",INDEX('×入力'!$A$1:$L$1300,1043+CI$3,1)&lt;&gt;""),1,0),0)</f>
        <v/>
      </c>
      <c r="CJ47">
        <f>IF(CJ$4=1,IF(OR(INDEX('×入力'!$A$1:$L$1300,1043+CJ$3,2+CJ$2)&lt;&gt;"",INDEX('×入力'!$A$1:$L$1300,1042,2+CJ$2)&lt;&gt;"",INDEX('×入力'!$A$1:$L$1300,1043+CJ$3,1)&lt;&gt;""),1,0),0)</f>
        <v/>
      </c>
      <c r="CK47">
        <f>IF(CK$4=1,IF(OR(INDEX('×入力'!$A$1:$L$1300,1043+CK$3,2+CK$2)&lt;&gt;"",INDEX('×入力'!$A$1:$L$1300,1042,2+CK$2)&lt;&gt;"",INDEX('×入力'!$A$1:$L$1300,1043+CK$3,1)&lt;&gt;""),1,0),0)</f>
        <v/>
      </c>
      <c r="CL47">
        <f>IF(CL$4=1,IF(OR(INDEX('×入力'!$A$1:$L$1300,1043+CL$3,2+CL$2)&lt;&gt;"",INDEX('×入力'!$A$1:$L$1300,1042,2+CL$2)&lt;&gt;"",INDEX('×入力'!$A$1:$L$1300,1043+CL$3,1)&lt;&gt;""),1,0),0)</f>
        <v/>
      </c>
      <c r="CM47">
        <f>IF(CM$4=1,IF(OR(INDEX('×入力'!$A$1:$L$1300,1043+CM$3,2+CM$2)&lt;&gt;"",INDEX('×入力'!$A$1:$L$1300,1042,2+CM$2)&lt;&gt;"",INDEX('×入力'!$A$1:$L$1300,1043+CM$3,1)&lt;&gt;""),1,0),0)</f>
        <v/>
      </c>
      <c r="CN47">
        <f>IF(CN$4=1,IF(OR(INDEX('×入力'!$A$1:$L$1300,1043+CN$3,2+CN$2)&lt;&gt;"",INDEX('×入力'!$A$1:$L$1300,1042,2+CN$2)&lt;&gt;"",INDEX('×入力'!$A$1:$L$1300,1043+CN$3,1)&lt;&gt;""),1,0),0)</f>
        <v/>
      </c>
      <c r="CO47">
        <f>IF(CO$4=1,IF(OR(INDEX('×入力'!$A$1:$L$1300,1043+CO$3,2+CO$2)&lt;&gt;"",INDEX('×入力'!$A$1:$L$1300,1042,2+CO$2)&lt;&gt;"",INDEX('×入力'!$A$1:$L$1300,1043+CO$3,1)&lt;&gt;""),1,0),0)</f>
        <v/>
      </c>
      <c r="CP47">
        <f>IF(CP$4=1,IF(OR(INDEX('×入力'!$A$1:$L$1300,1043+CP$3,2+CP$2)&lt;&gt;"",INDEX('×入力'!$A$1:$L$1300,1042,2+CP$2)&lt;&gt;"",INDEX('×入力'!$A$1:$L$1300,1043+CP$3,1)&lt;&gt;""),1,0),0)</f>
        <v/>
      </c>
      <c r="CQ47">
        <f>IF(CQ$4=1,IF(OR(INDEX('×入力'!$A$1:$L$1300,1043+CQ$3,2+CQ$2)&lt;&gt;"",INDEX('×入力'!$A$1:$L$1300,1042,2+CQ$2)&lt;&gt;"",INDEX('×入力'!$A$1:$L$1300,1043+CQ$3,1)&lt;&gt;""),1,0),0)</f>
        <v/>
      </c>
      <c r="CR47">
        <f>IF(CR$4=1,IF(OR(INDEX('×入力'!$A$1:$L$1300,1043+CR$3,2+CR$2)&lt;&gt;"",INDEX('×入力'!$A$1:$L$1300,1042,2+CR$2)&lt;&gt;"",INDEX('×入力'!$A$1:$L$1300,1043+CR$3,1)&lt;&gt;""),1,0),0)</f>
        <v/>
      </c>
      <c r="CS47">
        <f>IF(CS$4=1,IF(OR(INDEX('×入力'!$A$1:$L$1300,1043+CS$3,2+CS$2)&lt;&gt;"",INDEX('×入力'!$A$1:$L$1300,1042,2+CS$2)&lt;&gt;"",INDEX('×入力'!$A$1:$L$1300,1043+CS$3,1)&lt;&gt;""),1,0),0)</f>
        <v/>
      </c>
      <c r="CT47">
        <f>IF(CT$4=1,IF(OR(INDEX('×入力'!$A$1:$L$1300,1043+CT$3,2+CT$2)&lt;&gt;"",INDEX('×入力'!$A$1:$L$1300,1042,2+CT$2)&lt;&gt;"",INDEX('×入力'!$A$1:$L$1300,1043+CT$3,1)&lt;&gt;""),1,0),0)</f>
        <v/>
      </c>
      <c r="CU47">
        <f>IF(CU$4=1,IF(OR(INDEX('×入力'!$A$1:$L$1300,1043+CU$3,2+CU$2)&lt;&gt;"",INDEX('×入力'!$A$1:$L$1300,1042,2+CU$2)&lt;&gt;"",INDEX('×入力'!$A$1:$L$1300,1043+CU$3,1)&lt;&gt;""),1,0),0)</f>
        <v/>
      </c>
      <c r="CV47">
        <f>IF(CV$4=1,IF(OR(INDEX('×入力'!$A$1:$L$1300,1043+CV$3,2+CV$2)&lt;&gt;"",INDEX('×入力'!$A$1:$L$1300,1042,2+CV$2)&lt;&gt;"",INDEX('×入力'!$A$1:$L$1300,1043+CV$3,1)&lt;&gt;""),1,0),0)</f>
        <v/>
      </c>
      <c r="CW47">
        <f>IF(CW$4=1,IF(OR(INDEX('×入力'!$A$1:$L$1300,1043+CW$3,2+CW$2)&lt;&gt;"",INDEX('×入力'!$A$1:$L$1300,1042,2+CW$2)&lt;&gt;"",INDEX('×入力'!$A$1:$L$1300,1043+CW$3,1)&lt;&gt;""),1,0),0)</f>
        <v/>
      </c>
      <c r="CX47">
        <f>IF(CX$4=1,IF(OR(INDEX('×入力'!$A$1:$L$1300,1043+CX$3,2+CX$2)&lt;&gt;"",INDEX('×入力'!$A$1:$L$1300,1042,2+CX$2)&lt;&gt;"",INDEX('×入力'!$A$1:$L$1300,1043+CX$3,1)&lt;&gt;""),1,0),0)</f>
        <v/>
      </c>
      <c r="CY47">
        <f>IF(CY$4=1,IF(OR(INDEX('×入力'!$A$1:$L$1300,1043+CY$3,2+CY$2)&lt;&gt;"",INDEX('×入力'!$A$1:$L$1300,1042,2+CY$2)&lt;&gt;"",INDEX('×入力'!$A$1:$L$1300,1043+CY$3,1)&lt;&gt;""),1,0),0)</f>
        <v/>
      </c>
      <c r="CZ47">
        <f>IF(CZ$4=1,IF(OR(INDEX('×入力'!$A$1:$L$1300,1043+CZ$3,2+CZ$2)&lt;&gt;"",INDEX('×入力'!$A$1:$L$1300,1042,2+CZ$2)&lt;&gt;"",INDEX('×入力'!$A$1:$L$1300,1043+CZ$3,1)&lt;&gt;""),1,0),0)</f>
        <v/>
      </c>
      <c r="DA47">
        <f>IF(DA$4=1,IF(OR(INDEX('×入力'!$A$1:$L$1300,1043+DA$3,2+DA$2)&lt;&gt;"",INDEX('×入力'!$A$1:$L$1300,1042,2+DA$2)&lt;&gt;"",INDEX('×入力'!$A$1:$L$1300,1043+DA$3,1)&lt;&gt;""),1,0),0)</f>
        <v/>
      </c>
      <c r="DB47">
        <f>IF(DB$4=1,IF(OR(INDEX('×入力'!$A$1:$L$1300,1043+DB$3,2+DB$2)&lt;&gt;"",INDEX('×入力'!$A$1:$L$1300,1042,2+DB$2)&lt;&gt;"",INDEX('×入力'!$A$1:$L$1300,1043+DB$3,1)&lt;&gt;""),1,0),0)</f>
        <v/>
      </c>
      <c r="DC47">
        <f>IF(DC$4=1,IF(OR(INDEX('×入力'!$A$1:$L$1300,1043+DC$3,2+DC$2)&lt;&gt;"",INDEX('×入力'!$A$1:$L$1300,1042,2+DC$2)&lt;&gt;"",INDEX('×入力'!$A$1:$L$1300,1043+DC$3,1)&lt;&gt;""),1,0),0)</f>
        <v/>
      </c>
      <c r="DD47">
        <f>IF(DD$4=1,IF(OR(INDEX('×入力'!$A$1:$L$1300,1043+DD$3,2+DD$2)&lt;&gt;"",INDEX('×入力'!$A$1:$L$1300,1042,2+DD$2)&lt;&gt;"",INDEX('×入力'!$A$1:$L$1300,1043+DD$3,1)&lt;&gt;""),1,0),0)</f>
        <v/>
      </c>
      <c r="DE47">
        <f>IF(DE$4=1,IF(OR(INDEX('×入力'!$A$1:$L$1300,1043+DE$3,2+DE$2)&lt;&gt;"",INDEX('×入力'!$A$1:$L$1300,1042,2+DE$2)&lt;&gt;"",INDEX('×入力'!$A$1:$L$1300,1043+DE$3,1)&lt;&gt;""),1,0),0)</f>
        <v/>
      </c>
      <c r="DF47">
        <f>IF(DF$4=1,IF(OR(INDEX('×入力'!$A$1:$L$1300,1043+DF$3,2+DF$2)&lt;&gt;"",INDEX('×入力'!$A$1:$L$1300,1042,2+DF$2)&lt;&gt;"",INDEX('×入力'!$A$1:$L$1300,1043+DF$3,1)&lt;&gt;""),1,0),0)</f>
        <v/>
      </c>
      <c r="DG47">
        <f>IF(DG$4=1,IF(OR(INDEX('×入力'!$A$1:$L$1300,1043+DG$3,2+DG$2)&lt;&gt;"",INDEX('×入力'!$A$1:$L$1300,1042,2+DG$2)&lt;&gt;"",INDEX('×入力'!$A$1:$L$1300,1043+DG$3,1)&lt;&gt;""),1,0),0)</f>
        <v/>
      </c>
      <c r="DH47">
        <f>IF(DH$4=1,IF(OR(INDEX('×入力'!$A$1:$L$1300,1043+DH$3,2+DH$2)&lt;&gt;"",INDEX('×入力'!$A$1:$L$1300,1042,2+DH$2)&lt;&gt;"",INDEX('×入力'!$A$1:$L$1300,1043+DH$3,1)&lt;&gt;""),1,0),0)</f>
        <v/>
      </c>
      <c r="DI47">
        <f>IF(DI$4=1,IF(OR(INDEX('×入力'!$A$1:$L$1300,1043+DI$3,2+DI$2)&lt;&gt;"",INDEX('×入力'!$A$1:$L$1300,1042,2+DI$2)&lt;&gt;"",INDEX('×入力'!$A$1:$L$1300,1043+DI$3,1)&lt;&gt;""),1,0),0)</f>
        <v/>
      </c>
      <c r="DJ47">
        <f>IF(DJ$4=1,IF(OR(INDEX('×入力'!$A$1:$L$1300,1043+DJ$3,2+DJ$2)&lt;&gt;"",INDEX('×入力'!$A$1:$L$1300,1042,2+DJ$2)&lt;&gt;"",INDEX('×入力'!$A$1:$L$1300,1043+DJ$3,1)&lt;&gt;""),1,0),0)</f>
        <v/>
      </c>
      <c r="DK47">
        <f>IF(DK$4=1,IF(OR(INDEX('×入力'!$A$1:$L$1300,1043+DK$3,2+DK$2)&lt;&gt;"",INDEX('×入力'!$A$1:$L$1300,1042,2+DK$2)&lt;&gt;"",INDEX('×入力'!$A$1:$L$1300,1043+DK$3,1)&lt;&gt;""),1,0),0)</f>
        <v/>
      </c>
      <c r="DL47">
        <f>IF(DL$4=1,IF(OR(INDEX('×入力'!$A$1:$L$1300,1043+DL$3,2+DL$2)&lt;&gt;"",INDEX('×入力'!$A$1:$L$1300,1042,2+DL$2)&lt;&gt;"",INDEX('×入力'!$A$1:$L$1300,1043+DL$3,1)&lt;&gt;""),1,0),0)</f>
        <v/>
      </c>
      <c r="DM47">
        <f>IF(DM$4=1,IF(OR(INDEX('×入力'!$A$1:$L$1300,1043+DM$3,2+DM$2)&lt;&gt;"",INDEX('×入力'!$A$1:$L$1300,1042,2+DM$2)&lt;&gt;"",INDEX('×入力'!$A$1:$L$1300,1043+DM$3,1)&lt;&gt;""),1,0),0)</f>
        <v/>
      </c>
      <c r="DN47">
        <f>IF(DN$4=1,IF(OR(INDEX('×入力'!$A$1:$L$1300,1043+DN$3,2+DN$2)&lt;&gt;"",INDEX('×入力'!$A$1:$L$1300,1042,2+DN$2)&lt;&gt;"",INDEX('×入力'!$A$1:$L$1300,1043+DN$3,1)&lt;&gt;""),1,0),0)</f>
        <v/>
      </c>
      <c r="DO47">
        <f>IF(DO$4=1,IF(OR(INDEX('×入力'!$A$1:$L$1300,1043+DO$3,2+DO$2)&lt;&gt;"",INDEX('×入力'!$A$1:$L$1300,1042,2+DO$2)&lt;&gt;"",INDEX('×入力'!$A$1:$L$1300,1043+DO$3,1)&lt;&gt;""),1,0),0)</f>
        <v/>
      </c>
      <c r="DP47">
        <f>IF(DP$4=1,IF(OR(INDEX('×入力'!$A$1:$L$1300,1043+DP$3,2+DP$2)&lt;&gt;"",INDEX('×入力'!$A$1:$L$1300,1042,2+DP$2)&lt;&gt;"",INDEX('×入力'!$A$1:$L$1300,1043+DP$3,1)&lt;&gt;""),1,0),0)</f>
        <v/>
      </c>
      <c r="DQ47">
        <f>IF(DQ$4=1,IF(OR(INDEX('×入力'!$A$1:$L$1300,1043+DQ$3,2+DQ$2)&lt;&gt;"",INDEX('×入力'!$A$1:$L$1300,1042,2+DQ$2)&lt;&gt;"",INDEX('×入力'!$A$1:$L$1300,1043+DQ$3,1)&lt;&gt;""),1,0),0)</f>
        <v/>
      </c>
      <c r="DR47">
        <f>IF(DR$4=1,IF(OR(INDEX('×入力'!$A$1:$L$1300,1043+DR$3,2+DR$2)&lt;&gt;"",INDEX('×入力'!$A$1:$L$1300,1042,2+DR$2)&lt;&gt;"",INDEX('×入力'!$A$1:$L$1300,1043+DR$3,1)&lt;&gt;""),1,0),0)</f>
        <v/>
      </c>
      <c r="DS47">
        <f>IF(DS$4=1,IF(OR(INDEX('×入力'!$A$1:$L$1300,1043+DS$3,2+DS$2)&lt;&gt;"",INDEX('×入力'!$A$1:$L$1300,1042,2+DS$2)&lt;&gt;"",INDEX('×入力'!$A$1:$L$1300,1043+DS$3,1)&lt;&gt;""),1,0),0)</f>
        <v/>
      </c>
      <c r="DT47">
        <f>IF(DT$4=1,IF(OR(INDEX('×入力'!$A$1:$L$1300,1043+DT$3,2+DT$2)&lt;&gt;"",INDEX('×入力'!$A$1:$L$1300,1042,2+DT$2)&lt;&gt;"",INDEX('×入力'!$A$1:$L$1300,1043+DT$3,1)&lt;&gt;""),1,0),0)</f>
        <v/>
      </c>
      <c r="DU47">
        <f>IF(DU$4=1,IF(OR(INDEX('×入力'!$A$1:$L$1300,1043+DU$3,2+DU$2)&lt;&gt;"",INDEX('×入力'!$A$1:$L$1300,1042,2+DU$2)&lt;&gt;"",INDEX('×入力'!$A$1:$L$1300,1043+DU$3,1)&lt;&gt;""),1,0),0)</f>
        <v/>
      </c>
      <c r="DV47">
        <f>IF(DV$4=1,IF(OR(INDEX('×入力'!$A$1:$L$1300,1043+DV$3,2+DV$2)&lt;&gt;"",INDEX('×入力'!$A$1:$L$1300,1042,2+DV$2)&lt;&gt;"",INDEX('×入力'!$A$1:$L$1300,1043+DV$3,1)&lt;&gt;""),1,0),0)</f>
        <v/>
      </c>
      <c r="DW47">
        <f>IF(DW$4=1,IF(OR(INDEX('×入力'!$A$1:$L$1300,1043+DW$3,2+DW$2)&lt;&gt;"",INDEX('×入力'!$A$1:$L$1300,1042,2+DW$2)&lt;&gt;"",INDEX('×入力'!$A$1:$L$1300,1043+DW$3,1)&lt;&gt;""),1,0),0)</f>
        <v/>
      </c>
      <c r="DX47">
        <f>IF(DX$4=1,IF(OR(INDEX('×入力'!$A$1:$L$1300,1043+DX$3,2+DX$2)&lt;&gt;"",INDEX('×入力'!$A$1:$L$1300,1042,2+DX$2)&lt;&gt;"",INDEX('×入力'!$A$1:$L$1300,1043+DX$3,1)&lt;&gt;""),1,0),0)</f>
        <v/>
      </c>
      <c r="DY47">
        <f>IF(DY$4=1,IF(OR(INDEX('×入力'!$A$1:$L$1300,1043+DY$3,2+DY$2)&lt;&gt;"",INDEX('×入力'!$A$1:$L$1300,1042,2+DY$2)&lt;&gt;"",INDEX('×入力'!$A$1:$L$1300,1043+DY$3,1)&lt;&gt;""),1,0),0)</f>
        <v/>
      </c>
      <c r="DZ47">
        <f>IF(DZ$4=1,IF(OR(INDEX('×入力'!$A$1:$L$1300,1043+DZ$3,2+DZ$2)&lt;&gt;"",INDEX('×入力'!$A$1:$L$1300,1042,2+DZ$2)&lt;&gt;"",INDEX('×入力'!$A$1:$L$1300,1043+DZ$3,1)&lt;&gt;""),1,0),0)</f>
        <v/>
      </c>
      <c r="EA47">
        <f>IF(EA$4=1,IF(OR(INDEX('×入力'!$A$1:$L$1300,1043+EA$3,2+EA$2)&lt;&gt;"",INDEX('×入力'!$A$1:$L$1300,1042,2+EA$2)&lt;&gt;"",INDEX('×入力'!$A$1:$L$1300,1043+EA$3,1)&lt;&gt;""),1,0),0)</f>
        <v/>
      </c>
      <c r="EB47">
        <f>IF(EB$4=1,IF(OR(INDEX('×入力'!$A$1:$L$1300,1043+EB$3,2+EB$2)&lt;&gt;"",INDEX('×入力'!$A$1:$L$1300,1042,2+EB$2)&lt;&gt;"",INDEX('×入力'!$A$1:$L$1300,1043+EB$3,1)&lt;&gt;""),1,0),0)</f>
        <v/>
      </c>
      <c r="EC47">
        <f>IF(EC$4=1,IF(OR(INDEX('×入力'!$A$1:$L$1300,1043+EC$3,2+EC$2)&lt;&gt;"",INDEX('×入力'!$A$1:$L$1300,1042,2+EC$2)&lt;&gt;"",INDEX('×入力'!$A$1:$L$1300,1043+EC$3,1)&lt;&gt;""),1,0),0)</f>
        <v/>
      </c>
      <c r="ED47">
        <f>IF(ED$4=1,IF(OR(INDEX('×入力'!$A$1:$L$1300,1043+ED$3,2+ED$2)&lt;&gt;"",INDEX('×入力'!$A$1:$L$1300,1042,2+ED$2)&lt;&gt;"",INDEX('×入力'!$A$1:$L$1300,1043+ED$3,1)&lt;&gt;""),1,0),0)</f>
        <v/>
      </c>
      <c r="EE47">
        <f>IF(EE$4=1,IF(OR(INDEX('×入力'!$A$1:$L$1300,1043+EE$3,2+EE$2)&lt;&gt;"",INDEX('×入力'!$A$1:$L$1300,1042,2+EE$2)&lt;&gt;"",INDEX('×入力'!$A$1:$L$1300,1043+EE$3,1)&lt;&gt;""),1,0),0)</f>
        <v/>
      </c>
      <c r="EF47">
        <f>IF(EF$4=1,IF(OR(INDEX('×入力'!$A$1:$L$1300,1043+EF$3,2+EF$2)&lt;&gt;"",INDEX('×入力'!$A$1:$L$1300,1042,2+EF$2)&lt;&gt;"",INDEX('×入力'!$A$1:$L$1300,1043+EF$3,1)&lt;&gt;""),1,0),0)</f>
        <v/>
      </c>
      <c r="EG47">
        <f>IF(EG$4=1,IF(OR(INDEX('×入力'!$A$1:$L$1300,1043+EG$3,2+EG$2)&lt;&gt;"",INDEX('×入力'!$A$1:$L$1300,1042,2+EG$2)&lt;&gt;"",INDEX('×入力'!$A$1:$L$1300,1043+EG$3,1)&lt;&gt;""),1,0),0)</f>
        <v/>
      </c>
      <c r="EH47">
        <f>IF(EH$4=1,IF(OR(INDEX('×入力'!$A$1:$L$1300,1043+EH$3,2+EH$2)&lt;&gt;"",INDEX('×入力'!$A$1:$L$1300,1042,2+EH$2)&lt;&gt;"",INDEX('×入力'!$A$1:$L$1300,1043+EH$3,1)&lt;&gt;""),1,0),0)</f>
        <v/>
      </c>
      <c r="EI47">
        <f>IF(EI$4=1,IF(OR(INDEX('×入力'!$A$1:$L$1300,1043+EI$3,2+EI$2)&lt;&gt;"",INDEX('×入力'!$A$1:$L$1300,1042,2+EI$2)&lt;&gt;"",INDEX('×入力'!$A$1:$L$1300,1043+EI$3,1)&lt;&gt;""),1,0),0)</f>
        <v/>
      </c>
      <c r="EJ47">
        <f>IF(EJ$4=1,IF(OR(INDEX('×入力'!$A$1:$L$1300,1043+EJ$3,2+EJ$2)&lt;&gt;"",INDEX('×入力'!$A$1:$L$1300,1042,2+EJ$2)&lt;&gt;"",INDEX('×入力'!$A$1:$L$1300,1043+EJ$3,1)&lt;&gt;""),1,0),0)</f>
        <v/>
      </c>
      <c r="EK47">
        <f>IF(EK$4=1,IF(OR(INDEX('×入力'!$A$1:$L$1300,1043+EK$3,2+EK$2)&lt;&gt;"",INDEX('×入力'!$A$1:$L$1300,1042,2+EK$2)&lt;&gt;"",INDEX('×入力'!$A$1:$L$1300,1043+EK$3,1)&lt;&gt;""),1,0),0)</f>
        <v/>
      </c>
      <c r="EL47">
        <f>IF(EL$4=1,IF(OR(INDEX('×入力'!$A$1:$L$1300,1043+EL$3,2+EL$2)&lt;&gt;"",INDEX('×入力'!$A$1:$L$1300,1042,2+EL$2)&lt;&gt;"",INDEX('×入力'!$A$1:$L$1300,1043+EL$3,1)&lt;&gt;""),1,0),0)</f>
        <v/>
      </c>
      <c r="EM47">
        <f>IF(EM$4=1,IF(OR(INDEX('×入力'!$A$1:$L$1300,1043+EM$3,2+EM$2)&lt;&gt;"",INDEX('×入力'!$A$1:$L$1300,1042,2+EM$2)&lt;&gt;"",INDEX('×入力'!$A$1:$L$1300,1043+EM$3,1)&lt;&gt;""),1,0),0)</f>
        <v/>
      </c>
      <c r="EN47">
        <f>IF(EN$4=1,IF(OR(INDEX('×入力'!$A$1:$L$1300,1043+EN$3,2+EN$2)&lt;&gt;"",INDEX('×入力'!$A$1:$L$1300,1042,2+EN$2)&lt;&gt;"",INDEX('×入力'!$A$1:$L$1300,1043+EN$3,1)&lt;&gt;""),1,0),0)</f>
        <v/>
      </c>
      <c r="EO47">
        <f>IF(EO$4=1,IF(OR(INDEX('×入力'!$A$1:$L$1300,1043+EO$3,2+EO$2)&lt;&gt;"",INDEX('×入力'!$A$1:$L$1300,1042,2+EO$2)&lt;&gt;"",INDEX('×入力'!$A$1:$L$1300,1043+EO$3,1)&lt;&gt;""),1,0),0)</f>
        <v/>
      </c>
      <c r="EP47">
        <f>IF(EP$4=1,IF(OR(INDEX('×入力'!$A$1:$L$1300,1043+EP$3,2+EP$2)&lt;&gt;"",INDEX('×入力'!$A$1:$L$1300,1042,2+EP$2)&lt;&gt;"",INDEX('×入力'!$A$1:$L$1300,1043+EP$3,1)&lt;&gt;""),1,0),0)</f>
        <v/>
      </c>
      <c r="EQ47">
        <f>IF(EQ$4=1,IF(OR(INDEX('×入力'!$A$1:$L$1300,1043+EQ$3,2+EQ$2)&lt;&gt;"",INDEX('×入力'!$A$1:$L$1300,1042,2+EQ$2)&lt;&gt;"",INDEX('×入力'!$A$1:$L$1300,1043+EQ$3,1)&lt;&gt;""),1,0),0)</f>
        <v/>
      </c>
      <c r="HA47">
        <f>MAX(0,IT47)</f>
        <v/>
      </c>
      <c r="HB47">
        <f>IF(HA47=0,0,INDEX($D$2:$EQ$2,HA47))</f>
        <v/>
      </c>
      <c r="HC47">
        <f>IF(HA47=0,0,INDEX($D$3:$EQ$3,HA47))</f>
        <v/>
      </c>
      <c r="HD47">
        <f>MAX(0,IY47)</f>
        <v/>
      </c>
      <c r="HE47">
        <f>IF(HD47=0,0,INDEX($D$2:$EQ$2,HD47))</f>
        <v/>
      </c>
      <c r="HF47">
        <f>IF(HD47=0,0,INDEX($D$3:$EQ$3,HD47))</f>
        <v/>
      </c>
      <c r="HG47">
        <f>MAX(0,IZ47)</f>
        <v/>
      </c>
      <c r="HH47">
        <f>IF(HG47=0,0,INDEX($D$2:$EQ$2,HG47))</f>
        <v/>
      </c>
      <c r="HI47">
        <f>IF(HG47=0,0,INDEX($D$3:$EQ$3,HG47))</f>
        <v/>
      </c>
      <c r="HJ47">
        <f>IF(AND(HA47&gt;0,HC47&gt;1,OR(HC47-1&lt;&gt;$A$3,$A$4=0)),HA47-1,-1)</f>
        <v/>
      </c>
      <c r="HK47">
        <f>IF(AND(HA47&gt;0,HC47&lt;24,OR(HC47&lt;&gt;$A$3,$A$4=0)),HA47+1,-1)</f>
        <v/>
      </c>
      <c r="HL47">
        <f>IF(AND(HD47&gt;0,HF47&gt;1,OR(HF47-1&lt;&gt;$A$3,$A$4=0)),HD47-1,-1)</f>
        <v/>
      </c>
      <c r="HM47">
        <f>IF(AND(HD47&gt;0,HF47&lt;24,OR(HF47&lt;&gt;$A$3,$A$4=0)),HD47+1,-1)</f>
        <v/>
      </c>
      <c r="HN47">
        <f>IF(AND(HG47&gt;0,HI47&gt;1,OR(HI47-1&lt;&gt;$A$3,$A$4=0)),HG47-1,-1)</f>
        <v/>
      </c>
      <c r="HO47">
        <f>IF(AND(HG47&gt;0,HI47&lt;24,OR(HI47&lt;&gt;$A$3,$A$4=0)),HG47+1,-1)</f>
        <v/>
      </c>
      <c r="IK47">
        <f>IFERROR(INDEX('calcB'!$C$3:$C$47,MATCH(A47,'calcB'!$B$3:$B$47,0)),0)</f>
        <v/>
      </c>
      <c r="IL47">
        <f>IF(AND(C47=1,IK47=0,calcA!$A$6&gt;0),1,0)</f>
        <v/>
      </c>
      <c r="IM47">
        <f>SUMPRODUCT(D97:EQ97*(1-$D$7:$EQ$7))</f>
        <v/>
      </c>
      <c r="IN47">
        <f>SUM(D47:EQ47)</f>
        <v/>
      </c>
      <c r="IO47">
        <f>IF(B47="",0,IF(COUNTIF('調整・決定'!$C$6:$H$29,B47)=1,SUMPRODUCT(('調整・決定'!$C$6:$H$29=B47)*((COLUMN('調整・決定'!$C$6:$H$29)-3)*24+ROW('調整・決定'!$C$6:$H$29)-5)),0))</f>
        <v/>
      </c>
      <c r="IP47">
        <f>IFERROR(MATCH('名簿'!C42,{"早い時刻","遅い時刻","早い日","遅い日"},0),0)</f>
        <v/>
      </c>
      <c r="IQ47">
        <f>IF('名簿'!D42="必ず空けたい",2,IF('名簿'!D42="出来れば空けたい",1,0))</f>
        <v/>
      </c>
      <c r="IR47">
        <f>IFERROR(INDEX('calcC'!$C$3:$C$47,MATCH(A47,'calcC'!$B$3:$B$47,0)),0)</f>
        <v/>
      </c>
      <c r="IS47">
        <f>IF(AND(C47=1,IR47=0,calcA!$A$6&gt;0),1,0)</f>
        <v/>
      </c>
      <c r="IT47">
        <f>IF(OR('名簿'!G42="",'名簿'!H42=""),0,IFERROR((MATCH('名簿'!G42,'設定'!$E$11:$E$16,0)-1)*24+MATCH('名簿'!H42,'設定'!$I$11:$I$34,0),-1))</f>
        <v/>
      </c>
      <c r="IV47">
        <f>IF(OR(JF47=0,IO47=0),1,IF(OR(IF(IT47&gt;0,AND(INDEX($D$2:$EQ$2,IO47)=INDEX($D$2:$EQ$2,IT47),OR(AND(IO47=IT47+1,OR(INDEX($D$3:$EQ$3,IT47)&lt;&gt;$A$3,$A$4=0)),AND(IO47=IT47-1,OR(INDEX($D$3:$EQ$3,IO47)&lt;&gt;$A$3,$A$4=0)))),FALSE),IF(IY47&gt;0,AND(INDEX($D$2:$EQ$2,IO47)=INDEX($D$2:$EQ$2,IY47),OR(AND(IO47=IY47+1,OR(INDEX($D$3:$EQ$3,IY47)&lt;&gt;$A$3,$A$4=0)),AND(IO47=IY47-1,OR(INDEX($D$3:$EQ$3,IO47)&lt;&gt;$A$3,$A$4=0)))),FALSE),IF(IZ47&gt;0,AND(INDEX($D$2:$EQ$2,IO47)=INDEX($D$2:$EQ$2,IZ47),OR(AND(IO47=IZ47+1,OR(INDEX($D$3:$EQ$3,IZ47)&lt;&gt;$A$3,$A$4=0)),AND(IO47=IZ47-1,OR(INDEX($D$3:$EQ$3,IO47)&lt;&gt;$A$3,$A$4=0)))),FALSE)),1,0))</f>
        <v/>
      </c>
      <c r="IW47">
        <f>IF(AND('名簿'!E42&lt;&gt;"",JF47=0),1,0)</f>
        <v/>
      </c>
      <c r="IX47">
        <f>IF('名簿'!D42="空けない",1,0)</f>
        <v/>
      </c>
      <c r="IY47">
        <f>IF(OR('名簿'!J42="",'名簿'!K42=""),0,IFERROR((MATCH('名簿'!J42,'設定'!$E$11:$E$16,0)-1)*24+MATCH('名簿'!K42,'設定'!$I$11:$I$34,0),-1))</f>
        <v/>
      </c>
      <c r="IZ47">
        <f>IF(OR('名簿'!M42="",'名簿'!N42=""),0,IFERROR((MATCH('名簿'!M42,'設定'!$E$11:$E$16,0)-1)*24+MATCH('名簿'!N42,'設定'!$I$11:$I$34,0),-1))</f>
        <v/>
      </c>
      <c r="JC47">
        <f>IF(RIGHT('名簿'!I42,2)="の前",1,IF(RIGHT('名簿'!I42,2)="の後",2,0))</f>
        <v/>
      </c>
      <c r="JD47">
        <f>IF(RIGHT('名簿'!L42,2)="の前",1,IF(RIGHT('名簿'!L42,2)="の後",2,0))</f>
        <v/>
      </c>
      <c r="JE47">
        <f>IF(RIGHT('名簿'!O42,2)="の前",1,IF(RIGHT('名簿'!O42,2)="の後",2,0))</f>
        <v/>
      </c>
      <c r="JF47">
        <f>IF(OR(IT47&gt;0,IY47&gt;0,IZ47&gt;0),1,0)</f>
        <v/>
      </c>
      <c r="JG47">
        <f>IF(OR(IT47&lt;0,IY47&lt;0,IZ47&lt;0),1,0)</f>
        <v/>
      </c>
    </row>
    <row r="48">
      <c r="A48" t="n">
        <v>39</v>
      </c>
      <c r="B48">
        <f>'名簿'!P43</f>
        <v/>
      </c>
      <c r="C48">
        <f>IF(AND(B48&lt;&gt;"",OR('名簿'!Q43="入力済み",'名簿'!Q43="×なし"),IO48=0,COUNTIF('調整・決定'!$C$6:$H$29,B48)=0),1,0)</f>
        <v/>
      </c>
      <c r="D48">
        <f>IF(D$4=1,IF(OR(INDEX('×入力'!$A$1:$L$1300,1071+D$3,2+D$2)&lt;&gt;"",INDEX('×入力'!$A$1:$L$1300,1070,2+D$2)&lt;&gt;"",INDEX('×入力'!$A$1:$L$1300,1071+D$3,1)&lt;&gt;""),1,0),0)</f>
        <v/>
      </c>
      <c r="E48">
        <f>IF(E$4=1,IF(OR(INDEX('×入力'!$A$1:$L$1300,1071+E$3,2+E$2)&lt;&gt;"",INDEX('×入力'!$A$1:$L$1300,1070,2+E$2)&lt;&gt;"",INDEX('×入力'!$A$1:$L$1300,1071+E$3,1)&lt;&gt;""),1,0),0)</f>
        <v/>
      </c>
      <c r="F48">
        <f>IF(F$4=1,IF(OR(INDEX('×入力'!$A$1:$L$1300,1071+F$3,2+F$2)&lt;&gt;"",INDEX('×入力'!$A$1:$L$1300,1070,2+F$2)&lt;&gt;"",INDEX('×入力'!$A$1:$L$1300,1071+F$3,1)&lt;&gt;""),1,0),0)</f>
        <v/>
      </c>
      <c r="G48">
        <f>IF(G$4=1,IF(OR(INDEX('×入力'!$A$1:$L$1300,1071+G$3,2+G$2)&lt;&gt;"",INDEX('×入力'!$A$1:$L$1300,1070,2+G$2)&lt;&gt;"",INDEX('×入力'!$A$1:$L$1300,1071+G$3,1)&lt;&gt;""),1,0),0)</f>
        <v/>
      </c>
      <c r="H48">
        <f>IF(H$4=1,IF(OR(INDEX('×入力'!$A$1:$L$1300,1071+H$3,2+H$2)&lt;&gt;"",INDEX('×入力'!$A$1:$L$1300,1070,2+H$2)&lt;&gt;"",INDEX('×入力'!$A$1:$L$1300,1071+H$3,1)&lt;&gt;""),1,0),0)</f>
        <v/>
      </c>
      <c r="I48">
        <f>IF(I$4=1,IF(OR(INDEX('×入力'!$A$1:$L$1300,1071+I$3,2+I$2)&lt;&gt;"",INDEX('×入力'!$A$1:$L$1300,1070,2+I$2)&lt;&gt;"",INDEX('×入力'!$A$1:$L$1300,1071+I$3,1)&lt;&gt;""),1,0),0)</f>
        <v/>
      </c>
      <c r="J48">
        <f>IF(J$4=1,IF(OR(INDEX('×入力'!$A$1:$L$1300,1071+J$3,2+J$2)&lt;&gt;"",INDEX('×入力'!$A$1:$L$1300,1070,2+J$2)&lt;&gt;"",INDEX('×入力'!$A$1:$L$1300,1071+J$3,1)&lt;&gt;""),1,0),0)</f>
        <v/>
      </c>
      <c r="K48">
        <f>IF(K$4=1,IF(OR(INDEX('×入力'!$A$1:$L$1300,1071+K$3,2+K$2)&lt;&gt;"",INDEX('×入力'!$A$1:$L$1300,1070,2+K$2)&lt;&gt;"",INDEX('×入力'!$A$1:$L$1300,1071+K$3,1)&lt;&gt;""),1,0),0)</f>
        <v/>
      </c>
      <c r="L48">
        <f>IF(L$4=1,IF(OR(INDEX('×入力'!$A$1:$L$1300,1071+L$3,2+L$2)&lt;&gt;"",INDEX('×入力'!$A$1:$L$1300,1070,2+L$2)&lt;&gt;"",INDEX('×入力'!$A$1:$L$1300,1071+L$3,1)&lt;&gt;""),1,0),0)</f>
        <v/>
      </c>
      <c r="M48">
        <f>IF(M$4=1,IF(OR(INDEX('×入力'!$A$1:$L$1300,1071+M$3,2+M$2)&lt;&gt;"",INDEX('×入力'!$A$1:$L$1300,1070,2+M$2)&lt;&gt;"",INDEX('×入力'!$A$1:$L$1300,1071+M$3,1)&lt;&gt;""),1,0),0)</f>
        <v/>
      </c>
      <c r="N48">
        <f>IF(N$4=1,IF(OR(INDEX('×入力'!$A$1:$L$1300,1071+N$3,2+N$2)&lt;&gt;"",INDEX('×入力'!$A$1:$L$1300,1070,2+N$2)&lt;&gt;"",INDEX('×入力'!$A$1:$L$1300,1071+N$3,1)&lt;&gt;""),1,0),0)</f>
        <v/>
      </c>
      <c r="O48">
        <f>IF(O$4=1,IF(OR(INDEX('×入力'!$A$1:$L$1300,1071+O$3,2+O$2)&lt;&gt;"",INDEX('×入力'!$A$1:$L$1300,1070,2+O$2)&lt;&gt;"",INDEX('×入力'!$A$1:$L$1300,1071+O$3,1)&lt;&gt;""),1,0),0)</f>
        <v/>
      </c>
      <c r="P48">
        <f>IF(P$4=1,IF(OR(INDEX('×入力'!$A$1:$L$1300,1071+P$3,2+P$2)&lt;&gt;"",INDEX('×入力'!$A$1:$L$1300,1070,2+P$2)&lt;&gt;"",INDEX('×入力'!$A$1:$L$1300,1071+P$3,1)&lt;&gt;""),1,0),0)</f>
        <v/>
      </c>
      <c r="Q48">
        <f>IF(Q$4=1,IF(OR(INDEX('×入力'!$A$1:$L$1300,1071+Q$3,2+Q$2)&lt;&gt;"",INDEX('×入力'!$A$1:$L$1300,1070,2+Q$2)&lt;&gt;"",INDEX('×入力'!$A$1:$L$1300,1071+Q$3,1)&lt;&gt;""),1,0),0)</f>
        <v/>
      </c>
      <c r="R48">
        <f>IF(R$4=1,IF(OR(INDEX('×入力'!$A$1:$L$1300,1071+R$3,2+R$2)&lt;&gt;"",INDEX('×入力'!$A$1:$L$1300,1070,2+R$2)&lt;&gt;"",INDEX('×入力'!$A$1:$L$1300,1071+R$3,1)&lt;&gt;""),1,0),0)</f>
        <v/>
      </c>
      <c r="S48">
        <f>IF(S$4=1,IF(OR(INDEX('×入力'!$A$1:$L$1300,1071+S$3,2+S$2)&lt;&gt;"",INDEX('×入力'!$A$1:$L$1300,1070,2+S$2)&lt;&gt;"",INDEX('×入力'!$A$1:$L$1300,1071+S$3,1)&lt;&gt;""),1,0),0)</f>
        <v/>
      </c>
      <c r="T48">
        <f>IF(T$4=1,IF(OR(INDEX('×入力'!$A$1:$L$1300,1071+T$3,2+T$2)&lt;&gt;"",INDEX('×入力'!$A$1:$L$1300,1070,2+T$2)&lt;&gt;"",INDEX('×入力'!$A$1:$L$1300,1071+T$3,1)&lt;&gt;""),1,0),0)</f>
        <v/>
      </c>
      <c r="U48">
        <f>IF(U$4=1,IF(OR(INDEX('×入力'!$A$1:$L$1300,1071+U$3,2+U$2)&lt;&gt;"",INDEX('×入力'!$A$1:$L$1300,1070,2+U$2)&lt;&gt;"",INDEX('×入力'!$A$1:$L$1300,1071+U$3,1)&lt;&gt;""),1,0),0)</f>
        <v/>
      </c>
      <c r="V48">
        <f>IF(V$4=1,IF(OR(INDEX('×入力'!$A$1:$L$1300,1071+V$3,2+V$2)&lt;&gt;"",INDEX('×入力'!$A$1:$L$1300,1070,2+V$2)&lt;&gt;"",INDEX('×入力'!$A$1:$L$1300,1071+V$3,1)&lt;&gt;""),1,0),0)</f>
        <v/>
      </c>
      <c r="W48">
        <f>IF(W$4=1,IF(OR(INDEX('×入力'!$A$1:$L$1300,1071+W$3,2+W$2)&lt;&gt;"",INDEX('×入力'!$A$1:$L$1300,1070,2+W$2)&lt;&gt;"",INDEX('×入力'!$A$1:$L$1300,1071+W$3,1)&lt;&gt;""),1,0),0)</f>
        <v/>
      </c>
      <c r="X48">
        <f>IF(X$4=1,IF(OR(INDEX('×入力'!$A$1:$L$1300,1071+X$3,2+X$2)&lt;&gt;"",INDEX('×入力'!$A$1:$L$1300,1070,2+X$2)&lt;&gt;"",INDEX('×入力'!$A$1:$L$1300,1071+X$3,1)&lt;&gt;""),1,0),0)</f>
        <v/>
      </c>
      <c r="Y48">
        <f>IF(Y$4=1,IF(OR(INDEX('×入力'!$A$1:$L$1300,1071+Y$3,2+Y$2)&lt;&gt;"",INDEX('×入力'!$A$1:$L$1300,1070,2+Y$2)&lt;&gt;"",INDEX('×入力'!$A$1:$L$1300,1071+Y$3,1)&lt;&gt;""),1,0),0)</f>
        <v/>
      </c>
      <c r="Z48">
        <f>IF(Z$4=1,IF(OR(INDEX('×入力'!$A$1:$L$1300,1071+Z$3,2+Z$2)&lt;&gt;"",INDEX('×入力'!$A$1:$L$1300,1070,2+Z$2)&lt;&gt;"",INDEX('×入力'!$A$1:$L$1300,1071+Z$3,1)&lt;&gt;""),1,0),0)</f>
        <v/>
      </c>
      <c r="AA48">
        <f>IF(AA$4=1,IF(OR(INDEX('×入力'!$A$1:$L$1300,1071+AA$3,2+AA$2)&lt;&gt;"",INDEX('×入力'!$A$1:$L$1300,1070,2+AA$2)&lt;&gt;"",INDEX('×入力'!$A$1:$L$1300,1071+AA$3,1)&lt;&gt;""),1,0),0)</f>
        <v/>
      </c>
      <c r="AB48">
        <f>IF(AB$4=1,IF(OR(INDEX('×入力'!$A$1:$L$1300,1071+AB$3,2+AB$2)&lt;&gt;"",INDEX('×入力'!$A$1:$L$1300,1070,2+AB$2)&lt;&gt;"",INDEX('×入力'!$A$1:$L$1300,1071+AB$3,1)&lt;&gt;""),1,0),0)</f>
        <v/>
      </c>
      <c r="AC48">
        <f>IF(AC$4=1,IF(OR(INDEX('×入力'!$A$1:$L$1300,1071+AC$3,2+AC$2)&lt;&gt;"",INDEX('×入力'!$A$1:$L$1300,1070,2+AC$2)&lt;&gt;"",INDEX('×入力'!$A$1:$L$1300,1071+AC$3,1)&lt;&gt;""),1,0),0)</f>
        <v/>
      </c>
      <c r="AD48">
        <f>IF(AD$4=1,IF(OR(INDEX('×入力'!$A$1:$L$1300,1071+AD$3,2+AD$2)&lt;&gt;"",INDEX('×入力'!$A$1:$L$1300,1070,2+AD$2)&lt;&gt;"",INDEX('×入力'!$A$1:$L$1300,1071+AD$3,1)&lt;&gt;""),1,0),0)</f>
        <v/>
      </c>
      <c r="AE48">
        <f>IF(AE$4=1,IF(OR(INDEX('×入力'!$A$1:$L$1300,1071+AE$3,2+AE$2)&lt;&gt;"",INDEX('×入力'!$A$1:$L$1300,1070,2+AE$2)&lt;&gt;"",INDEX('×入力'!$A$1:$L$1300,1071+AE$3,1)&lt;&gt;""),1,0),0)</f>
        <v/>
      </c>
      <c r="AF48">
        <f>IF(AF$4=1,IF(OR(INDEX('×入力'!$A$1:$L$1300,1071+AF$3,2+AF$2)&lt;&gt;"",INDEX('×入力'!$A$1:$L$1300,1070,2+AF$2)&lt;&gt;"",INDEX('×入力'!$A$1:$L$1300,1071+AF$3,1)&lt;&gt;""),1,0),0)</f>
        <v/>
      </c>
      <c r="AG48">
        <f>IF(AG$4=1,IF(OR(INDEX('×入力'!$A$1:$L$1300,1071+AG$3,2+AG$2)&lt;&gt;"",INDEX('×入力'!$A$1:$L$1300,1070,2+AG$2)&lt;&gt;"",INDEX('×入力'!$A$1:$L$1300,1071+AG$3,1)&lt;&gt;""),1,0),0)</f>
        <v/>
      </c>
      <c r="AH48">
        <f>IF(AH$4=1,IF(OR(INDEX('×入力'!$A$1:$L$1300,1071+AH$3,2+AH$2)&lt;&gt;"",INDEX('×入力'!$A$1:$L$1300,1070,2+AH$2)&lt;&gt;"",INDEX('×入力'!$A$1:$L$1300,1071+AH$3,1)&lt;&gt;""),1,0),0)</f>
        <v/>
      </c>
      <c r="AI48">
        <f>IF(AI$4=1,IF(OR(INDEX('×入力'!$A$1:$L$1300,1071+AI$3,2+AI$2)&lt;&gt;"",INDEX('×入力'!$A$1:$L$1300,1070,2+AI$2)&lt;&gt;"",INDEX('×入力'!$A$1:$L$1300,1071+AI$3,1)&lt;&gt;""),1,0),0)</f>
        <v/>
      </c>
      <c r="AJ48">
        <f>IF(AJ$4=1,IF(OR(INDEX('×入力'!$A$1:$L$1300,1071+AJ$3,2+AJ$2)&lt;&gt;"",INDEX('×入力'!$A$1:$L$1300,1070,2+AJ$2)&lt;&gt;"",INDEX('×入力'!$A$1:$L$1300,1071+AJ$3,1)&lt;&gt;""),1,0),0)</f>
        <v/>
      </c>
      <c r="AK48">
        <f>IF(AK$4=1,IF(OR(INDEX('×入力'!$A$1:$L$1300,1071+AK$3,2+AK$2)&lt;&gt;"",INDEX('×入力'!$A$1:$L$1300,1070,2+AK$2)&lt;&gt;"",INDEX('×入力'!$A$1:$L$1300,1071+AK$3,1)&lt;&gt;""),1,0),0)</f>
        <v/>
      </c>
      <c r="AL48">
        <f>IF(AL$4=1,IF(OR(INDEX('×入力'!$A$1:$L$1300,1071+AL$3,2+AL$2)&lt;&gt;"",INDEX('×入力'!$A$1:$L$1300,1070,2+AL$2)&lt;&gt;"",INDEX('×入力'!$A$1:$L$1300,1071+AL$3,1)&lt;&gt;""),1,0),0)</f>
        <v/>
      </c>
      <c r="AM48">
        <f>IF(AM$4=1,IF(OR(INDEX('×入力'!$A$1:$L$1300,1071+AM$3,2+AM$2)&lt;&gt;"",INDEX('×入力'!$A$1:$L$1300,1070,2+AM$2)&lt;&gt;"",INDEX('×入力'!$A$1:$L$1300,1071+AM$3,1)&lt;&gt;""),1,0),0)</f>
        <v/>
      </c>
      <c r="AN48">
        <f>IF(AN$4=1,IF(OR(INDEX('×入力'!$A$1:$L$1300,1071+AN$3,2+AN$2)&lt;&gt;"",INDEX('×入力'!$A$1:$L$1300,1070,2+AN$2)&lt;&gt;"",INDEX('×入力'!$A$1:$L$1300,1071+AN$3,1)&lt;&gt;""),1,0),0)</f>
        <v/>
      </c>
      <c r="AO48">
        <f>IF(AO$4=1,IF(OR(INDEX('×入力'!$A$1:$L$1300,1071+AO$3,2+AO$2)&lt;&gt;"",INDEX('×入力'!$A$1:$L$1300,1070,2+AO$2)&lt;&gt;"",INDEX('×入力'!$A$1:$L$1300,1071+AO$3,1)&lt;&gt;""),1,0),0)</f>
        <v/>
      </c>
      <c r="AP48">
        <f>IF(AP$4=1,IF(OR(INDEX('×入力'!$A$1:$L$1300,1071+AP$3,2+AP$2)&lt;&gt;"",INDEX('×入力'!$A$1:$L$1300,1070,2+AP$2)&lt;&gt;"",INDEX('×入力'!$A$1:$L$1300,1071+AP$3,1)&lt;&gt;""),1,0),0)</f>
        <v/>
      </c>
      <c r="AQ48">
        <f>IF(AQ$4=1,IF(OR(INDEX('×入力'!$A$1:$L$1300,1071+AQ$3,2+AQ$2)&lt;&gt;"",INDEX('×入力'!$A$1:$L$1300,1070,2+AQ$2)&lt;&gt;"",INDEX('×入力'!$A$1:$L$1300,1071+AQ$3,1)&lt;&gt;""),1,0),0)</f>
        <v/>
      </c>
      <c r="AR48">
        <f>IF(AR$4=1,IF(OR(INDEX('×入力'!$A$1:$L$1300,1071+AR$3,2+AR$2)&lt;&gt;"",INDEX('×入力'!$A$1:$L$1300,1070,2+AR$2)&lt;&gt;"",INDEX('×入力'!$A$1:$L$1300,1071+AR$3,1)&lt;&gt;""),1,0),0)</f>
        <v/>
      </c>
      <c r="AS48">
        <f>IF(AS$4=1,IF(OR(INDEX('×入力'!$A$1:$L$1300,1071+AS$3,2+AS$2)&lt;&gt;"",INDEX('×入力'!$A$1:$L$1300,1070,2+AS$2)&lt;&gt;"",INDEX('×入力'!$A$1:$L$1300,1071+AS$3,1)&lt;&gt;""),1,0),0)</f>
        <v/>
      </c>
      <c r="AT48">
        <f>IF(AT$4=1,IF(OR(INDEX('×入力'!$A$1:$L$1300,1071+AT$3,2+AT$2)&lt;&gt;"",INDEX('×入力'!$A$1:$L$1300,1070,2+AT$2)&lt;&gt;"",INDEX('×入力'!$A$1:$L$1300,1071+AT$3,1)&lt;&gt;""),1,0),0)</f>
        <v/>
      </c>
      <c r="AU48">
        <f>IF(AU$4=1,IF(OR(INDEX('×入力'!$A$1:$L$1300,1071+AU$3,2+AU$2)&lt;&gt;"",INDEX('×入力'!$A$1:$L$1300,1070,2+AU$2)&lt;&gt;"",INDEX('×入力'!$A$1:$L$1300,1071+AU$3,1)&lt;&gt;""),1,0),0)</f>
        <v/>
      </c>
      <c r="AV48">
        <f>IF(AV$4=1,IF(OR(INDEX('×入力'!$A$1:$L$1300,1071+AV$3,2+AV$2)&lt;&gt;"",INDEX('×入力'!$A$1:$L$1300,1070,2+AV$2)&lt;&gt;"",INDEX('×入力'!$A$1:$L$1300,1071+AV$3,1)&lt;&gt;""),1,0),0)</f>
        <v/>
      </c>
      <c r="AW48">
        <f>IF(AW$4=1,IF(OR(INDEX('×入力'!$A$1:$L$1300,1071+AW$3,2+AW$2)&lt;&gt;"",INDEX('×入力'!$A$1:$L$1300,1070,2+AW$2)&lt;&gt;"",INDEX('×入力'!$A$1:$L$1300,1071+AW$3,1)&lt;&gt;""),1,0),0)</f>
        <v/>
      </c>
      <c r="AX48">
        <f>IF(AX$4=1,IF(OR(INDEX('×入力'!$A$1:$L$1300,1071+AX$3,2+AX$2)&lt;&gt;"",INDEX('×入力'!$A$1:$L$1300,1070,2+AX$2)&lt;&gt;"",INDEX('×入力'!$A$1:$L$1300,1071+AX$3,1)&lt;&gt;""),1,0),0)</f>
        <v/>
      </c>
      <c r="AY48">
        <f>IF(AY$4=1,IF(OR(INDEX('×入力'!$A$1:$L$1300,1071+AY$3,2+AY$2)&lt;&gt;"",INDEX('×入力'!$A$1:$L$1300,1070,2+AY$2)&lt;&gt;"",INDEX('×入力'!$A$1:$L$1300,1071+AY$3,1)&lt;&gt;""),1,0),0)</f>
        <v/>
      </c>
      <c r="AZ48">
        <f>IF(AZ$4=1,IF(OR(INDEX('×入力'!$A$1:$L$1300,1071+AZ$3,2+AZ$2)&lt;&gt;"",INDEX('×入力'!$A$1:$L$1300,1070,2+AZ$2)&lt;&gt;"",INDEX('×入力'!$A$1:$L$1300,1071+AZ$3,1)&lt;&gt;""),1,0),0)</f>
        <v/>
      </c>
      <c r="BA48">
        <f>IF(BA$4=1,IF(OR(INDEX('×入力'!$A$1:$L$1300,1071+BA$3,2+BA$2)&lt;&gt;"",INDEX('×入力'!$A$1:$L$1300,1070,2+BA$2)&lt;&gt;"",INDEX('×入力'!$A$1:$L$1300,1071+BA$3,1)&lt;&gt;""),1,0),0)</f>
        <v/>
      </c>
      <c r="BB48">
        <f>IF(BB$4=1,IF(OR(INDEX('×入力'!$A$1:$L$1300,1071+BB$3,2+BB$2)&lt;&gt;"",INDEX('×入力'!$A$1:$L$1300,1070,2+BB$2)&lt;&gt;"",INDEX('×入力'!$A$1:$L$1300,1071+BB$3,1)&lt;&gt;""),1,0),0)</f>
        <v/>
      </c>
      <c r="BC48">
        <f>IF(BC$4=1,IF(OR(INDEX('×入力'!$A$1:$L$1300,1071+BC$3,2+BC$2)&lt;&gt;"",INDEX('×入力'!$A$1:$L$1300,1070,2+BC$2)&lt;&gt;"",INDEX('×入力'!$A$1:$L$1300,1071+BC$3,1)&lt;&gt;""),1,0),0)</f>
        <v/>
      </c>
      <c r="BD48">
        <f>IF(BD$4=1,IF(OR(INDEX('×入力'!$A$1:$L$1300,1071+BD$3,2+BD$2)&lt;&gt;"",INDEX('×入力'!$A$1:$L$1300,1070,2+BD$2)&lt;&gt;"",INDEX('×入力'!$A$1:$L$1300,1071+BD$3,1)&lt;&gt;""),1,0),0)</f>
        <v/>
      </c>
      <c r="BE48">
        <f>IF(BE$4=1,IF(OR(INDEX('×入力'!$A$1:$L$1300,1071+BE$3,2+BE$2)&lt;&gt;"",INDEX('×入力'!$A$1:$L$1300,1070,2+BE$2)&lt;&gt;"",INDEX('×入力'!$A$1:$L$1300,1071+BE$3,1)&lt;&gt;""),1,0),0)</f>
        <v/>
      </c>
      <c r="BF48">
        <f>IF(BF$4=1,IF(OR(INDEX('×入力'!$A$1:$L$1300,1071+BF$3,2+BF$2)&lt;&gt;"",INDEX('×入力'!$A$1:$L$1300,1070,2+BF$2)&lt;&gt;"",INDEX('×入力'!$A$1:$L$1300,1071+BF$3,1)&lt;&gt;""),1,0),0)</f>
        <v/>
      </c>
      <c r="BG48">
        <f>IF(BG$4=1,IF(OR(INDEX('×入力'!$A$1:$L$1300,1071+BG$3,2+BG$2)&lt;&gt;"",INDEX('×入力'!$A$1:$L$1300,1070,2+BG$2)&lt;&gt;"",INDEX('×入力'!$A$1:$L$1300,1071+BG$3,1)&lt;&gt;""),1,0),0)</f>
        <v/>
      </c>
      <c r="BH48">
        <f>IF(BH$4=1,IF(OR(INDEX('×入力'!$A$1:$L$1300,1071+BH$3,2+BH$2)&lt;&gt;"",INDEX('×入力'!$A$1:$L$1300,1070,2+BH$2)&lt;&gt;"",INDEX('×入力'!$A$1:$L$1300,1071+BH$3,1)&lt;&gt;""),1,0),0)</f>
        <v/>
      </c>
      <c r="BI48">
        <f>IF(BI$4=1,IF(OR(INDEX('×入力'!$A$1:$L$1300,1071+BI$3,2+BI$2)&lt;&gt;"",INDEX('×入力'!$A$1:$L$1300,1070,2+BI$2)&lt;&gt;"",INDEX('×入力'!$A$1:$L$1300,1071+BI$3,1)&lt;&gt;""),1,0),0)</f>
        <v/>
      </c>
      <c r="BJ48">
        <f>IF(BJ$4=1,IF(OR(INDEX('×入力'!$A$1:$L$1300,1071+BJ$3,2+BJ$2)&lt;&gt;"",INDEX('×入力'!$A$1:$L$1300,1070,2+BJ$2)&lt;&gt;"",INDEX('×入力'!$A$1:$L$1300,1071+BJ$3,1)&lt;&gt;""),1,0),0)</f>
        <v/>
      </c>
      <c r="BK48">
        <f>IF(BK$4=1,IF(OR(INDEX('×入力'!$A$1:$L$1300,1071+BK$3,2+BK$2)&lt;&gt;"",INDEX('×入力'!$A$1:$L$1300,1070,2+BK$2)&lt;&gt;"",INDEX('×入力'!$A$1:$L$1300,1071+BK$3,1)&lt;&gt;""),1,0),0)</f>
        <v/>
      </c>
      <c r="BL48">
        <f>IF(BL$4=1,IF(OR(INDEX('×入力'!$A$1:$L$1300,1071+BL$3,2+BL$2)&lt;&gt;"",INDEX('×入力'!$A$1:$L$1300,1070,2+BL$2)&lt;&gt;"",INDEX('×入力'!$A$1:$L$1300,1071+BL$3,1)&lt;&gt;""),1,0),0)</f>
        <v/>
      </c>
      <c r="BM48">
        <f>IF(BM$4=1,IF(OR(INDEX('×入力'!$A$1:$L$1300,1071+BM$3,2+BM$2)&lt;&gt;"",INDEX('×入力'!$A$1:$L$1300,1070,2+BM$2)&lt;&gt;"",INDEX('×入力'!$A$1:$L$1300,1071+BM$3,1)&lt;&gt;""),1,0),0)</f>
        <v/>
      </c>
      <c r="BN48">
        <f>IF(BN$4=1,IF(OR(INDEX('×入力'!$A$1:$L$1300,1071+BN$3,2+BN$2)&lt;&gt;"",INDEX('×入力'!$A$1:$L$1300,1070,2+BN$2)&lt;&gt;"",INDEX('×入力'!$A$1:$L$1300,1071+BN$3,1)&lt;&gt;""),1,0),0)</f>
        <v/>
      </c>
      <c r="BO48">
        <f>IF(BO$4=1,IF(OR(INDEX('×入力'!$A$1:$L$1300,1071+BO$3,2+BO$2)&lt;&gt;"",INDEX('×入力'!$A$1:$L$1300,1070,2+BO$2)&lt;&gt;"",INDEX('×入力'!$A$1:$L$1300,1071+BO$3,1)&lt;&gt;""),1,0),0)</f>
        <v/>
      </c>
      <c r="BP48">
        <f>IF(BP$4=1,IF(OR(INDEX('×入力'!$A$1:$L$1300,1071+BP$3,2+BP$2)&lt;&gt;"",INDEX('×入力'!$A$1:$L$1300,1070,2+BP$2)&lt;&gt;"",INDEX('×入力'!$A$1:$L$1300,1071+BP$3,1)&lt;&gt;""),1,0),0)</f>
        <v/>
      </c>
      <c r="BQ48">
        <f>IF(BQ$4=1,IF(OR(INDEX('×入力'!$A$1:$L$1300,1071+BQ$3,2+BQ$2)&lt;&gt;"",INDEX('×入力'!$A$1:$L$1300,1070,2+BQ$2)&lt;&gt;"",INDEX('×入力'!$A$1:$L$1300,1071+BQ$3,1)&lt;&gt;""),1,0),0)</f>
        <v/>
      </c>
      <c r="BR48">
        <f>IF(BR$4=1,IF(OR(INDEX('×入力'!$A$1:$L$1300,1071+BR$3,2+BR$2)&lt;&gt;"",INDEX('×入力'!$A$1:$L$1300,1070,2+BR$2)&lt;&gt;"",INDEX('×入力'!$A$1:$L$1300,1071+BR$3,1)&lt;&gt;""),1,0),0)</f>
        <v/>
      </c>
      <c r="BS48">
        <f>IF(BS$4=1,IF(OR(INDEX('×入力'!$A$1:$L$1300,1071+BS$3,2+BS$2)&lt;&gt;"",INDEX('×入力'!$A$1:$L$1300,1070,2+BS$2)&lt;&gt;"",INDEX('×入力'!$A$1:$L$1300,1071+BS$3,1)&lt;&gt;""),1,0),0)</f>
        <v/>
      </c>
      <c r="BT48">
        <f>IF(BT$4=1,IF(OR(INDEX('×入力'!$A$1:$L$1300,1071+BT$3,2+BT$2)&lt;&gt;"",INDEX('×入力'!$A$1:$L$1300,1070,2+BT$2)&lt;&gt;"",INDEX('×入力'!$A$1:$L$1300,1071+BT$3,1)&lt;&gt;""),1,0),0)</f>
        <v/>
      </c>
      <c r="BU48">
        <f>IF(BU$4=1,IF(OR(INDEX('×入力'!$A$1:$L$1300,1071+BU$3,2+BU$2)&lt;&gt;"",INDEX('×入力'!$A$1:$L$1300,1070,2+BU$2)&lt;&gt;"",INDEX('×入力'!$A$1:$L$1300,1071+BU$3,1)&lt;&gt;""),1,0),0)</f>
        <v/>
      </c>
      <c r="BV48">
        <f>IF(BV$4=1,IF(OR(INDEX('×入力'!$A$1:$L$1300,1071+BV$3,2+BV$2)&lt;&gt;"",INDEX('×入力'!$A$1:$L$1300,1070,2+BV$2)&lt;&gt;"",INDEX('×入力'!$A$1:$L$1300,1071+BV$3,1)&lt;&gt;""),1,0),0)</f>
        <v/>
      </c>
      <c r="BW48">
        <f>IF(BW$4=1,IF(OR(INDEX('×入力'!$A$1:$L$1300,1071+BW$3,2+BW$2)&lt;&gt;"",INDEX('×入力'!$A$1:$L$1300,1070,2+BW$2)&lt;&gt;"",INDEX('×入力'!$A$1:$L$1300,1071+BW$3,1)&lt;&gt;""),1,0),0)</f>
        <v/>
      </c>
      <c r="BX48">
        <f>IF(BX$4=1,IF(OR(INDEX('×入力'!$A$1:$L$1300,1071+BX$3,2+BX$2)&lt;&gt;"",INDEX('×入力'!$A$1:$L$1300,1070,2+BX$2)&lt;&gt;"",INDEX('×入力'!$A$1:$L$1300,1071+BX$3,1)&lt;&gt;""),1,0),0)</f>
        <v/>
      </c>
      <c r="BY48">
        <f>IF(BY$4=1,IF(OR(INDEX('×入力'!$A$1:$L$1300,1071+BY$3,2+BY$2)&lt;&gt;"",INDEX('×入力'!$A$1:$L$1300,1070,2+BY$2)&lt;&gt;"",INDEX('×入力'!$A$1:$L$1300,1071+BY$3,1)&lt;&gt;""),1,0),0)</f>
        <v/>
      </c>
      <c r="BZ48">
        <f>IF(BZ$4=1,IF(OR(INDEX('×入力'!$A$1:$L$1300,1071+BZ$3,2+BZ$2)&lt;&gt;"",INDEX('×入力'!$A$1:$L$1300,1070,2+BZ$2)&lt;&gt;"",INDEX('×入力'!$A$1:$L$1300,1071+BZ$3,1)&lt;&gt;""),1,0),0)</f>
        <v/>
      </c>
      <c r="CA48">
        <f>IF(CA$4=1,IF(OR(INDEX('×入力'!$A$1:$L$1300,1071+CA$3,2+CA$2)&lt;&gt;"",INDEX('×入力'!$A$1:$L$1300,1070,2+CA$2)&lt;&gt;"",INDEX('×入力'!$A$1:$L$1300,1071+CA$3,1)&lt;&gt;""),1,0),0)</f>
        <v/>
      </c>
      <c r="CB48">
        <f>IF(CB$4=1,IF(OR(INDEX('×入力'!$A$1:$L$1300,1071+CB$3,2+CB$2)&lt;&gt;"",INDEX('×入力'!$A$1:$L$1300,1070,2+CB$2)&lt;&gt;"",INDEX('×入力'!$A$1:$L$1300,1071+CB$3,1)&lt;&gt;""),1,0),0)</f>
        <v/>
      </c>
      <c r="CC48">
        <f>IF(CC$4=1,IF(OR(INDEX('×入力'!$A$1:$L$1300,1071+CC$3,2+CC$2)&lt;&gt;"",INDEX('×入力'!$A$1:$L$1300,1070,2+CC$2)&lt;&gt;"",INDEX('×入力'!$A$1:$L$1300,1071+CC$3,1)&lt;&gt;""),1,0),0)</f>
        <v/>
      </c>
      <c r="CD48">
        <f>IF(CD$4=1,IF(OR(INDEX('×入力'!$A$1:$L$1300,1071+CD$3,2+CD$2)&lt;&gt;"",INDEX('×入力'!$A$1:$L$1300,1070,2+CD$2)&lt;&gt;"",INDEX('×入力'!$A$1:$L$1300,1071+CD$3,1)&lt;&gt;""),1,0),0)</f>
        <v/>
      </c>
      <c r="CE48">
        <f>IF(CE$4=1,IF(OR(INDEX('×入力'!$A$1:$L$1300,1071+CE$3,2+CE$2)&lt;&gt;"",INDEX('×入力'!$A$1:$L$1300,1070,2+CE$2)&lt;&gt;"",INDEX('×入力'!$A$1:$L$1300,1071+CE$3,1)&lt;&gt;""),1,0),0)</f>
        <v/>
      </c>
      <c r="CF48">
        <f>IF(CF$4=1,IF(OR(INDEX('×入力'!$A$1:$L$1300,1071+CF$3,2+CF$2)&lt;&gt;"",INDEX('×入力'!$A$1:$L$1300,1070,2+CF$2)&lt;&gt;"",INDEX('×入力'!$A$1:$L$1300,1071+CF$3,1)&lt;&gt;""),1,0),0)</f>
        <v/>
      </c>
      <c r="CG48">
        <f>IF(CG$4=1,IF(OR(INDEX('×入力'!$A$1:$L$1300,1071+CG$3,2+CG$2)&lt;&gt;"",INDEX('×入力'!$A$1:$L$1300,1070,2+CG$2)&lt;&gt;"",INDEX('×入力'!$A$1:$L$1300,1071+CG$3,1)&lt;&gt;""),1,0),0)</f>
        <v/>
      </c>
      <c r="CH48">
        <f>IF(CH$4=1,IF(OR(INDEX('×入力'!$A$1:$L$1300,1071+CH$3,2+CH$2)&lt;&gt;"",INDEX('×入力'!$A$1:$L$1300,1070,2+CH$2)&lt;&gt;"",INDEX('×入力'!$A$1:$L$1300,1071+CH$3,1)&lt;&gt;""),1,0),0)</f>
        <v/>
      </c>
      <c r="CI48">
        <f>IF(CI$4=1,IF(OR(INDEX('×入力'!$A$1:$L$1300,1071+CI$3,2+CI$2)&lt;&gt;"",INDEX('×入力'!$A$1:$L$1300,1070,2+CI$2)&lt;&gt;"",INDEX('×入力'!$A$1:$L$1300,1071+CI$3,1)&lt;&gt;""),1,0),0)</f>
        <v/>
      </c>
      <c r="CJ48">
        <f>IF(CJ$4=1,IF(OR(INDEX('×入力'!$A$1:$L$1300,1071+CJ$3,2+CJ$2)&lt;&gt;"",INDEX('×入力'!$A$1:$L$1300,1070,2+CJ$2)&lt;&gt;"",INDEX('×入力'!$A$1:$L$1300,1071+CJ$3,1)&lt;&gt;""),1,0),0)</f>
        <v/>
      </c>
      <c r="CK48">
        <f>IF(CK$4=1,IF(OR(INDEX('×入力'!$A$1:$L$1300,1071+CK$3,2+CK$2)&lt;&gt;"",INDEX('×入力'!$A$1:$L$1300,1070,2+CK$2)&lt;&gt;"",INDEX('×入力'!$A$1:$L$1300,1071+CK$3,1)&lt;&gt;""),1,0),0)</f>
        <v/>
      </c>
      <c r="CL48">
        <f>IF(CL$4=1,IF(OR(INDEX('×入力'!$A$1:$L$1300,1071+CL$3,2+CL$2)&lt;&gt;"",INDEX('×入力'!$A$1:$L$1300,1070,2+CL$2)&lt;&gt;"",INDEX('×入力'!$A$1:$L$1300,1071+CL$3,1)&lt;&gt;""),1,0),0)</f>
        <v/>
      </c>
      <c r="CM48">
        <f>IF(CM$4=1,IF(OR(INDEX('×入力'!$A$1:$L$1300,1071+CM$3,2+CM$2)&lt;&gt;"",INDEX('×入力'!$A$1:$L$1300,1070,2+CM$2)&lt;&gt;"",INDEX('×入力'!$A$1:$L$1300,1071+CM$3,1)&lt;&gt;""),1,0),0)</f>
        <v/>
      </c>
      <c r="CN48">
        <f>IF(CN$4=1,IF(OR(INDEX('×入力'!$A$1:$L$1300,1071+CN$3,2+CN$2)&lt;&gt;"",INDEX('×入力'!$A$1:$L$1300,1070,2+CN$2)&lt;&gt;"",INDEX('×入力'!$A$1:$L$1300,1071+CN$3,1)&lt;&gt;""),1,0),0)</f>
        <v/>
      </c>
      <c r="CO48">
        <f>IF(CO$4=1,IF(OR(INDEX('×入力'!$A$1:$L$1300,1071+CO$3,2+CO$2)&lt;&gt;"",INDEX('×入力'!$A$1:$L$1300,1070,2+CO$2)&lt;&gt;"",INDEX('×入力'!$A$1:$L$1300,1071+CO$3,1)&lt;&gt;""),1,0),0)</f>
        <v/>
      </c>
      <c r="CP48">
        <f>IF(CP$4=1,IF(OR(INDEX('×入力'!$A$1:$L$1300,1071+CP$3,2+CP$2)&lt;&gt;"",INDEX('×入力'!$A$1:$L$1300,1070,2+CP$2)&lt;&gt;"",INDEX('×入力'!$A$1:$L$1300,1071+CP$3,1)&lt;&gt;""),1,0),0)</f>
        <v/>
      </c>
      <c r="CQ48">
        <f>IF(CQ$4=1,IF(OR(INDEX('×入力'!$A$1:$L$1300,1071+CQ$3,2+CQ$2)&lt;&gt;"",INDEX('×入力'!$A$1:$L$1300,1070,2+CQ$2)&lt;&gt;"",INDEX('×入力'!$A$1:$L$1300,1071+CQ$3,1)&lt;&gt;""),1,0),0)</f>
        <v/>
      </c>
      <c r="CR48">
        <f>IF(CR$4=1,IF(OR(INDEX('×入力'!$A$1:$L$1300,1071+CR$3,2+CR$2)&lt;&gt;"",INDEX('×入力'!$A$1:$L$1300,1070,2+CR$2)&lt;&gt;"",INDEX('×入力'!$A$1:$L$1300,1071+CR$3,1)&lt;&gt;""),1,0),0)</f>
        <v/>
      </c>
      <c r="CS48">
        <f>IF(CS$4=1,IF(OR(INDEX('×入力'!$A$1:$L$1300,1071+CS$3,2+CS$2)&lt;&gt;"",INDEX('×入力'!$A$1:$L$1300,1070,2+CS$2)&lt;&gt;"",INDEX('×入力'!$A$1:$L$1300,1071+CS$3,1)&lt;&gt;""),1,0),0)</f>
        <v/>
      </c>
      <c r="CT48">
        <f>IF(CT$4=1,IF(OR(INDEX('×入力'!$A$1:$L$1300,1071+CT$3,2+CT$2)&lt;&gt;"",INDEX('×入力'!$A$1:$L$1300,1070,2+CT$2)&lt;&gt;"",INDEX('×入力'!$A$1:$L$1300,1071+CT$3,1)&lt;&gt;""),1,0),0)</f>
        <v/>
      </c>
      <c r="CU48">
        <f>IF(CU$4=1,IF(OR(INDEX('×入力'!$A$1:$L$1300,1071+CU$3,2+CU$2)&lt;&gt;"",INDEX('×入力'!$A$1:$L$1300,1070,2+CU$2)&lt;&gt;"",INDEX('×入力'!$A$1:$L$1300,1071+CU$3,1)&lt;&gt;""),1,0),0)</f>
        <v/>
      </c>
      <c r="CV48">
        <f>IF(CV$4=1,IF(OR(INDEX('×入力'!$A$1:$L$1300,1071+CV$3,2+CV$2)&lt;&gt;"",INDEX('×入力'!$A$1:$L$1300,1070,2+CV$2)&lt;&gt;"",INDEX('×入力'!$A$1:$L$1300,1071+CV$3,1)&lt;&gt;""),1,0),0)</f>
        <v/>
      </c>
      <c r="CW48">
        <f>IF(CW$4=1,IF(OR(INDEX('×入力'!$A$1:$L$1300,1071+CW$3,2+CW$2)&lt;&gt;"",INDEX('×入力'!$A$1:$L$1300,1070,2+CW$2)&lt;&gt;"",INDEX('×入力'!$A$1:$L$1300,1071+CW$3,1)&lt;&gt;""),1,0),0)</f>
        <v/>
      </c>
      <c r="CX48">
        <f>IF(CX$4=1,IF(OR(INDEX('×入力'!$A$1:$L$1300,1071+CX$3,2+CX$2)&lt;&gt;"",INDEX('×入力'!$A$1:$L$1300,1070,2+CX$2)&lt;&gt;"",INDEX('×入力'!$A$1:$L$1300,1071+CX$3,1)&lt;&gt;""),1,0),0)</f>
        <v/>
      </c>
      <c r="CY48">
        <f>IF(CY$4=1,IF(OR(INDEX('×入力'!$A$1:$L$1300,1071+CY$3,2+CY$2)&lt;&gt;"",INDEX('×入力'!$A$1:$L$1300,1070,2+CY$2)&lt;&gt;"",INDEX('×入力'!$A$1:$L$1300,1071+CY$3,1)&lt;&gt;""),1,0),0)</f>
        <v/>
      </c>
      <c r="CZ48">
        <f>IF(CZ$4=1,IF(OR(INDEX('×入力'!$A$1:$L$1300,1071+CZ$3,2+CZ$2)&lt;&gt;"",INDEX('×入力'!$A$1:$L$1300,1070,2+CZ$2)&lt;&gt;"",INDEX('×入力'!$A$1:$L$1300,1071+CZ$3,1)&lt;&gt;""),1,0),0)</f>
        <v/>
      </c>
      <c r="DA48">
        <f>IF(DA$4=1,IF(OR(INDEX('×入力'!$A$1:$L$1300,1071+DA$3,2+DA$2)&lt;&gt;"",INDEX('×入力'!$A$1:$L$1300,1070,2+DA$2)&lt;&gt;"",INDEX('×入力'!$A$1:$L$1300,1071+DA$3,1)&lt;&gt;""),1,0),0)</f>
        <v/>
      </c>
      <c r="DB48">
        <f>IF(DB$4=1,IF(OR(INDEX('×入力'!$A$1:$L$1300,1071+DB$3,2+DB$2)&lt;&gt;"",INDEX('×入力'!$A$1:$L$1300,1070,2+DB$2)&lt;&gt;"",INDEX('×入力'!$A$1:$L$1300,1071+DB$3,1)&lt;&gt;""),1,0),0)</f>
        <v/>
      </c>
      <c r="DC48">
        <f>IF(DC$4=1,IF(OR(INDEX('×入力'!$A$1:$L$1300,1071+DC$3,2+DC$2)&lt;&gt;"",INDEX('×入力'!$A$1:$L$1300,1070,2+DC$2)&lt;&gt;"",INDEX('×入力'!$A$1:$L$1300,1071+DC$3,1)&lt;&gt;""),1,0),0)</f>
        <v/>
      </c>
      <c r="DD48">
        <f>IF(DD$4=1,IF(OR(INDEX('×入力'!$A$1:$L$1300,1071+DD$3,2+DD$2)&lt;&gt;"",INDEX('×入力'!$A$1:$L$1300,1070,2+DD$2)&lt;&gt;"",INDEX('×入力'!$A$1:$L$1300,1071+DD$3,1)&lt;&gt;""),1,0),0)</f>
        <v/>
      </c>
      <c r="DE48">
        <f>IF(DE$4=1,IF(OR(INDEX('×入力'!$A$1:$L$1300,1071+DE$3,2+DE$2)&lt;&gt;"",INDEX('×入力'!$A$1:$L$1300,1070,2+DE$2)&lt;&gt;"",INDEX('×入力'!$A$1:$L$1300,1071+DE$3,1)&lt;&gt;""),1,0),0)</f>
        <v/>
      </c>
      <c r="DF48">
        <f>IF(DF$4=1,IF(OR(INDEX('×入力'!$A$1:$L$1300,1071+DF$3,2+DF$2)&lt;&gt;"",INDEX('×入力'!$A$1:$L$1300,1070,2+DF$2)&lt;&gt;"",INDEX('×入力'!$A$1:$L$1300,1071+DF$3,1)&lt;&gt;""),1,0),0)</f>
        <v/>
      </c>
      <c r="DG48">
        <f>IF(DG$4=1,IF(OR(INDEX('×入力'!$A$1:$L$1300,1071+DG$3,2+DG$2)&lt;&gt;"",INDEX('×入力'!$A$1:$L$1300,1070,2+DG$2)&lt;&gt;"",INDEX('×入力'!$A$1:$L$1300,1071+DG$3,1)&lt;&gt;""),1,0),0)</f>
        <v/>
      </c>
      <c r="DH48">
        <f>IF(DH$4=1,IF(OR(INDEX('×入力'!$A$1:$L$1300,1071+DH$3,2+DH$2)&lt;&gt;"",INDEX('×入力'!$A$1:$L$1300,1070,2+DH$2)&lt;&gt;"",INDEX('×入力'!$A$1:$L$1300,1071+DH$3,1)&lt;&gt;""),1,0),0)</f>
        <v/>
      </c>
      <c r="DI48">
        <f>IF(DI$4=1,IF(OR(INDEX('×入力'!$A$1:$L$1300,1071+DI$3,2+DI$2)&lt;&gt;"",INDEX('×入力'!$A$1:$L$1300,1070,2+DI$2)&lt;&gt;"",INDEX('×入力'!$A$1:$L$1300,1071+DI$3,1)&lt;&gt;""),1,0),0)</f>
        <v/>
      </c>
      <c r="DJ48">
        <f>IF(DJ$4=1,IF(OR(INDEX('×入力'!$A$1:$L$1300,1071+DJ$3,2+DJ$2)&lt;&gt;"",INDEX('×入力'!$A$1:$L$1300,1070,2+DJ$2)&lt;&gt;"",INDEX('×入力'!$A$1:$L$1300,1071+DJ$3,1)&lt;&gt;""),1,0),0)</f>
        <v/>
      </c>
      <c r="DK48">
        <f>IF(DK$4=1,IF(OR(INDEX('×入力'!$A$1:$L$1300,1071+DK$3,2+DK$2)&lt;&gt;"",INDEX('×入力'!$A$1:$L$1300,1070,2+DK$2)&lt;&gt;"",INDEX('×入力'!$A$1:$L$1300,1071+DK$3,1)&lt;&gt;""),1,0),0)</f>
        <v/>
      </c>
      <c r="DL48">
        <f>IF(DL$4=1,IF(OR(INDEX('×入力'!$A$1:$L$1300,1071+DL$3,2+DL$2)&lt;&gt;"",INDEX('×入力'!$A$1:$L$1300,1070,2+DL$2)&lt;&gt;"",INDEX('×入力'!$A$1:$L$1300,1071+DL$3,1)&lt;&gt;""),1,0),0)</f>
        <v/>
      </c>
      <c r="DM48">
        <f>IF(DM$4=1,IF(OR(INDEX('×入力'!$A$1:$L$1300,1071+DM$3,2+DM$2)&lt;&gt;"",INDEX('×入力'!$A$1:$L$1300,1070,2+DM$2)&lt;&gt;"",INDEX('×入力'!$A$1:$L$1300,1071+DM$3,1)&lt;&gt;""),1,0),0)</f>
        <v/>
      </c>
      <c r="DN48">
        <f>IF(DN$4=1,IF(OR(INDEX('×入力'!$A$1:$L$1300,1071+DN$3,2+DN$2)&lt;&gt;"",INDEX('×入力'!$A$1:$L$1300,1070,2+DN$2)&lt;&gt;"",INDEX('×入力'!$A$1:$L$1300,1071+DN$3,1)&lt;&gt;""),1,0),0)</f>
        <v/>
      </c>
      <c r="DO48">
        <f>IF(DO$4=1,IF(OR(INDEX('×入力'!$A$1:$L$1300,1071+DO$3,2+DO$2)&lt;&gt;"",INDEX('×入力'!$A$1:$L$1300,1070,2+DO$2)&lt;&gt;"",INDEX('×入力'!$A$1:$L$1300,1071+DO$3,1)&lt;&gt;""),1,0),0)</f>
        <v/>
      </c>
      <c r="DP48">
        <f>IF(DP$4=1,IF(OR(INDEX('×入力'!$A$1:$L$1300,1071+DP$3,2+DP$2)&lt;&gt;"",INDEX('×入力'!$A$1:$L$1300,1070,2+DP$2)&lt;&gt;"",INDEX('×入力'!$A$1:$L$1300,1071+DP$3,1)&lt;&gt;""),1,0),0)</f>
        <v/>
      </c>
      <c r="DQ48">
        <f>IF(DQ$4=1,IF(OR(INDEX('×入力'!$A$1:$L$1300,1071+DQ$3,2+DQ$2)&lt;&gt;"",INDEX('×入力'!$A$1:$L$1300,1070,2+DQ$2)&lt;&gt;"",INDEX('×入力'!$A$1:$L$1300,1071+DQ$3,1)&lt;&gt;""),1,0),0)</f>
        <v/>
      </c>
      <c r="DR48">
        <f>IF(DR$4=1,IF(OR(INDEX('×入力'!$A$1:$L$1300,1071+DR$3,2+DR$2)&lt;&gt;"",INDEX('×入力'!$A$1:$L$1300,1070,2+DR$2)&lt;&gt;"",INDEX('×入力'!$A$1:$L$1300,1071+DR$3,1)&lt;&gt;""),1,0),0)</f>
        <v/>
      </c>
      <c r="DS48">
        <f>IF(DS$4=1,IF(OR(INDEX('×入力'!$A$1:$L$1300,1071+DS$3,2+DS$2)&lt;&gt;"",INDEX('×入力'!$A$1:$L$1300,1070,2+DS$2)&lt;&gt;"",INDEX('×入力'!$A$1:$L$1300,1071+DS$3,1)&lt;&gt;""),1,0),0)</f>
        <v/>
      </c>
      <c r="DT48">
        <f>IF(DT$4=1,IF(OR(INDEX('×入力'!$A$1:$L$1300,1071+DT$3,2+DT$2)&lt;&gt;"",INDEX('×入力'!$A$1:$L$1300,1070,2+DT$2)&lt;&gt;"",INDEX('×入力'!$A$1:$L$1300,1071+DT$3,1)&lt;&gt;""),1,0),0)</f>
        <v/>
      </c>
      <c r="DU48">
        <f>IF(DU$4=1,IF(OR(INDEX('×入力'!$A$1:$L$1300,1071+DU$3,2+DU$2)&lt;&gt;"",INDEX('×入力'!$A$1:$L$1300,1070,2+DU$2)&lt;&gt;"",INDEX('×入力'!$A$1:$L$1300,1071+DU$3,1)&lt;&gt;""),1,0),0)</f>
        <v/>
      </c>
      <c r="DV48">
        <f>IF(DV$4=1,IF(OR(INDEX('×入力'!$A$1:$L$1300,1071+DV$3,2+DV$2)&lt;&gt;"",INDEX('×入力'!$A$1:$L$1300,1070,2+DV$2)&lt;&gt;"",INDEX('×入力'!$A$1:$L$1300,1071+DV$3,1)&lt;&gt;""),1,0),0)</f>
        <v/>
      </c>
      <c r="DW48">
        <f>IF(DW$4=1,IF(OR(INDEX('×入力'!$A$1:$L$1300,1071+DW$3,2+DW$2)&lt;&gt;"",INDEX('×入力'!$A$1:$L$1300,1070,2+DW$2)&lt;&gt;"",INDEX('×入力'!$A$1:$L$1300,1071+DW$3,1)&lt;&gt;""),1,0),0)</f>
        <v/>
      </c>
      <c r="DX48">
        <f>IF(DX$4=1,IF(OR(INDEX('×入力'!$A$1:$L$1300,1071+DX$3,2+DX$2)&lt;&gt;"",INDEX('×入力'!$A$1:$L$1300,1070,2+DX$2)&lt;&gt;"",INDEX('×入力'!$A$1:$L$1300,1071+DX$3,1)&lt;&gt;""),1,0),0)</f>
        <v/>
      </c>
      <c r="DY48">
        <f>IF(DY$4=1,IF(OR(INDEX('×入力'!$A$1:$L$1300,1071+DY$3,2+DY$2)&lt;&gt;"",INDEX('×入力'!$A$1:$L$1300,1070,2+DY$2)&lt;&gt;"",INDEX('×入力'!$A$1:$L$1300,1071+DY$3,1)&lt;&gt;""),1,0),0)</f>
        <v/>
      </c>
      <c r="DZ48">
        <f>IF(DZ$4=1,IF(OR(INDEX('×入力'!$A$1:$L$1300,1071+DZ$3,2+DZ$2)&lt;&gt;"",INDEX('×入力'!$A$1:$L$1300,1070,2+DZ$2)&lt;&gt;"",INDEX('×入力'!$A$1:$L$1300,1071+DZ$3,1)&lt;&gt;""),1,0),0)</f>
        <v/>
      </c>
      <c r="EA48">
        <f>IF(EA$4=1,IF(OR(INDEX('×入力'!$A$1:$L$1300,1071+EA$3,2+EA$2)&lt;&gt;"",INDEX('×入力'!$A$1:$L$1300,1070,2+EA$2)&lt;&gt;"",INDEX('×入力'!$A$1:$L$1300,1071+EA$3,1)&lt;&gt;""),1,0),0)</f>
        <v/>
      </c>
      <c r="EB48">
        <f>IF(EB$4=1,IF(OR(INDEX('×入力'!$A$1:$L$1300,1071+EB$3,2+EB$2)&lt;&gt;"",INDEX('×入力'!$A$1:$L$1300,1070,2+EB$2)&lt;&gt;"",INDEX('×入力'!$A$1:$L$1300,1071+EB$3,1)&lt;&gt;""),1,0),0)</f>
        <v/>
      </c>
      <c r="EC48">
        <f>IF(EC$4=1,IF(OR(INDEX('×入力'!$A$1:$L$1300,1071+EC$3,2+EC$2)&lt;&gt;"",INDEX('×入力'!$A$1:$L$1300,1070,2+EC$2)&lt;&gt;"",INDEX('×入力'!$A$1:$L$1300,1071+EC$3,1)&lt;&gt;""),1,0),0)</f>
        <v/>
      </c>
      <c r="ED48">
        <f>IF(ED$4=1,IF(OR(INDEX('×入力'!$A$1:$L$1300,1071+ED$3,2+ED$2)&lt;&gt;"",INDEX('×入力'!$A$1:$L$1300,1070,2+ED$2)&lt;&gt;"",INDEX('×入力'!$A$1:$L$1300,1071+ED$3,1)&lt;&gt;""),1,0),0)</f>
        <v/>
      </c>
      <c r="EE48">
        <f>IF(EE$4=1,IF(OR(INDEX('×入力'!$A$1:$L$1300,1071+EE$3,2+EE$2)&lt;&gt;"",INDEX('×入力'!$A$1:$L$1300,1070,2+EE$2)&lt;&gt;"",INDEX('×入力'!$A$1:$L$1300,1071+EE$3,1)&lt;&gt;""),1,0),0)</f>
        <v/>
      </c>
      <c r="EF48">
        <f>IF(EF$4=1,IF(OR(INDEX('×入力'!$A$1:$L$1300,1071+EF$3,2+EF$2)&lt;&gt;"",INDEX('×入力'!$A$1:$L$1300,1070,2+EF$2)&lt;&gt;"",INDEX('×入力'!$A$1:$L$1300,1071+EF$3,1)&lt;&gt;""),1,0),0)</f>
        <v/>
      </c>
      <c r="EG48">
        <f>IF(EG$4=1,IF(OR(INDEX('×入力'!$A$1:$L$1300,1071+EG$3,2+EG$2)&lt;&gt;"",INDEX('×入力'!$A$1:$L$1300,1070,2+EG$2)&lt;&gt;"",INDEX('×入力'!$A$1:$L$1300,1071+EG$3,1)&lt;&gt;""),1,0),0)</f>
        <v/>
      </c>
      <c r="EH48">
        <f>IF(EH$4=1,IF(OR(INDEX('×入力'!$A$1:$L$1300,1071+EH$3,2+EH$2)&lt;&gt;"",INDEX('×入力'!$A$1:$L$1300,1070,2+EH$2)&lt;&gt;"",INDEX('×入力'!$A$1:$L$1300,1071+EH$3,1)&lt;&gt;""),1,0),0)</f>
        <v/>
      </c>
      <c r="EI48">
        <f>IF(EI$4=1,IF(OR(INDEX('×入力'!$A$1:$L$1300,1071+EI$3,2+EI$2)&lt;&gt;"",INDEX('×入力'!$A$1:$L$1300,1070,2+EI$2)&lt;&gt;"",INDEX('×入力'!$A$1:$L$1300,1071+EI$3,1)&lt;&gt;""),1,0),0)</f>
        <v/>
      </c>
      <c r="EJ48">
        <f>IF(EJ$4=1,IF(OR(INDEX('×入力'!$A$1:$L$1300,1071+EJ$3,2+EJ$2)&lt;&gt;"",INDEX('×入力'!$A$1:$L$1300,1070,2+EJ$2)&lt;&gt;"",INDEX('×入力'!$A$1:$L$1300,1071+EJ$3,1)&lt;&gt;""),1,0),0)</f>
        <v/>
      </c>
      <c r="EK48">
        <f>IF(EK$4=1,IF(OR(INDEX('×入力'!$A$1:$L$1300,1071+EK$3,2+EK$2)&lt;&gt;"",INDEX('×入力'!$A$1:$L$1300,1070,2+EK$2)&lt;&gt;"",INDEX('×入力'!$A$1:$L$1300,1071+EK$3,1)&lt;&gt;""),1,0),0)</f>
        <v/>
      </c>
      <c r="EL48">
        <f>IF(EL$4=1,IF(OR(INDEX('×入力'!$A$1:$L$1300,1071+EL$3,2+EL$2)&lt;&gt;"",INDEX('×入力'!$A$1:$L$1300,1070,2+EL$2)&lt;&gt;"",INDEX('×入力'!$A$1:$L$1300,1071+EL$3,1)&lt;&gt;""),1,0),0)</f>
        <v/>
      </c>
      <c r="EM48">
        <f>IF(EM$4=1,IF(OR(INDEX('×入力'!$A$1:$L$1300,1071+EM$3,2+EM$2)&lt;&gt;"",INDEX('×入力'!$A$1:$L$1300,1070,2+EM$2)&lt;&gt;"",INDEX('×入力'!$A$1:$L$1300,1071+EM$3,1)&lt;&gt;""),1,0),0)</f>
        <v/>
      </c>
      <c r="EN48">
        <f>IF(EN$4=1,IF(OR(INDEX('×入力'!$A$1:$L$1300,1071+EN$3,2+EN$2)&lt;&gt;"",INDEX('×入力'!$A$1:$L$1300,1070,2+EN$2)&lt;&gt;"",INDEX('×入力'!$A$1:$L$1300,1071+EN$3,1)&lt;&gt;""),1,0),0)</f>
        <v/>
      </c>
      <c r="EO48">
        <f>IF(EO$4=1,IF(OR(INDEX('×入力'!$A$1:$L$1300,1071+EO$3,2+EO$2)&lt;&gt;"",INDEX('×入力'!$A$1:$L$1300,1070,2+EO$2)&lt;&gt;"",INDEX('×入力'!$A$1:$L$1300,1071+EO$3,1)&lt;&gt;""),1,0),0)</f>
        <v/>
      </c>
      <c r="EP48">
        <f>IF(EP$4=1,IF(OR(INDEX('×入力'!$A$1:$L$1300,1071+EP$3,2+EP$2)&lt;&gt;"",INDEX('×入力'!$A$1:$L$1300,1070,2+EP$2)&lt;&gt;"",INDEX('×入力'!$A$1:$L$1300,1071+EP$3,1)&lt;&gt;""),1,0),0)</f>
        <v/>
      </c>
      <c r="EQ48">
        <f>IF(EQ$4=1,IF(OR(INDEX('×入力'!$A$1:$L$1300,1071+EQ$3,2+EQ$2)&lt;&gt;"",INDEX('×入力'!$A$1:$L$1300,1070,2+EQ$2)&lt;&gt;"",INDEX('×入力'!$A$1:$L$1300,1071+EQ$3,1)&lt;&gt;""),1,0),0)</f>
        <v/>
      </c>
      <c r="HA48">
        <f>MAX(0,IT48)</f>
        <v/>
      </c>
      <c r="HB48">
        <f>IF(HA48=0,0,INDEX($D$2:$EQ$2,HA48))</f>
        <v/>
      </c>
      <c r="HC48">
        <f>IF(HA48=0,0,INDEX($D$3:$EQ$3,HA48))</f>
        <v/>
      </c>
      <c r="HD48">
        <f>MAX(0,IY48)</f>
        <v/>
      </c>
      <c r="HE48">
        <f>IF(HD48=0,0,INDEX($D$2:$EQ$2,HD48))</f>
        <v/>
      </c>
      <c r="HF48">
        <f>IF(HD48=0,0,INDEX($D$3:$EQ$3,HD48))</f>
        <v/>
      </c>
      <c r="HG48">
        <f>MAX(0,IZ48)</f>
        <v/>
      </c>
      <c r="HH48">
        <f>IF(HG48=0,0,INDEX($D$2:$EQ$2,HG48))</f>
        <v/>
      </c>
      <c r="HI48">
        <f>IF(HG48=0,0,INDEX($D$3:$EQ$3,HG48))</f>
        <v/>
      </c>
      <c r="HJ48">
        <f>IF(AND(HA48&gt;0,HC48&gt;1,OR(HC48-1&lt;&gt;$A$3,$A$4=0)),HA48-1,-1)</f>
        <v/>
      </c>
      <c r="HK48">
        <f>IF(AND(HA48&gt;0,HC48&lt;24,OR(HC48&lt;&gt;$A$3,$A$4=0)),HA48+1,-1)</f>
        <v/>
      </c>
      <c r="HL48">
        <f>IF(AND(HD48&gt;0,HF48&gt;1,OR(HF48-1&lt;&gt;$A$3,$A$4=0)),HD48-1,-1)</f>
        <v/>
      </c>
      <c r="HM48">
        <f>IF(AND(HD48&gt;0,HF48&lt;24,OR(HF48&lt;&gt;$A$3,$A$4=0)),HD48+1,-1)</f>
        <v/>
      </c>
      <c r="HN48">
        <f>IF(AND(HG48&gt;0,HI48&gt;1,OR(HI48-1&lt;&gt;$A$3,$A$4=0)),HG48-1,-1)</f>
        <v/>
      </c>
      <c r="HO48">
        <f>IF(AND(HG48&gt;0,HI48&lt;24,OR(HI48&lt;&gt;$A$3,$A$4=0)),HG48+1,-1)</f>
        <v/>
      </c>
      <c r="IK48">
        <f>IFERROR(INDEX('calcB'!$C$3:$C$47,MATCH(A48,'calcB'!$B$3:$B$47,0)),0)</f>
        <v/>
      </c>
      <c r="IL48">
        <f>IF(AND(C48=1,IK48=0,calcA!$A$6&gt;0),1,0)</f>
        <v/>
      </c>
      <c r="IM48">
        <f>SUMPRODUCT(D98:EQ98*(1-$D$7:$EQ$7))</f>
        <v/>
      </c>
      <c r="IN48">
        <f>SUM(D48:EQ48)</f>
        <v/>
      </c>
      <c r="IO48">
        <f>IF(B48="",0,IF(COUNTIF('調整・決定'!$C$6:$H$29,B48)=1,SUMPRODUCT(('調整・決定'!$C$6:$H$29=B48)*((COLUMN('調整・決定'!$C$6:$H$29)-3)*24+ROW('調整・決定'!$C$6:$H$29)-5)),0))</f>
        <v/>
      </c>
      <c r="IP48">
        <f>IFERROR(MATCH('名簿'!C43,{"早い時刻","遅い時刻","早い日","遅い日"},0),0)</f>
        <v/>
      </c>
      <c r="IQ48">
        <f>IF('名簿'!D43="必ず空けたい",2,IF('名簿'!D43="出来れば空けたい",1,0))</f>
        <v/>
      </c>
      <c r="IR48">
        <f>IFERROR(INDEX('calcC'!$C$3:$C$47,MATCH(A48,'calcC'!$B$3:$B$47,0)),0)</f>
        <v/>
      </c>
      <c r="IS48">
        <f>IF(AND(C48=1,IR48=0,calcA!$A$6&gt;0),1,0)</f>
        <v/>
      </c>
      <c r="IT48">
        <f>IF(OR('名簿'!G43="",'名簿'!H43=""),0,IFERROR((MATCH('名簿'!G43,'設定'!$E$11:$E$16,0)-1)*24+MATCH('名簿'!H43,'設定'!$I$11:$I$34,0),-1))</f>
        <v/>
      </c>
      <c r="IV48">
        <f>IF(OR(JF48=0,IO48=0),1,IF(OR(IF(IT48&gt;0,AND(INDEX($D$2:$EQ$2,IO48)=INDEX($D$2:$EQ$2,IT48),OR(AND(IO48=IT48+1,OR(INDEX($D$3:$EQ$3,IT48)&lt;&gt;$A$3,$A$4=0)),AND(IO48=IT48-1,OR(INDEX($D$3:$EQ$3,IO48)&lt;&gt;$A$3,$A$4=0)))),FALSE),IF(IY48&gt;0,AND(INDEX($D$2:$EQ$2,IO48)=INDEX($D$2:$EQ$2,IY48),OR(AND(IO48=IY48+1,OR(INDEX($D$3:$EQ$3,IY48)&lt;&gt;$A$3,$A$4=0)),AND(IO48=IY48-1,OR(INDEX($D$3:$EQ$3,IO48)&lt;&gt;$A$3,$A$4=0)))),FALSE),IF(IZ48&gt;0,AND(INDEX($D$2:$EQ$2,IO48)=INDEX($D$2:$EQ$2,IZ48),OR(AND(IO48=IZ48+1,OR(INDEX($D$3:$EQ$3,IZ48)&lt;&gt;$A$3,$A$4=0)),AND(IO48=IZ48-1,OR(INDEX($D$3:$EQ$3,IO48)&lt;&gt;$A$3,$A$4=0)))),FALSE)),1,0))</f>
        <v/>
      </c>
      <c r="IW48">
        <f>IF(AND('名簿'!E43&lt;&gt;"",JF48=0),1,0)</f>
        <v/>
      </c>
      <c r="IX48">
        <f>IF('名簿'!D43="空けない",1,0)</f>
        <v/>
      </c>
      <c r="IY48">
        <f>IF(OR('名簿'!J43="",'名簿'!K43=""),0,IFERROR((MATCH('名簿'!J43,'設定'!$E$11:$E$16,0)-1)*24+MATCH('名簿'!K43,'設定'!$I$11:$I$34,0),-1))</f>
        <v/>
      </c>
      <c r="IZ48">
        <f>IF(OR('名簿'!M43="",'名簿'!N43=""),0,IFERROR((MATCH('名簿'!M43,'設定'!$E$11:$E$16,0)-1)*24+MATCH('名簿'!N43,'設定'!$I$11:$I$34,0),-1))</f>
        <v/>
      </c>
      <c r="JC48">
        <f>IF(RIGHT('名簿'!I43,2)="の前",1,IF(RIGHT('名簿'!I43,2)="の後",2,0))</f>
        <v/>
      </c>
      <c r="JD48">
        <f>IF(RIGHT('名簿'!L43,2)="の前",1,IF(RIGHT('名簿'!L43,2)="の後",2,0))</f>
        <v/>
      </c>
      <c r="JE48">
        <f>IF(RIGHT('名簿'!O43,2)="の前",1,IF(RIGHT('名簿'!O43,2)="の後",2,0))</f>
        <v/>
      </c>
      <c r="JF48">
        <f>IF(OR(IT48&gt;0,IY48&gt;0,IZ48&gt;0),1,0)</f>
        <v/>
      </c>
      <c r="JG48">
        <f>IF(OR(IT48&lt;0,IY48&lt;0,IZ48&lt;0),1,0)</f>
        <v/>
      </c>
    </row>
    <row r="49">
      <c r="A49" t="n">
        <v>40</v>
      </c>
      <c r="B49">
        <f>'名簿'!P44</f>
        <v/>
      </c>
      <c r="C49">
        <f>IF(AND(B49&lt;&gt;"",OR('名簿'!Q44="入力済み",'名簿'!Q44="×なし"),IO49=0,COUNTIF('調整・決定'!$C$6:$H$29,B49)=0),1,0)</f>
        <v/>
      </c>
      <c r="D49">
        <f>IF(D$4=1,IF(OR(INDEX('×入力'!$A$1:$L$1300,1099+D$3,2+D$2)&lt;&gt;"",INDEX('×入力'!$A$1:$L$1300,1098,2+D$2)&lt;&gt;"",INDEX('×入力'!$A$1:$L$1300,1099+D$3,1)&lt;&gt;""),1,0),0)</f>
        <v/>
      </c>
      <c r="E49">
        <f>IF(E$4=1,IF(OR(INDEX('×入力'!$A$1:$L$1300,1099+E$3,2+E$2)&lt;&gt;"",INDEX('×入力'!$A$1:$L$1300,1098,2+E$2)&lt;&gt;"",INDEX('×入力'!$A$1:$L$1300,1099+E$3,1)&lt;&gt;""),1,0),0)</f>
        <v/>
      </c>
      <c r="F49">
        <f>IF(F$4=1,IF(OR(INDEX('×入力'!$A$1:$L$1300,1099+F$3,2+F$2)&lt;&gt;"",INDEX('×入力'!$A$1:$L$1300,1098,2+F$2)&lt;&gt;"",INDEX('×入力'!$A$1:$L$1300,1099+F$3,1)&lt;&gt;""),1,0),0)</f>
        <v/>
      </c>
      <c r="G49">
        <f>IF(G$4=1,IF(OR(INDEX('×入力'!$A$1:$L$1300,1099+G$3,2+G$2)&lt;&gt;"",INDEX('×入力'!$A$1:$L$1300,1098,2+G$2)&lt;&gt;"",INDEX('×入力'!$A$1:$L$1300,1099+G$3,1)&lt;&gt;""),1,0),0)</f>
        <v/>
      </c>
      <c r="H49">
        <f>IF(H$4=1,IF(OR(INDEX('×入力'!$A$1:$L$1300,1099+H$3,2+H$2)&lt;&gt;"",INDEX('×入力'!$A$1:$L$1300,1098,2+H$2)&lt;&gt;"",INDEX('×入力'!$A$1:$L$1300,1099+H$3,1)&lt;&gt;""),1,0),0)</f>
        <v/>
      </c>
      <c r="I49">
        <f>IF(I$4=1,IF(OR(INDEX('×入力'!$A$1:$L$1300,1099+I$3,2+I$2)&lt;&gt;"",INDEX('×入力'!$A$1:$L$1300,1098,2+I$2)&lt;&gt;"",INDEX('×入力'!$A$1:$L$1300,1099+I$3,1)&lt;&gt;""),1,0),0)</f>
        <v/>
      </c>
      <c r="J49">
        <f>IF(J$4=1,IF(OR(INDEX('×入力'!$A$1:$L$1300,1099+J$3,2+J$2)&lt;&gt;"",INDEX('×入力'!$A$1:$L$1300,1098,2+J$2)&lt;&gt;"",INDEX('×入力'!$A$1:$L$1300,1099+J$3,1)&lt;&gt;""),1,0),0)</f>
        <v/>
      </c>
      <c r="K49">
        <f>IF(K$4=1,IF(OR(INDEX('×入力'!$A$1:$L$1300,1099+K$3,2+K$2)&lt;&gt;"",INDEX('×入力'!$A$1:$L$1300,1098,2+K$2)&lt;&gt;"",INDEX('×入力'!$A$1:$L$1300,1099+K$3,1)&lt;&gt;""),1,0),0)</f>
        <v/>
      </c>
      <c r="L49">
        <f>IF(L$4=1,IF(OR(INDEX('×入力'!$A$1:$L$1300,1099+L$3,2+L$2)&lt;&gt;"",INDEX('×入力'!$A$1:$L$1300,1098,2+L$2)&lt;&gt;"",INDEX('×入力'!$A$1:$L$1300,1099+L$3,1)&lt;&gt;""),1,0),0)</f>
        <v/>
      </c>
      <c r="M49">
        <f>IF(M$4=1,IF(OR(INDEX('×入力'!$A$1:$L$1300,1099+M$3,2+M$2)&lt;&gt;"",INDEX('×入力'!$A$1:$L$1300,1098,2+M$2)&lt;&gt;"",INDEX('×入力'!$A$1:$L$1300,1099+M$3,1)&lt;&gt;""),1,0),0)</f>
        <v/>
      </c>
      <c r="N49">
        <f>IF(N$4=1,IF(OR(INDEX('×入力'!$A$1:$L$1300,1099+N$3,2+N$2)&lt;&gt;"",INDEX('×入力'!$A$1:$L$1300,1098,2+N$2)&lt;&gt;"",INDEX('×入力'!$A$1:$L$1300,1099+N$3,1)&lt;&gt;""),1,0),0)</f>
        <v/>
      </c>
      <c r="O49">
        <f>IF(O$4=1,IF(OR(INDEX('×入力'!$A$1:$L$1300,1099+O$3,2+O$2)&lt;&gt;"",INDEX('×入力'!$A$1:$L$1300,1098,2+O$2)&lt;&gt;"",INDEX('×入力'!$A$1:$L$1300,1099+O$3,1)&lt;&gt;""),1,0),0)</f>
        <v/>
      </c>
      <c r="P49">
        <f>IF(P$4=1,IF(OR(INDEX('×入力'!$A$1:$L$1300,1099+P$3,2+P$2)&lt;&gt;"",INDEX('×入力'!$A$1:$L$1300,1098,2+P$2)&lt;&gt;"",INDEX('×入力'!$A$1:$L$1300,1099+P$3,1)&lt;&gt;""),1,0),0)</f>
        <v/>
      </c>
      <c r="Q49">
        <f>IF(Q$4=1,IF(OR(INDEX('×入力'!$A$1:$L$1300,1099+Q$3,2+Q$2)&lt;&gt;"",INDEX('×入力'!$A$1:$L$1300,1098,2+Q$2)&lt;&gt;"",INDEX('×入力'!$A$1:$L$1300,1099+Q$3,1)&lt;&gt;""),1,0),0)</f>
        <v/>
      </c>
      <c r="R49">
        <f>IF(R$4=1,IF(OR(INDEX('×入力'!$A$1:$L$1300,1099+R$3,2+R$2)&lt;&gt;"",INDEX('×入力'!$A$1:$L$1300,1098,2+R$2)&lt;&gt;"",INDEX('×入力'!$A$1:$L$1300,1099+R$3,1)&lt;&gt;""),1,0),0)</f>
        <v/>
      </c>
      <c r="S49">
        <f>IF(S$4=1,IF(OR(INDEX('×入力'!$A$1:$L$1300,1099+S$3,2+S$2)&lt;&gt;"",INDEX('×入力'!$A$1:$L$1300,1098,2+S$2)&lt;&gt;"",INDEX('×入力'!$A$1:$L$1300,1099+S$3,1)&lt;&gt;""),1,0),0)</f>
        <v/>
      </c>
      <c r="T49">
        <f>IF(T$4=1,IF(OR(INDEX('×入力'!$A$1:$L$1300,1099+T$3,2+T$2)&lt;&gt;"",INDEX('×入力'!$A$1:$L$1300,1098,2+T$2)&lt;&gt;"",INDEX('×入力'!$A$1:$L$1300,1099+T$3,1)&lt;&gt;""),1,0),0)</f>
        <v/>
      </c>
      <c r="U49">
        <f>IF(U$4=1,IF(OR(INDEX('×入力'!$A$1:$L$1300,1099+U$3,2+U$2)&lt;&gt;"",INDEX('×入力'!$A$1:$L$1300,1098,2+U$2)&lt;&gt;"",INDEX('×入力'!$A$1:$L$1300,1099+U$3,1)&lt;&gt;""),1,0),0)</f>
        <v/>
      </c>
      <c r="V49">
        <f>IF(V$4=1,IF(OR(INDEX('×入力'!$A$1:$L$1300,1099+V$3,2+V$2)&lt;&gt;"",INDEX('×入力'!$A$1:$L$1300,1098,2+V$2)&lt;&gt;"",INDEX('×入力'!$A$1:$L$1300,1099+V$3,1)&lt;&gt;""),1,0),0)</f>
        <v/>
      </c>
      <c r="W49">
        <f>IF(W$4=1,IF(OR(INDEX('×入力'!$A$1:$L$1300,1099+W$3,2+W$2)&lt;&gt;"",INDEX('×入力'!$A$1:$L$1300,1098,2+W$2)&lt;&gt;"",INDEX('×入力'!$A$1:$L$1300,1099+W$3,1)&lt;&gt;""),1,0),0)</f>
        <v/>
      </c>
      <c r="X49">
        <f>IF(X$4=1,IF(OR(INDEX('×入力'!$A$1:$L$1300,1099+X$3,2+X$2)&lt;&gt;"",INDEX('×入力'!$A$1:$L$1300,1098,2+X$2)&lt;&gt;"",INDEX('×入力'!$A$1:$L$1300,1099+X$3,1)&lt;&gt;""),1,0),0)</f>
        <v/>
      </c>
      <c r="Y49">
        <f>IF(Y$4=1,IF(OR(INDEX('×入力'!$A$1:$L$1300,1099+Y$3,2+Y$2)&lt;&gt;"",INDEX('×入力'!$A$1:$L$1300,1098,2+Y$2)&lt;&gt;"",INDEX('×入力'!$A$1:$L$1300,1099+Y$3,1)&lt;&gt;""),1,0),0)</f>
        <v/>
      </c>
      <c r="Z49">
        <f>IF(Z$4=1,IF(OR(INDEX('×入力'!$A$1:$L$1300,1099+Z$3,2+Z$2)&lt;&gt;"",INDEX('×入力'!$A$1:$L$1300,1098,2+Z$2)&lt;&gt;"",INDEX('×入力'!$A$1:$L$1300,1099+Z$3,1)&lt;&gt;""),1,0),0)</f>
        <v/>
      </c>
      <c r="AA49">
        <f>IF(AA$4=1,IF(OR(INDEX('×入力'!$A$1:$L$1300,1099+AA$3,2+AA$2)&lt;&gt;"",INDEX('×入力'!$A$1:$L$1300,1098,2+AA$2)&lt;&gt;"",INDEX('×入力'!$A$1:$L$1300,1099+AA$3,1)&lt;&gt;""),1,0),0)</f>
        <v/>
      </c>
      <c r="AB49">
        <f>IF(AB$4=1,IF(OR(INDEX('×入力'!$A$1:$L$1300,1099+AB$3,2+AB$2)&lt;&gt;"",INDEX('×入力'!$A$1:$L$1300,1098,2+AB$2)&lt;&gt;"",INDEX('×入力'!$A$1:$L$1300,1099+AB$3,1)&lt;&gt;""),1,0),0)</f>
        <v/>
      </c>
      <c r="AC49">
        <f>IF(AC$4=1,IF(OR(INDEX('×入力'!$A$1:$L$1300,1099+AC$3,2+AC$2)&lt;&gt;"",INDEX('×入力'!$A$1:$L$1300,1098,2+AC$2)&lt;&gt;"",INDEX('×入力'!$A$1:$L$1300,1099+AC$3,1)&lt;&gt;""),1,0),0)</f>
        <v/>
      </c>
      <c r="AD49">
        <f>IF(AD$4=1,IF(OR(INDEX('×入力'!$A$1:$L$1300,1099+AD$3,2+AD$2)&lt;&gt;"",INDEX('×入力'!$A$1:$L$1300,1098,2+AD$2)&lt;&gt;"",INDEX('×入力'!$A$1:$L$1300,1099+AD$3,1)&lt;&gt;""),1,0),0)</f>
        <v/>
      </c>
      <c r="AE49">
        <f>IF(AE$4=1,IF(OR(INDEX('×入力'!$A$1:$L$1300,1099+AE$3,2+AE$2)&lt;&gt;"",INDEX('×入力'!$A$1:$L$1300,1098,2+AE$2)&lt;&gt;"",INDEX('×入力'!$A$1:$L$1300,1099+AE$3,1)&lt;&gt;""),1,0),0)</f>
        <v/>
      </c>
      <c r="AF49">
        <f>IF(AF$4=1,IF(OR(INDEX('×入力'!$A$1:$L$1300,1099+AF$3,2+AF$2)&lt;&gt;"",INDEX('×入力'!$A$1:$L$1300,1098,2+AF$2)&lt;&gt;"",INDEX('×入力'!$A$1:$L$1300,1099+AF$3,1)&lt;&gt;""),1,0),0)</f>
        <v/>
      </c>
      <c r="AG49">
        <f>IF(AG$4=1,IF(OR(INDEX('×入力'!$A$1:$L$1300,1099+AG$3,2+AG$2)&lt;&gt;"",INDEX('×入力'!$A$1:$L$1300,1098,2+AG$2)&lt;&gt;"",INDEX('×入力'!$A$1:$L$1300,1099+AG$3,1)&lt;&gt;""),1,0),0)</f>
        <v/>
      </c>
      <c r="AH49">
        <f>IF(AH$4=1,IF(OR(INDEX('×入力'!$A$1:$L$1300,1099+AH$3,2+AH$2)&lt;&gt;"",INDEX('×入力'!$A$1:$L$1300,1098,2+AH$2)&lt;&gt;"",INDEX('×入力'!$A$1:$L$1300,1099+AH$3,1)&lt;&gt;""),1,0),0)</f>
        <v/>
      </c>
      <c r="AI49">
        <f>IF(AI$4=1,IF(OR(INDEX('×入力'!$A$1:$L$1300,1099+AI$3,2+AI$2)&lt;&gt;"",INDEX('×入力'!$A$1:$L$1300,1098,2+AI$2)&lt;&gt;"",INDEX('×入力'!$A$1:$L$1300,1099+AI$3,1)&lt;&gt;""),1,0),0)</f>
        <v/>
      </c>
      <c r="AJ49">
        <f>IF(AJ$4=1,IF(OR(INDEX('×入力'!$A$1:$L$1300,1099+AJ$3,2+AJ$2)&lt;&gt;"",INDEX('×入力'!$A$1:$L$1300,1098,2+AJ$2)&lt;&gt;"",INDEX('×入力'!$A$1:$L$1300,1099+AJ$3,1)&lt;&gt;""),1,0),0)</f>
        <v/>
      </c>
      <c r="AK49">
        <f>IF(AK$4=1,IF(OR(INDEX('×入力'!$A$1:$L$1300,1099+AK$3,2+AK$2)&lt;&gt;"",INDEX('×入力'!$A$1:$L$1300,1098,2+AK$2)&lt;&gt;"",INDEX('×入力'!$A$1:$L$1300,1099+AK$3,1)&lt;&gt;""),1,0),0)</f>
        <v/>
      </c>
      <c r="AL49">
        <f>IF(AL$4=1,IF(OR(INDEX('×入力'!$A$1:$L$1300,1099+AL$3,2+AL$2)&lt;&gt;"",INDEX('×入力'!$A$1:$L$1300,1098,2+AL$2)&lt;&gt;"",INDEX('×入力'!$A$1:$L$1300,1099+AL$3,1)&lt;&gt;""),1,0),0)</f>
        <v/>
      </c>
      <c r="AM49">
        <f>IF(AM$4=1,IF(OR(INDEX('×入力'!$A$1:$L$1300,1099+AM$3,2+AM$2)&lt;&gt;"",INDEX('×入力'!$A$1:$L$1300,1098,2+AM$2)&lt;&gt;"",INDEX('×入力'!$A$1:$L$1300,1099+AM$3,1)&lt;&gt;""),1,0),0)</f>
        <v/>
      </c>
      <c r="AN49">
        <f>IF(AN$4=1,IF(OR(INDEX('×入力'!$A$1:$L$1300,1099+AN$3,2+AN$2)&lt;&gt;"",INDEX('×入力'!$A$1:$L$1300,1098,2+AN$2)&lt;&gt;"",INDEX('×入力'!$A$1:$L$1300,1099+AN$3,1)&lt;&gt;""),1,0),0)</f>
        <v/>
      </c>
      <c r="AO49">
        <f>IF(AO$4=1,IF(OR(INDEX('×入力'!$A$1:$L$1300,1099+AO$3,2+AO$2)&lt;&gt;"",INDEX('×入力'!$A$1:$L$1300,1098,2+AO$2)&lt;&gt;"",INDEX('×入力'!$A$1:$L$1300,1099+AO$3,1)&lt;&gt;""),1,0),0)</f>
        <v/>
      </c>
      <c r="AP49">
        <f>IF(AP$4=1,IF(OR(INDEX('×入力'!$A$1:$L$1300,1099+AP$3,2+AP$2)&lt;&gt;"",INDEX('×入力'!$A$1:$L$1300,1098,2+AP$2)&lt;&gt;"",INDEX('×入力'!$A$1:$L$1300,1099+AP$3,1)&lt;&gt;""),1,0),0)</f>
        <v/>
      </c>
      <c r="AQ49">
        <f>IF(AQ$4=1,IF(OR(INDEX('×入力'!$A$1:$L$1300,1099+AQ$3,2+AQ$2)&lt;&gt;"",INDEX('×入力'!$A$1:$L$1300,1098,2+AQ$2)&lt;&gt;"",INDEX('×入力'!$A$1:$L$1300,1099+AQ$3,1)&lt;&gt;""),1,0),0)</f>
        <v/>
      </c>
      <c r="AR49">
        <f>IF(AR$4=1,IF(OR(INDEX('×入力'!$A$1:$L$1300,1099+AR$3,2+AR$2)&lt;&gt;"",INDEX('×入力'!$A$1:$L$1300,1098,2+AR$2)&lt;&gt;"",INDEX('×入力'!$A$1:$L$1300,1099+AR$3,1)&lt;&gt;""),1,0),0)</f>
        <v/>
      </c>
      <c r="AS49">
        <f>IF(AS$4=1,IF(OR(INDEX('×入力'!$A$1:$L$1300,1099+AS$3,2+AS$2)&lt;&gt;"",INDEX('×入力'!$A$1:$L$1300,1098,2+AS$2)&lt;&gt;"",INDEX('×入力'!$A$1:$L$1300,1099+AS$3,1)&lt;&gt;""),1,0),0)</f>
        <v/>
      </c>
      <c r="AT49">
        <f>IF(AT$4=1,IF(OR(INDEX('×入力'!$A$1:$L$1300,1099+AT$3,2+AT$2)&lt;&gt;"",INDEX('×入力'!$A$1:$L$1300,1098,2+AT$2)&lt;&gt;"",INDEX('×入力'!$A$1:$L$1300,1099+AT$3,1)&lt;&gt;""),1,0),0)</f>
        <v/>
      </c>
      <c r="AU49">
        <f>IF(AU$4=1,IF(OR(INDEX('×入力'!$A$1:$L$1300,1099+AU$3,2+AU$2)&lt;&gt;"",INDEX('×入力'!$A$1:$L$1300,1098,2+AU$2)&lt;&gt;"",INDEX('×入力'!$A$1:$L$1300,1099+AU$3,1)&lt;&gt;""),1,0),0)</f>
        <v/>
      </c>
      <c r="AV49">
        <f>IF(AV$4=1,IF(OR(INDEX('×入力'!$A$1:$L$1300,1099+AV$3,2+AV$2)&lt;&gt;"",INDEX('×入力'!$A$1:$L$1300,1098,2+AV$2)&lt;&gt;"",INDEX('×入力'!$A$1:$L$1300,1099+AV$3,1)&lt;&gt;""),1,0),0)</f>
        <v/>
      </c>
      <c r="AW49">
        <f>IF(AW$4=1,IF(OR(INDEX('×入力'!$A$1:$L$1300,1099+AW$3,2+AW$2)&lt;&gt;"",INDEX('×入力'!$A$1:$L$1300,1098,2+AW$2)&lt;&gt;"",INDEX('×入力'!$A$1:$L$1300,1099+AW$3,1)&lt;&gt;""),1,0),0)</f>
        <v/>
      </c>
      <c r="AX49">
        <f>IF(AX$4=1,IF(OR(INDEX('×入力'!$A$1:$L$1300,1099+AX$3,2+AX$2)&lt;&gt;"",INDEX('×入力'!$A$1:$L$1300,1098,2+AX$2)&lt;&gt;"",INDEX('×入力'!$A$1:$L$1300,1099+AX$3,1)&lt;&gt;""),1,0),0)</f>
        <v/>
      </c>
      <c r="AY49">
        <f>IF(AY$4=1,IF(OR(INDEX('×入力'!$A$1:$L$1300,1099+AY$3,2+AY$2)&lt;&gt;"",INDEX('×入力'!$A$1:$L$1300,1098,2+AY$2)&lt;&gt;"",INDEX('×入力'!$A$1:$L$1300,1099+AY$3,1)&lt;&gt;""),1,0),0)</f>
        <v/>
      </c>
      <c r="AZ49">
        <f>IF(AZ$4=1,IF(OR(INDEX('×入力'!$A$1:$L$1300,1099+AZ$3,2+AZ$2)&lt;&gt;"",INDEX('×入力'!$A$1:$L$1300,1098,2+AZ$2)&lt;&gt;"",INDEX('×入力'!$A$1:$L$1300,1099+AZ$3,1)&lt;&gt;""),1,0),0)</f>
        <v/>
      </c>
      <c r="BA49">
        <f>IF(BA$4=1,IF(OR(INDEX('×入力'!$A$1:$L$1300,1099+BA$3,2+BA$2)&lt;&gt;"",INDEX('×入力'!$A$1:$L$1300,1098,2+BA$2)&lt;&gt;"",INDEX('×入力'!$A$1:$L$1300,1099+BA$3,1)&lt;&gt;""),1,0),0)</f>
        <v/>
      </c>
      <c r="BB49">
        <f>IF(BB$4=1,IF(OR(INDEX('×入力'!$A$1:$L$1300,1099+BB$3,2+BB$2)&lt;&gt;"",INDEX('×入力'!$A$1:$L$1300,1098,2+BB$2)&lt;&gt;"",INDEX('×入力'!$A$1:$L$1300,1099+BB$3,1)&lt;&gt;""),1,0),0)</f>
        <v/>
      </c>
      <c r="BC49">
        <f>IF(BC$4=1,IF(OR(INDEX('×入力'!$A$1:$L$1300,1099+BC$3,2+BC$2)&lt;&gt;"",INDEX('×入力'!$A$1:$L$1300,1098,2+BC$2)&lt;&gt;"",INDEX('×入力'!$A$1:$L$1300,1099+BC$3,1)&lt;&gt;""),1,0),0)</f>
        <v/>
      </c>
      <c r="BD49">
        <f>IF(BD$4=1,IF(OR(INDEX('×入力'!$A$1:$L$1300,1099+BD$3,2+BD$2)&lt;&gt;"",INDEX('×入力'!$A$1:$L$1300,1098,2+BD$2)&lt;&gt;"",INDEX('×入力'!$A$1:$L$1300,1099+BD$3,1)&lt;&gt;""),1,0),0)</f>
        <v/>
      </c>
      <c r="BE49">
        <f>IF(BE$4=1,IF(OR(INDEX('×入力'!$A$1:$L$1300,1099+BE$3,2+BE$2)&lt;&gt;"",INDEX('×入力'!$A$1:$L$1300,1098,2+BE$2)&lt;&gt;"",INDEX('×入力'!$A$1:$L$1300,1099+BE$3,1)&lt;&gt;""),1,0),0)</f>
        <v/>
      </c>
      <c r="BF49">
        <f>IF(BF$4=1,IF(OR(INDEX('×入力'!$A$1:$L$1300,1099+BF$3,2+BF$2)&lt;&gt;"",INDEX('×入力'!$A$1:$L$1300,1098,2+BF$2)&lt;&gt;"",INDEX('×入力'!$A$1:$L$1300,1099+BF$3,1)&lt;&gt;""),1,0),0)</f>
        <v/>
      </c>
      <c r="BG49">
        <f>IF(BG$4=1,IF(OR(INDEX('×入力'!$A$1:$L$1300,1099+BG$3,2+BG$2)&lt;&gt;"",INDEX('×入力'!$A$1:$L$1300,1098,2+BG$2)&lt;&gt;"",INDEX('×入力'!$A$1:$L$1300,1099+BG$3,1)&lt;&gt;""),1,0),0)</f>
        <v/>
      </c>
      <c r="BH49">
        <f>IF(BH$4=1,IF(OR(INDEX('×入力'!$A$1:$L$1300,1099+BH$3,2+BH$2)&lt;&gt;"",INDEX('×入力'!$A$1:$L$1300,1098,2+BH$2)&lt;&gt;"",INDEX('×入力'!$A$1:$L$1300,1099+BH$3,1)&lt;&gt;""),1,0),0)</f>
        <v/>
      </c>
      <c r="BI49">
        <f>IF(BI$4=1,IF(OR(INDEX('×入力'!$A$1:$L$1300,1099+BI$3,2+BI$2)&lt;&gt;"",INDEX('×入力'!$A$1:$L$1300,1098,2+BI$2)&lt;&gt;"",INDEX('×入力'!$A$1:$L$1300,1099+BI$3,1)&lt;&gt;""),1,0),0)</f>
        <v/>
      </c>
      <c r="BJ49">
        <f>IF(BJ$4=1,IF(OR(INDEX('×入力'!$A$1:$L$1300,1099+BJ$3,2+BJ$2)&lt;&gt;"",INDEX('×入力'!$A$1:$L$1300,1098,2+BJ$2)&lt;&gt;"",INDEX('×入力'!$A$1:$L$1300,1099+BJ$3,1)&lt;&gt;""),1,0),0)</f>
        <v/>
      </c>
      <c r="BK49">
        <f>IF(BK$4=1,IF(OR(INDEX('×入力'!$A$1:$L$1300,1099+BK$3,2+BK$2)&lt;&gt;"",INDEX('×入力'!$A$1:$L$1300,1098,2+BK$2)&lt;&gt;"",INDEX('×入力'!$A$1:$L$1300,1099+BK$3,1)&lt;&gt;""),1,0),0)</f>
        <v/>
      </c>
      <c r="BL49">
        <f>IF(BL$4=1,IF(OR(INDEX('×入力'!$A$1:$L$1300,1099+BL$3,2+BL$2)&lt;&gt;"",INDEX('×入力'!$A$1:$L$1300,1098,2+BL$2)&lt;&gt;"",INDEX('×入力'!$A$1:$L$1300,1099+BL$3,1)&lt;&gt;""),1,0),0)</f>
        <v/>
      </c>
      <c r="BM49">
        <f>IF(BM$4=1,IF(OR(INDEX('×入力'!$A$1:$L$1300,1099+BM$3,2+BM$2)&lt;&gt;"",INDEX('×入力'!$A$1:$L$1300,1098,2+BM$2)&lt;&gt;"",INDEX('×入力'!$A$1:$L$1300,1099+BM$3,1)&lt;&gt;""),1,0),0)</f>
        <v/>
      </c>
      <c r="BN49">
        <f>IF(BN$4=1,IF(OR(INDEX('×入力'!$A$1:$L$1300,1099+BN$3,2+BN$2)&lt;&gt;"",INDEX('×入力'!$A$1:$L$1300,1098,2+BN$2)&lt;&gt;"",INDEX('×入力'!$A$1:$L$1300,1099+BN$3,1)&lt;&gt;""),1,0),0)</f>
        <v/>
      </c>
      <c r="BO49">
        <f>IF(BO$4=1,IF(OR(INDEX('×入力'!$A$1:$L$1300,1099+BO$3,2+BO$2)&lt;&gt;"",INDEX('×入力'!$A$1:$L$1300,1098,2+BO$2)&lt;&gt;"",INDEX('×入力'!$A$1:$L$1300,1099+BO$3,1)&lt;&gt;""),1,0),0)</f>
        <v/>
      </c>
      <c r="BP49">
        <f>IF(BP$4=1,IF(OR(INDEX('×入力'!$A$1:$L$1300,1099+BP$3,2+BP$2)&lt;&gt;"",INDEX('×入力'!$A$1:$L$1300,1098,2+BP$2)&lt;&gt;"",INDEX('×入力'!$A$1:$L$1300,1099+BP$3,1)&lt;&gt;""),1,0),0)</f>
        <v/>
      </c>
      <c r="BQ49">
        <f>IF(BQ$4=1,IF(OR(INDEX('×入力'!$A$1:$L$1300,1099+BQ$3,2+BQ$2)&lt;&gt;"",INDEX('×入力'!$A$1:$L$1300,1098,2+BQ$2)&lt;&gt;"",INDEX('×入力'!$A$1:$L$1300,1099+BQ$3,1)&lt;&gt;""),1,0),0)</f>
        <v/>
      </c>
      <c r="BR49">
        <f>IF(BR$4=1,IF(OR(INDEX('×入力'!$A$1:$L$1300,1099+BR$3,2+BR$2)&lt;&gt;"",INDEX('×入力'!$A$1:$L$1300,1098,2+BR$2)&lt;&gt;"",INDEX('×入力'!$A$1:$L$1300,1099+BR$3,1)&lt;&gt;""),1,0),0)</f>
        <v/>
      </c>
      <c r="BS49">
        <f>IF(BS$4=1,IF(OR(INDEX('×入力'!$A$1:$L$1300,1099+BS$3,2+BS$2)&lt;&gt;"",INDEX('×入力'!$A$1:$L$1300,1098,2+BS$2)&lt;&gt;"",INDEX('×入力'!$A$1:$L$1300,1099+BS$3,1)&lt;&gt;""),1,0),0)</f>
        <v/>
      </c>
      <c r="BT49">
        <f>IF(BT$4=1,IF(OR(INDEX('×入力'!$A$1:$L$1300,1099+BT$3,2+BT$2)&lt;&gt;"",INDEX('×入力'!$A$1:$L$1300,1098,2+BT$2)&lt;&gt;"",INDEX('×入力'!$A$1:$L$1300,1099+BT$3,1)&lt;&gt;""),1,0),0)</f>
        <v/>
      </c>
      <c r="BU49">
        <f>IF(BU$4=1,IF(OR(INDEX('×入力'!$A$1:$L$1300,1099+BU$3,2+BU$2)&lt;&gt;"",INDEX('×入力'!$A$1:$L$1300,1098,2+BU$2)&lt;&gt;"",INDEX('×入力'!$A$1:$L$1300,1099+BU$3,1)&lt;&gt;""),1,0),0)</f>
        <v/>
      </c>
      <c r="BV49">
        <f>IF(BV$4=1,IF(OR(INDEX('×入力'!$A$1:$L$1300,1099+BV$3,2+BV$2)&lt;&gt;"",INDEX('×入力'!$A$1:$L$1300,1098,2+BV$2)&lt;&gt;"",INDEX('×入力'!$A$1:$L$1300,1099+BV$3,1)&lt;&gt;""),1,0),0)</f>
        <v/>
      </c>
      <c r="BW49">
        <f>IF(BW$4=1,IF(OR(INDEX('×入力'!$A$1:$L$1300,1099+BW$3,2+BW$2)&lt;&gt;"",INDEX('×入力'!$A$1:$L$1300,1098,2+BW$2)&lt;&gt;"",INDEX('×入力'!$A$1:$L$1300,1099+BW$3,1)&lt;&gt;""),1,0),0)</f>
        <v/>
      </c>
      <c r="BX49">
        <f>IF(BX$4=1,IF(OR(INDEX('×入力'!$A$1:$L$1300,1099+BX$3,2+BX$2)&lt;&gt;"",INDEX('×入力'!$A$1:$L$1300,1098,2+BX$2)&lt;&gt;"",INDEX('×入力'!$A$1:$L$1300,1099+BX$3,1)&lt;&gt;""),1,0),0)</f>
        <v/>
      </c>
      <c r="BY49">
        <f>IF(BY$4=1,IF(OR(INDEX('×入力'!$A$1:$L$1300,1099+BY$3,2+BY$2)&lt;&gt;"",INDEX('×入力'!$A$1:$L$1300,1098,2+BY$2)&lt;&gt;"",INDEX('×入力'!$A$1:$L$1300,1099+BY$3,1)&lt;&gt;""),1,0),0)</f>
        <v/>
      </c>
      <c r="BZ49">
        <f>IF(BZ$4=1,IF(OR(INDEX('×入力'!$A$1:$L$1300,1099+BZ$3,2+BZ$2)&lt;&gt;"",INDEX('×入力'!$A$1:$L$1300,1098,2+BZ$2)&lt;&gt;"",INDEX('×入力'!$A$1:$L$1300,1099+BZ$3,1)&lt;&gt;""),1,0),0)</f>
        <v/>
      </c>
      <c r="CA49">
        <f>IF(CA$4=1,IF(OR(INDEX('×入力'!$A$1:$L$1300,1099+CA$3,2+CA$2)&lt;&gt;"",INDEX('×入力'!$A$1:$L$1300,1098,2+CA$2)&lt;&gt;"",INDEX('×入力'!$A$1:$L$1300,1099+CA$3,1)&lt;&gt;""),1,0),0)</f>
        <v/>
      </c>
      <c r="CB49">
        <f>IF(CB$4=1,IF(OR(INDEX('×入力'!$A$1:$L$1300,1099+CB$3,2+CB$2)&lt;&gt;"",INDEX('×入力'!$A$1:$L$1300,1098,2+CB$2)&lt;&gt;"",INDEX('×入力'!$A$1:$L$1300,1099+CB$3,1)&lt;&gt;""),1,0),0)</f>
        <v/>
      </c>
      <c r="CC49">
        <f>IF(CC$4=1,IF(OR(INDEX('×入力'!$A$1:$L$1300,1099+CC$3,2+CC$2)&lt;&gt;"",INDEX('×入力'!$A$1:$L$1300,1098,2+CC$2)&lt;&gt;"",INDEX('×入力'!$A$1:$L$1300,1099+CC$3,1)&lt;&gt;""),1,0),0)</f>
        <v/>
      </c>
      <c r="CD49">
        <f>IF(CD$4=1,IF(OR(INDEX('×入力'!$A$1:$L$1300,1099+CD$3,2+CD$2)&lt;&gt;"",INDEX('×入力'!$A$1:$L$1300,1098,2+CD$2)&lt;&gt;"",INDEX('×入力'!$A$1:$L$1300,1099+CD$3,1)&lt;&gt;""),1,0),0)</f>
        <v/>
      </c>
      <c r="CE49">
        <f>IF(CE$4=1,IF(OR(INDEX('×入力'!$A$1:$L$1300,1099+CE$3,2+CE$2)&lt;&gt;"",INDEX('×入力'!$A$1:$L$1300,1098,2+CE$2)&lt;&gt;"",INDEX('×入力'!$A$1:$L$1300,1099+CE$3,1)&lt;&gt;""),1,0),0)</f>
        <v/>
      </c>
      <c r="CF49">
        <f>IF(CF$4=1,IF(OR(INDEX('×入力'!$A$1:$L$1300,1099+CF$3,2+CF$2)&lt;&gt;"",INDEX('×入力'!$A$1:$L$1300,1098,2+CF$2)&lt;&gt;"",INDEX('×入力'!$A$1:$L$1300,1099+CF$3,1)&lt;&gt;""),1,0),0)</f>
        <v/>
      </c>
      <c r="CG49">
        <f>IF(CG$4=1,IF(OR(INDEX('×入力'!$A$1:$L$1300,1099+CG$3,2+CG$2)&lt;&gt;"",INDEX('×入力'!$A$1:$L$1300,1098,2+CG$2)&lt;&gt;"",INDEX('×入力'!$A$1:$L$1300,1099+CG$3,1)&lt;&gt;""),1,0),0)</f>
        <v/>
      </c>
      <c r="CH49">
        <f>IF(CH$4=1,IF(OR(INDEX('×入力'!$A$1:$L$1300,1099+CH$3,2+CH$2)&lt;&gt;"",INDEX('×入力'!$A$1:$L$1300,1098,2+CH$2)&lt;&gt;"",INDEX('×入力'!$A$1:$L$1300,1099+CH$3,1)&lt;&gt;""),1,0),0)</f>
        <v/>
      </c>
      <c r="CI49">
        <f>IF(CI$4=1,IF(OR(INDEX('×入力'!$A$1:$L$1300,1099+CI$3,2+CI$2)&lt;&gt;"",INDEX('×入力'!$A$1:$L$1300,1098,2+CI$2)&lt;&gt;"",INDEX('×入力'!$A$1:$L$1300,1099+CI$3,1)&lt;&gt;""),1,0),0)</f>
        <v/>
      </c>
      <c r="CJ49">
        <f>IF(CJ$4=1,IF(OR(INDEX('×入力'!$A$1:$L$1300,1099+CJ$3,2+CJ$2)&lt;&gt;"",INDEX('×入力'!$A$1:$L$1300,1098,2+CJ$2)&lt;&gt;"",INDEX('×入力'!$A$1:$L$1300,1099+CJ$3,1)&lt;&gt;""),1,0),0)</f>
        <v/>
      </c>
      <c r="CK49">
        <f>IF(CK$4=1,IF(OR(INDEX('×入力'!$A$1:$L$1300,1099+CK$3,2+CK$2)&lt;&gt;"",INDEX('×入力'!$A$1:$L$1300,1098,2+CK$2)&lt;&gt;"",INDEX('×入力'!$A$1:$L$1300,1099+CK$3,1)&lt;&gt;""),1,0),0)</f>
        <v/>
      </c>
      <c r="CL49">
        <f>IF(CL$4=1,IF(OR(INDEX('×入力'!$A$1:$L$1300,1099+CL$3,2+CL$2)&lt;&gt;"",INDEX('×入力'!$A$1:$L$1300,1098,2+CL$2)&lt;&gt;"",INDEX('×入力'!$A$1:$L$1300,1099+CL$3,1)&lt;&gt;""),1,0),0)</f>
        <v/>
      </c>
      <c r="CM49">
        <f>IF(CM$4=1,IF(OR(INDEX('×入力'!$A$1:$L$1300,1099+CM$3,2+CM$2)&lt;&gt;"",INDEX('×入力'!$A$1:$L$1300,1098,2+CM$2)&lt;&gt;"",INDEX('×入力'!$A$1:$L$1300,1099+CM$3,1)&lt;&gt;""),1,0),0)</f>
        <v/>
      </c>
      <c r="CN49">
        <f>IF(CN$4=1,IF(OR(INDEX('×入力'!$A$1:$L$1300,1099+CN$3,2+CN$2)&lt;&gt;"",INDEX('×入力'!$A$1:$L$1300,1098,2+CN$2)&lt;&gt;"",INDEX('×入力'!$A$1:$L$1300,1099+CN$3,1)&lt;&gt;""),1,0),0)</f>
        <v/>
      </c>
      <c r="CO49">
        <f>IF(CO$4=1,IF(OR(INDEX('×入力'!$A$1:$L$1300,1099+CO$3,2+CO$2)&lt;&gt;"",INDEX('×入力'!$A$1:$L$1300,1098,2+CO$2)&lt;&gt;"",INDEX('×入力'!$A$1:$L$1300,1099+CO$3,1)&lt;&gt;""),1,0),0)</f>
        <v/>
      </c>
      <c r="CP49">
        <f>IF(CP$4=1,IF(OR(INDEX('×入力'!$A$1:$L$1300,1099+CP$3,2+CP$2)&lt;&gt;"",INDEX('×入力'!$A$1:$L$1300,1098,2+CP$2)&lt;&gt;"",INDEX('×入力'!$A$1:$L$1300,1099+CP$3,1)&lt;&gt;""),1,0),0)</f>
        <v/>
      </c>
      <c r="CQ49">
        <f>IF(CQ$4=1,IF(OR(INDEX('×入力'!$A$1:$L$1300,1099+CQ$3,2+CQ$2)&lt;&gt;"",INDEX('×入力'!$A$1:$L$1300,1098,2+CQ$2)&lt;&gt;"",INDEX('×入力'!$A$1:$L$1300,1099+CQ$3,1)&lt;&gt;""),1,0),0)</f>
        <v/>
      </c>
      <c r="CR49">
        <f>IF(CR$4=1,IF(OR(INDEX('×入力'!$A$1:$L$1300,1099+CR$3,2+CR$2)&lt;&gt;"",INDEX('×入力'!$A$1:$L$1300,1098,2+CR$2)&lt;&gt;"",INDEX('×入力'!$A$1:$L$1300,1099+CR$3,1)&lt;&gt;""),1,0),0)</f>
        <v/>
      </c>
      <c r="CS49">
        <f>IF(CS$4=1,IF(OR(INDEX('×入力'!$A$1:$L$1300,1099+CS$3,2+CS$2)&lt;&gt;"",INDEX('×入力'!$A$1:$L$1300,1098,2+CS$2)&lt;&gt;"",INDEX('×入力'!$A$1:$L$1300,1099+CS$3,1)&lt;&gt;""),1,0),0)</f>
        <v/>
      </c>
      <c r="CT49">
        <f>IF(CT$4=1,IF(OR(INDEX('×入力'!$A$1:$L$1300,1099+CT$3,2+CT$2)&lt;&gt;"",INDEX('×入力'!$A$1:$L$1300,1098,2+CT$2)&lt;&gt;"",INDEX('×入力'!$A$1:$L$1300,1099+CT$3,1)&lt;&gt;""),1,0),0)</f>
        <v/>
      </c>
      <c r="CU49">
        <f>IF(CU$4=1,IF(OR(INDEX('×入力'!$A$1:$L$1300,1099+CU$3,2+CU$2)&lt;&gt;"",INDEX('×入力'!$A$1:$L$1300,1098,2+CU$2)&lt;&gt;"",INDEX('×入力'!$A$1:$L$1300,1099+CU$3,1)&lt;&gt;""),1,0),0)</f>
        <v/>
      </c>
      <c r="CV49">
        <f>IF(CV$4=1,IF(OR(INDEX('×入力'!$A$1:$L$1300,1099+CV$3,2+CV$2)&lt;&gt;"",INDEX('×入力'!$A$1:$L$1300,1098,2+CV$2)&lt;&gt;"",INDEX('×入力'!$A$1:$L$1300,1099+CV$3,1)&lt;&gt;""),1,0),0)</f>
        <v/>
      </c>
      <c r="CW49">
        <f>IF(CW$4=1,IF(OR(INDEX('×入力'!$A$1:$L$1300,1099+CW$3,2+CW$2)&lt;&gt;"",INDEX('×入力'!$A$1:$L$1300,1098,2+CW$2)&lt;&gt;"",INDEX('×入力'!$A$1:$L$1300,1099+CW$3,1)&lt;&gt;""),1,0),0)</f>
        <v/>
      </c>
      <c r="CX49">
        <f>IF(CX$4=1,IF(OR(INDEX('×入力'!$A$1:$L$1300,1099+CX$3,2+CX$2)&lt;&gt;"",INDEX('×入力'!$A$1:$L$1300,1098,2+CX$2)&lt;&gt;"",INDEX('×入力'!$A$1:$L$1300,1099+CX$3,1)&lt;&gt;""),1,0),0)</f>
        <v/>
      </c>
      <c r="CY49">
        <f>IF(CY$4=1,IF(OR(INDEX('×入力'!$A$1:$L$1300,1099+CY$3,2+CY$2)&lt;&gt;"",INDEX('×入力'!$A$1:$L$1300,1098,2+CY$2)&lt;&gt;"",INDEX('×入力'!$A$1:$L$1300,1099+CY$3,1)&lt;&gt;""),1,0),0)</f>
        <v/>
      </c>
      <c r="CZ49">
        <f>IF(CZ$4=1,IF(OR(INDEX('×入力'!$A$1:$L$1300,1099+CZ$3,2+CZ$2)&lt;&gt;"",INDEX('×入力'!$A$1:$L$1300,1098,2+CZ$2)&lt;&gt;"",INDEX('×入力'!$A$1:$L$1300,1099+CZ$3,1)&lt;&gt;""),1,0),0)</f>
        <v/>
      </c>
      <c r="DA49">
        <f>IF(DA$4=1,IF(OR(INDEX('×入力'!$A$1:$L$1300,1099+DA$3,2+DA$2)&lt;&gt;"",INDEX('×入力'!$A$1:$L$1300,1098,2+DA$2)&lt;&gt;"",INDEX('×入力'!$A$1:$L$1300,1099+DA$3,1)&lt;&gt;""),1,0),0)</f>
        <v/>
      </c>
      <c r="DB49">
        <f>IF(DB$4=1,IF(OR(INDEX('×入力'!$A$1:$L$1300,1099+DB$3,2+DB$2)&lt;&gt;"",INDEX('×入力'!$A$1:$L$1300,1098,2+DB$2)&lt;&gt;"",INDEX('×入力'!$A$1:$L$1300,1099+DB$3,1)&lt;&gt;""),1,0),0)</f>
        <v/>
      </c>
      <c r="DC49">
        <f>IF(DC$4=1,IF(OR(INDEX('×入力'!$A$1:$L$1300,1099+DC$3,2+DC$2)&lt;&gt;"",INDEX('×入力'!$A$1:$L$1300,1098,2+DC$2)&lt;&gt;"",INDEX('×入力'!$A$1:$L$1300,1099+DC$3,1)&lt;&gt;""),1,0),0)</f>
        <v/>
      </c>
      <c r="DD49">
        <f>IF(DD$4=1,IF(OR(INDEX('×入力'!$A$1:$L$1300,1099+DD$3,2+DD$2)&lt;&gt;"",INDEX('×入力'!$A$1:$L$1300,1098,2+DD$2)&lt;&gt;"",INDEX('×入力'!$A$1:$L$1300,1099+DD$3,1)&lt;&gt;""),1,0),0)</f>
        <v/>
      </c>
      <c r="DE49">
        <f>IF(DE$4=1,IF(OR(INDEX('×入力'!$A$1:$L$1300,1099+DE$3,2+DE$2)&lt;&gt;"",INDEX('×入力'!$A$1:$L$1300,1098,2+DE$2)&lt;&gt;"",INDEX('×入力'!$A$1:$L$1300,1099+DE$3,1)&lt;&gt;""),1,0),0)</f>
        <v/>
      </c>
      <c r="DF49">
        <f>IF(DF$4=1,IF(OR(INDEX('×入力'!$A$1:$L$1300,1099+DF$3,2+DF$2)&lt;&gt;"",INDEX('×入力'!$A$1:$L$1300,1098,2+DF$2)&lt;&gt;"",INDEX('×入力'!$A$1:$L$1300,1099+DF$3,1)&lt;&gt;""),1,0),0)</f>
        <v/>
      </c>
      <c r="DG49">
        <f>IF(DG$4=1,IF(OR(INDEX('×入力'!$A$1:$L$1300,1099+DG$3,2+DG$2)&lt;&gt;"",INDEX('×入力'!$A$1:$L$1300,1098,2+DG$2)&lt;&gt;"",INDEX('×入力'!$A$1:$L$1300,1099+DG$3,1)&lt;&gt;""),1,0),0)</f>
        <v/>
      </c>
      <c r="DH49">
        <f>IF(DH$4=1,IF(OR(INDEX('×入力'!$A$1:$L$1300,1099+DH$3,2+DH$2)&lt;&gt;"",INDEX('×入力'!$A$1:$L$1300,1098,2+DH$2)&lt;&gt;"",INDEX('×入力'!$A$1:$L$1300,1099+DH$3,1)&lt;&gt;""),1,0),0)</f>
        <v/>
      </c>
      <c r="DI49">
        <f>IF(DI$4=1,IF(OR(INDEX('×入力'!$A$1:$L$1300,1099+DI$3,2+DI$2)&lt;&gt;"",INDEX('×入力'!$A$1:$L$1300,1098,2+DI$2)&lt;&gt;"",INDEX('×入力'!$A$1:$L$1300,1099+DI$3,1)&lt;&gt;""),1,0),0)</f>
        <v/>
      </c>
      <c r="DJ49">
        <f>IF(DJ$4=1,IF(OR(INDEX('×入力'!$A$1:$L$1300,1099+DJ$3,2+DJ$2)&lt;&gt;"",INDEX('×入力'!$A$1:$L$1300,1098,2+DJ$2)&lt;&gt;"",INDEX('×入力'!$A$1:$L$1300,1099+DJ$3,1)&lt;&gt;""),1,0),0)</f>
        <v/>
      </c>
      <c r="DK49">
        <f>IF(DK$4=1,IF(OR(INDEX('×入力'!$A$1:$L$1300,1099+DK$3,2+DK$2)&lt;&gt;"",INDEX('×入力'!$A$1:$L$1300,1098,2+DK$2)&lt;&gt;"",INDEX('×入力'!$A$1:$L$1300,1099+DK$3,1)&lt;&gt;""),1,0),0)</f>
        <v/>
      </c>
      <c r="DL49">
        <f>IF(DL$4=1,IF(OR(INDEX('×入力'!$A$1:$L$1300,1099+DL$3,2+DL$2)&lt;&gt;"",INDEX('×入力'!$A$1:$L$1300,1098,2+DL$2)&lt;&gt;"",INDEX('×入力'!$A$1:$L$1300,1099+DL$3,1)&lt;&gt;""),1,0),0)</f>
        <v/>
      </c>
      <c r="DM49">
        <f>IF(DM$4=1,IF(OR(INDEX('×入力'!$A$1:$L$1300,1099+DM$3,2+DM$2)&lt;&gt;"",INDEX('×入力'!$A$1:$L$1300,1098,2+DM$2)&lt;&gt;"",INDEX('×入力'!$A$1:$L$1300,1099+DM$3,1)&lt;&gt;""),1,0),0)</f>
        <v/>
      </c>
      <c r="DN49">
        <f>IF(DN$4=1,IF(OR(INDEX('×入力'!$A$1:$L$1300,1099+DN$3,2+DN$2)&lt;&gt;"",INDEX('×入力'!$A$1:$L$1300,1098,2+DN$2)&lt;&gt;"",INDEX('×入力'!$A$1:$L$1300,1099+DN$3,1)&lt;&gt;""),1,0),0)</f>
        <v/>
      </c>
      <c r="DO49">
        <f>IF(DO$4=1,IF(OR(INDEX('×入力'!$A$1:$L$1300,1099+DO$3,2+DO$2)&lt;&gt;"",INDEX('×入力'!$A$1:$L$1300,1098,2+DO$2)&lt;&gt;"",INDEX('×入力'!$A$1:$L$1300,1099+DO$3,1)&lt;&gt;""),1,0),0)</f>
        <v/>
      </c>
      <c r="DP49">
        <f>IF(DP$4=1,IF(OR(INDEX('×入力'!$A$1:$L$1300,1099+DP$3,2+DP$2)&lt;&gt;"",INDEX('×入力'!$A$1:$L$1300,1098,2+DP$2)&lt;&gt;"",INDEX('×入力'!$A$1:$L$1300,1099+DP$3,1)&lt;&gt;""),1,0),0)</f>
        <v/>
      </c>
      <c r="DQ49">
        <f>IF(DQ$4=1,IF(OR(INDEX('×入力'!$A$1:$L$1300,1099+DQ$3,2+DQ$2)&lt;&gt;"",INDEX('×入力'!$A$1:$L$1300,1098,2+DQ$2)&lt;&gt;"",INDEX('×入力'!$A$1:$L$1300,1099+DQ$3,1)&lt;&gt;""),1,0),0)</f>
        <v/>
      </c>
      <c r="DR49">
        <f>IF(DR$4=1,IF(OR(INDEX('×入力'!$A$1:$L$1300,1099+DR$3,2+DR$2)&lt;&gt;"",INDEX('×入力'!$A$1:$L$1300,1098,2+DR$2)&lt;&gt;"",INDEX('×入力'!$A$1:$L$1300,1099+DR$3,1)&lt;&gt;""),1,0),0)</f>
        <v/>
      </c>
      <c r="DS49">
        <f>IF(DS$4=1,IF(OR(INDEX('×入力'!$A$1:$L$1300,1099+DS$3,2+DS$2)&lt;&gt;"",INDEX('×入力'!$A$1:$L$1300,1098,2+DS$2)&lt;&gt;"",INDEX('×入力'!$A$1:$L$1300,1099+DS$3,1)&lt;&gt;""),1,0),0)</f>
        <v/>
      </c>
      <c r="DT49">
        <f>IF(DT$4=1,IF(OR(INDEX('×入力'!$A$1:$L$1300,1099+DT$3,2+DT$2)&lt;&gt;"",INDEX('×入力'!$A$1:$L$1300,1098,2+DT$2)&lt;&gt;"",INDEX('×入力'!$A$1:$L$1300,1099+DT$3,1)&lt;&gt;""),1,0),0)</f>
        <v/>
      </c>
      <c r="DU49">
        <f>IF(DU$4=1,IF(OR(INDEX('×入力'!$A$1:$L$1300,1099+DU$3,2+DU$2)&lt;&gt;"",INDEX('×入力'!$A$1:$L$1300,1098,2+DU$2)&lt;&gt;"",INDEX('×入力'!$A$1:$L$1300,1099+DU$3,1)&lt;&gt;""),1,0),0)</f>
        <v/>
      </c>
      <c r="DV49">
        <f>IF(DV$4=1,IF(OR(INDEX('×入力'!$A$1:$L$1300,1099+DV$3,2+DV$2)&lt;&gt;"",INDEX('×入力'!$A$1:$L$1300,1098,2+DV$2)&lt;&gt;"",INDEX('×入力'!$A$1:$L$1300,1099+DV$3,1)&lt;&gt;""),1,0),0)</f>
        <v/>
      </c>
      <c r="DW49">
        <f>IF(DW$4=1,IF(OR(INDEX('×入力'!$A$1:$L$1300,1099+DW$3,2+DW$2)&lt;&gt;"",INDEX('×入力'!$A$1:$L$1300,1098,2+DW$2)&lt;&gt;"",INDEX('×入力'!$A$1:$L$1300,1099+DW$3,1)&lt;&gt;""),1,0),0)</f>
        <v/>
      </c>
      <c r="DX49">
        <f>IF(DX$4=1,IF(OR(INDEX('×入力'!$A$1:$L$1300,1099+DX$3,2+DX$2)&lt;&gt;"",INDEX('×入力'!$A$1:$L$1300,1098,2+DX$2)&lt;&gt;"",INDEX('×入力'!$A$1:$L$1300,1099+DX$3,1)&lt;&gt;""),1,0),0)</f>
        <v/>
      </c>
      <c r="DY49">
        <f>IF(DY$4=1,IF(OR(INDEX('×入力'!$A$1:$L$1300,1099+DY$3,2+DY$2)&lt;&gt;"",INDEX('×入力'!$A$1:$L$1300,1098,2+DY$2)&lt;&gt;"",INDEX('×入力'!$A$1:$L$1300,1099+DY$3,1)&lt;&gt;""),1,0),0)</f>
        <v/>
      </c>
      <c r="DZ49">
        <f>IF(DZ$4=1,IF(OR(INDEX('×入力'!$A$1:$L$1300,1099+DZ$3,2+DZ$2)&lt;&gt;"",INDEX('×入力'!$A$1:$L$1300,1098,2+DZ$2)&lt;&gt;"",INDEX('×入力'!$A$1:$L$1300,1099+DZ$3,1)&lt;&gt;""),1,0),0)</f>
        <v/>
      </c>
      <c r="EA49">
        <f>IF(EA$4=1,IF(OR(INDEX('×入力'!$A$1:$L$1300,1099+EA$3,2+EA$2)&lt;&gt;"",INDEX('×入力'!$A$1:$L$1300,1098,2+EA$2)&lt;&gt;"",INDEX('×入力'!$A$1:$L$1300,1099+EA$3,1)&lt;&gt;""),1,0),0)</f>
        <v/>
      </c>
      <c r="EB49">
        <f>IF(EB$4=1,IF(OR(INDEX('×入力'!$A$1:$L$1300,1099+EB$3,2+EB$2)&lt;&gt;"",INDEX('×入力'!$A$1:$L$1300,1098,2+EB$2)&lt;&gt;"",INDEX('×入力'!$A$1:$L$1300,1099+EB$3,1)&lt;&gt;""),1,0),0)</f>
        <v/>
      </c>
      <c r="EC49">
        <f>IF(EC$4=1,IF(OR(INDEX('×入力'!$A$1:$L$1300,1099+EC$3,2+EC$2)&lt;&gt;"",INDEX('×入力'!$A$1:$L$1300,1098,2+EC$2)&lt;&gt;"",INDEX('×入力'!$A$1:$L$1300,1099+EC$3,1)&lt;&gt;""),1,0),0)</f>
        <v/>
      </c>
      <c r="ED49">
        <f>IF(ED$4=1,IF(OR(INDEX('×入力'!$A$1:$L$1300,1099+ED$3,2+ED$2)&lt;&gt;"",INDEX('×入力'!$A$1:$L$1300,1098,2+ED$2)&lt;&gt;"",INDEX('×入力'!$A$1:$L$1300,1099+ED$3,1)&lt;&gt;""),1,0),0)</f>
        <v/>
      </c>
      <c r="EE49">
        <f>IF(EE$4=1,IF(OR(INDEX('×入力'!$A$1:$L$1300,1099+EE$3,2+EE$2)&lt;&gt;"",INDEX('×入力'!$A$1:$L$1300,1098,2+EE$2)&lt;&gt;"",INDEX('×入力'!$A$1:$L$1300,1099+EE$3,1)&lt;&gt;""),1,0),0)</f>
        <v/>
      </c>
      <c r="EF49">
        <f>IF(EF$4=1,IF(OR(INDEX('×入力'!$A$1:$L$1300,1099+EF$3,2+EF$2)&lt;&gt;"",INDEX('×入力'!$A$1:$L$1300,1098,2+EF$2)&lt;&gt;"",INDEX('×入力'!$A$1:$L$1300,1099+EF$3,1)&lt;&gt;""),1,0),0)</f>
        <v/>
      </c>
      <c r="EG49">
        <f>IF(EG$4=1,IF(OR(INDEX('×入力'!$A$1:$L$1300,1099+EG$3,2+EG$2)&lt;&gt;"",INDEX('×入力'!$A$1:$L$1300,1098,2+EG$2)&lt;&gt;"",INDEX('×入力'!$A$1:$L$1300,1099+EG$3,1)&lt;&gt;""),1,0),0)</f>
        <v/>
      </c>
      <c r="EH49">
        <f>IF(EH$4=1,IF(OR(INDEX('×入力'!$A$1:$L$1300,1099+EH$3,2+EH$2)&lt;&gt;"",INDEX('×入力'!$A$1:$L$1300,1098,2+EH$2)&lt;&gt;"",INDEX('×入力'!$A$1:$L$1300,1099+EH$3,1)&lt;&gt;""),1,0),0)</f>
        <v/>
      </c>
      <c r="EI49">
        <f>IF(EI$4=1,IF(OR(INDEX('×入力'!$A$1:$L$1300,1099+EI$3,2+EI$2)&lt;&gt;"",INDEX('×入力'!$A$1:$L$1300,1098,2+EI$2)&lt;&gt;"",INDEX('×入力'!$A$1:$L$1300,1099+EI$3,1)&lt;&gt;""),1,0),0)</f>
        <v/>
      </c>
      <c r="EJ49">
        <f>IF(EJ$4=1,IF(OR(INDEX('×入力'!$A$1:$L$1300,1099+EJ$3,2+EJ$2)&lt;&gt;"",INDEX('×入力'!$A$1:$L$1300,1098,2+EJ$2)&lt;&gt;"",INDEX('×入力'!$A$1:$L$1300,1099+EJ$3,1)&lt;&gt;""),1,0),0)</f>
        <v/>
      </c>
      <c r="EK49">
        <f>IF(EK$4=1,IF(OR(INDEX('×入力'!$A$1:$L$1300,1099+EK$3,2+EK$2)&lt;&gt;"",INDEX('×入力'!$A$1:$L$1300,1098,2+EK$2)&lt;&gt;"",INDEX('×入力'!$A$1:$L$1300,1099+EK$3,1)&lt;&gt;""),1,0),0)</f>
        <v/>
      </c>
      <c r="EL49">
        <f>IF(EL$4=1,IF(OR(INDEX('×入力'!$A$1:$L$1300,1099+EL$3,2+EL$2)&lt;&gt;"",INDEX('×入力'!$A$1:$L$1300,1098,2+EL$2)&lt;&gt;"",INDEX('×入力'!$A$1:$L$1300,1099+EL$3,1)&lt;&gt;""),1,0),0)</f>
        <v/>
      </c>
      <c r="EM49">
        <f>IF(EM$4=1,IF(OR(INDEX('×入力'!$A$1:$L$1300,1099+EM$3,2+EM$2)&lt;&gt;"",INDEX('×入力'!$A$1:$L$1300,1098,2+EM$2)&lt;&gt;"",INDEX('×入力'!$A$1:$L$1300,1099+EM$3,1)&lt;&gt;""),1,0),0)</f>
        <v/>
      </c>
      <c r="EN49">
        <f>IF(EN$4=1,IF(OR(INDEX('×入力'!$A$1:$L$1300,1099+EN$3,2+EN$2)&lt;&gt;"",INDEX('×入力'!$A$1:$L$1300,1098,2+EN$2)&lt;&gt;"",INDEX('×入力'!$A$1:$L$1300,1099+EN$3,1)&lt;&gt;""),1,0),0)</f>
        <v/>
      </c>
      <c r="EO49">
        <f>IF(EO$4=1,IF(OR(INDEX('×入力'!$A$1:$L$1300,1099+EO$3,2+EO$2)&lt;&gt;"",INDEX('×入力'!$A$1:$L$1300,1098,2+EO$2)&lt;&gt;"",INDEX('×入力'!$A$1:$L$1300,1099+EO$3,1)&lt;&gt;""),1,0),0)</f>
        <v/>
      </c>
      <c r="EP49">
        <f>IF(EP$4=1,IF(OR(INDEX('×入力'!$A$1:$L$1300,1099+EP$3,2+EP$2)&lt;&gt;"",INDEX('×入力'!$A$1:$L$1300,1098,2+EP$2)&lt;&gt;"",INDEX('×入力'!$A$1:$L$1300,1099+EP$3,1)&lt;&gt;""),1,0),0)</f>
        <v/>
      </c>
      <c r="EQ49">
        <f>IF(EQ$4=1,IF(OR(INDEX('×入力'!$A$1:$L$1300,1099+EQ$3,2+EQ$2)&lt;&gt;"",INDEX('×入力'!$A$1:$L$1300,1098,2+EQ$2)&lt;&gt;"",INDEX('×入力'!$A$1:$L$1300,1099+EQ$3,1)&lt;&gt;""),1,0),0)</f>
        <v/>
      </c>
      <c r="HA49">
        <f>MAX(0,IT49)</f>
        <v/>
      </c>
      <c r="HB49">
        <f>IF(HA49=0,0,INDEX($D$2:$EQ$2,HA49))</f>
        <v/>
      </c>
      <c r="HC49">
        <f>IF(HA49=0,0,INDEX($D$3:$EQ$3,HA49))</f>
        <v/>
      </c>
      <c r="HD49">
        <f>MAX(0,IY49)</f>
        <v/>
      </c>
      <c r="HE49">
        <f>IF(HD49=0,0,INDEX($D$2:$EQ$2,HD49))</f>
        <v/>
      </c>
      <c r="HF49">
        <f>IF(HD49=0,0,INDEX($D$3:$EQ$3,HD49))</f>
        <v/>
      </c>
      <c r="HG49">
        <f>MAX(0,IZ49)</f>
        <v/>
      </c>
      <c r="HH49">
        <f>IF(HG49=0,0,INDEX($D$2:$EQ$2,HG49))</f>
        <v/>
      </c>
      <c r="HI49">
        <f>IF(HG49=0,0,INDEX($D$3:$EQ$3,HG49))</f>
        <v/>
      </c>
      <c r="HJ49">
        <f>IF(AND(HA49&gt;0,HC49&gt;1,OR(HC49-1&lt;&gt;$A$3,$A$4=0)),HA49-1,-1)</f>
        <v/>
      </c>
      <c r="HK49">
        <f>IF(AND(HA49&gt;0,HC49&lt;24,OR(HC49&lt;&gt;$A$3,$A$4=0)),HA49+1,-1)</f>
        <v/>
      </c>
      <c r="HL49">
        <f>IF(AND(HD49&gt;0,HF49&gt;1,OR(HF49-1&lt;&gt;$A$3,$A$4=0)),HD49-1,-1)</f>
        <v/>
      </c>
      <c r="HM49">
        <f>IF(AND(HD49&gt;0,HF49&lt;24,OR(HF49&lt;&gt;$A$3,$A$4=0)),HD49+1,-1)</f>
        <v/>
      </c>
      <c r="HN49">
        <f>IF(AND(HG49&gt;0,HI49&gt;1,OR(HI49-1&lt;&gt;$A$3,$A$4=0)),HG49-1,-1)</f>
        <v/>
      </c>
      <c r="HO49">
        <f>IF(AND(HG49&gt;0,HI49&lt;24,OR(HI49&lt;&gt;$A$3,$A$4=0)),HG49+1,-1)</f>
        <v/>
      </c>
      <c r="IK49">
        <f>IFERROR(INDEX('calcB'!$C$3:$C$47,MATCH(A49,'calcB'!$B$3:$B$47,0)),0)</f>
        <v/>
      </c>
      <c r="IL49">
        <f>IF(AND(C49=1,IK49=0,calcA!$A$6&gt;0),1,0)</f>
        <v/>
      </c>
      <c r="IM49">
        <f>SUMPRODUCT(D99:EQ99*(1-$D$7:$EQ$7))</f>
        <v/>
      </c>
      <c r="IN49">
        <f>SUM(D49:EQ49)</f>
        <v/>
      </c>
      <c r="IO49">
        <f>IF(B49="",0,IF(COUNTIF('調整・決定'!$C$6:$H$29,B49)=1,SUMPRODUCT(('調整・決定'!$C$6:$H$29=B49)*((COLUMN('調整・決定'!$C$6:$H$29)-3)*24+ROW('調整・決定'!$C$6:$H$29)-5)),0))</f>
        <v/>
      </c>
      <c r="IP49">
        <f>IFERROR(MATCH('名簿'!C44,{"早い時刻","遅い時刻","早い日","遅い日"},0),0)</f>
        <v/>
      </c>
      <c r="IQ49">
        <f>IF('名簿'!D44="必ず空けたい",2,IF('名簿'!D44="出来れば空けたい",1,0))</f>
        <v/>
      </c>
      <c r="IR49">
        <f>IFERROR(INDEX('calcC'!$C$3:$C$47,MATCH(A49,'calcC'!$B$3:$B$47,0)),0)</f>
        <v/>
      </c>
      <c r="IS49">
        <f>IF(AND(C49=1,IR49=0,calcA!$A$6&gt;0),1,0)</f>
        <v/>
      </c>
      <c r="IT49">
        <f>IF(OR('名簿'!G44="",'名簿'!H44=""),0,IFERROR((MATCH('名簿'!G44,'設定'!$E$11:$E$16,0)-1)*24+MATCH('名簿'!H44,'設定'!$I$11:$I$34,0),-1))</f>
        <v/>
      </c>
      <c r="IV49">
        <f>IF(OR(JF49=0,IO49=0),1,IF(OR(IF(IT49&gt;0,AND(INDEX($D$2:$EQ$2,IO49)=INDEX($D$2:$EQ$2,IT49),OR(AND(IO49=IT49+1,OR(INDEX($D$3:$EQ$3,IT49)&lt;&gt;$A$3,$A$4=0)),AND(IO49=IT49-1,OR(INDEX($D$3:$EQ$3,IO49)&lt;&gt;$A$3,$A$4=0)))),FALSE),IF(IY49&gt;0,AND(INDEX($D$2:$EQ$2,IO49)=INDEX($D$2:$EQ$2,IY49),OR(AND(IO49=IY49+1,OR(INDEX($D$3:$EQ$3,IY49)&lt;&gt;$A$3,$A$4=0)),AND(IO49=IY49-1,OR(INDEX($D$3:$EQ$3,IO49)&lt;&gt;$A$3,$A$4=0)))),FALSE),IF(IZ49&gt;0,AND(INDEX($D$2:$EQ$2,IO49)=INDEX($D$2:$EQ$2,IZ49),OR(AND(IO49=IZ49+1,OR(INDEX($D$3:$EQ$3,IZ49)&lt;&gt;$A$3,$A$4=0)),AND(IO49=IZ49-1,OR(INDEX($D$3:$EQ$3,IO49)&lt;&gt;$A$3,$A$4=0)))),FALSE)),1,0))</f>
        <v/>
      </c>
      <c r="IW49">
        <f>IF(AND('名簿'!E44&lt;&gt;"",JF49=0),1,0)</f>
        <v/>
      </c>
      <c r="IX49">
        <f>IF('名簿'!D44="空けない",1,0)</f>
        <v/>
      </c>
      <c r="IY49">
        <f>IF(OR('名簿'!J44="",'名簿'!K44=""),0,IFERROR((MATCH('名簿'!J44,'設定'!$E$11:$E$16,0)-1)*24+MATCH('名簿'!K44,'設定'!$I$11:$I$34,0),-1))</f>
        <v/>
      </c>
      <c r="IZ49">
        <f>IF(OR('名簿'!M44="",'名簿'!N44=""),0,IFERROR((MATCH('名簿'!M44,'設定'!$E$11:$E$16,0)-1)*24+MATCH('名簿'!N44,'設定'!$I$11:$I$34,0),-1))</f>
        <v/>
      </c>
      <c r="JC49">
        <f>IF(RIGHT('名簿'!I44,2)="の前",1,IF(RIGHT('名簿'!I44,2)="の後",2,0))</f>
        <v/>
      </c>
      <c r="JD49">
        <f>IF(RIGHT('名簿'!L44,2)="の前",1,IF(RIGHT('名簿'!L44,2)="の後",2,0))</f>
        <v/>
      </c>
      <c r="JE49">
        <f>IF(RIGHT('名簿'!O44,2)="の前",1,IF(RIGHT('名簿'!O44,2)="の後",2,0))</f>
        <v/>
      </c>
      <c r="JF49">
        <f>IF(OR(IT49&gt;0,IY49&gt;0,IZ49&gt;0),1,0)</f>
        <v/>
      </c>
      <c r="JG49">
        <f>IF(OR(IT49&lt;0,IY49&lt;0,IZ49&lt;0),1,0)</f>
        <v/>
      </c>
    </row>
    <row r="59">
      <c r="A59" t="inlineStr">
        <is>
          <t>入れられる枠（使える かつ ×なし）</t>
        </is>
      </c>
    </row>
    <row r="60">
      <c r="A60" t="n">
        <v>1</v>
      </c>
      <c r="D60">
        <f>IF(AND(D$4=1,D10=0),1,0)</f>
        <v/>
      </c>
      <c r="E60">
        <f>IF(AND(E$4=1,E10=0),1,0)</f>
        <v/>
      </c>
      <c r="F60">
        <f>IF(AND(F$4=1,F10=0),1,0)</f>
        <v/>
      </c>
      <c r="G60">
        <f>IF(AND(G$4=1,G10=0),1,0)</f>
        <v/>
      </c>
      <c r="H60">
        <f>IF(AND(H$4=1,H10=0),1,0)</f>
        <v/>
      </c>
      <c r="I60">
        <f>IF(AND(I$4=1,I10=0),1,0)</f>
        <v/>
      </c>
      <c r="J60">
        <f>IF(AND(J$4=1,J10=0),1,0)</f>
        <v/>
      </c>
      <c r="K60">
        <f>IF(AND(K$4=1,K10=0),1,0)</f>
        <v/>
      </c>
      <c r="L60">
        <f>IF(AND(L$4=1,L10=0),1,0)</f>
        <v/>
      </c>
      <c r="M60">
        <f>IF(AND(M$4=1,M10=0),1,0)</f>
        <v/>
      </c>
      <c r="N60">
        <f>IF(AND(N$4=1,N10=0),1,0)</f>
        <v/>
      </c>
      <c r="O60">
        <f>IF(AND(O$4=1,O10=0),1,0)</f>
        <v/>
      </c>
      <c r="P60">
        <f>IF(AND(P$4=1,P10=0),1,0)</f>
        <v/>
      </c>
      <c r="Q60">
        <f>IF(AND(Q$4=1,Q10=0),1,0)</f>
        <v/>
      </c>
      <c r="R60">
        <f>IF(AND(R$4=1,R10=0),1,0)</f>
        <v/>
      </c>
      <c r="S60">
        <f>IF(AND(S$4=1,S10=0),1,0)</f>
        <v/>
      </c>
      <c r="T60">
        <f>IF(AND(T$4=1,T10=0),1,0)</f>
        <v/>
      </c>
      <c r="U60">
        <f>IF(AND(U$4=1,U10=0),1,0)</f>
        <v/>
      </c>
      <c r="V60">
        <f>IF(AND(V$4=1,V10=0),1,0)</f>
        <v/>
      </c>
      <c r="W60">
        <f>IF(AND(W$4=1,W10=0),1,0)</f>
        <v/>
      </c>
      <c r="X60">
        <f>IF(AND(X$4=1,X10=0),1,0)</f>
        <v/>
      </c>
      <c r="Y60">
        <f>IF(AND(Y$4=1,Y10=0),1,0)</f>
        <v/>
      </c>
      <c r="Z60">
        <f>IF(AND(Z$4=1,Z10=0),1,0)</f>
        <v/>
      </c>
      <c r="AA60">
        <f>IF(AND(AA$4=1,AA10=0),1,0)</f>
        <v/>
      </c>
      <c r="AB60">
        <f>IF(AND(AB$4=1,AB10=0),1,0)</f>
        <v/>
      </c>
      <c r="AC60">
        <f>IF(AND(AC$4=1,AC10=0),1,0)</f>
        <v/>
      </c>
      <c r="AD60">
        <f>IF(AND(AD$4=1,AD10=0),1,0)</f>
        <v/>
      </c>
      <c r="AE60">
        <f>IF(AND(AE$4=1,AE10=0),1,0)</f>
        <v/>
      </c>
      <c r="AF60">
        <f>IF(AND(AF$4=1,AF10=0),1,0)</f>
        <v/>
      </c>
      <c r="AG60">
        <f>IF(AND(AG$4=1,AG10=0),1,0)</f>
        <v/>
      </c>
      <c r="AH60">
        <f>IF(AND(AH$4=1,AH10=0),1,0)</f>
        <v/>
      </c>
      <c r="AI60">
        <f>IF(AND(AI$4=1,AI10=0),1,0)</f>
        <v/>
      </c>
      <c r="AJ60">
        <f>IF(AND(AJ$4=1,AJ10=0),1,0)</f>
        <v/>
      </c>
      <c r="AK60">
        <f>IF(AND(AK$4=1,AK10=0),1,0)</f>
        <v/>
      </c>
      <c r="AL60">
        <f>IF(AND(AL$4=1,AL10=0),1,0)</f>
        <v/>
      </c>
      <c r="AM60">
        <f>IF(AND(AM$4=1,AM10=0),1,0)</f>
        <v/>
      </c>
      <c r="AN60">
        <f>IF(AND(AN$4=1,AN10=0),1,0)</f>
        <v/>
      </c>
      <c r="AO60">
        <f>IF(AND(AO$4=1,AO10=0),1,0)</f>
        <v/>
      </c>
      <c r="AP60">
        <f>IF(AND(AP$4=1,AP10=0),1,0)</f>
        <v/>
      </c>
      <c r="AQ60">
        <f>IF(AND(AQ$4=1,AQ10=0),1,0)</f>
        <v/>
      </c>
      <c r="AR60">
        <f>IF(AND(AR$4=1,AR10=0),1,0)</f>
        <v/>
      </c>
      <c r="AS60">
        <f>IF(AND(AS$4=1,AS10=0),1,0)</f>
        <v/>
      </c>
      <c r="AT60">
        <f>IF(AND(AT$4=1,AT10=0),1,0)</f>
        <v/>
      </c>
      <c r="AU60">
        <f>IF(AND(AU$4=1,AU10=0),1,0)</f>
        <v/>
      </c>
      <c r="AV60">
        <f>IF(AND(AV$4=1,AV10=0),1,0)</f>
        <v/>
      </c>
      <c r="AW60">
        <f>IF(AND(AW$4=1,AW10=0),1,0)</f>
        <v/>
      </c>
      <c r="AX60">
        <f>IF(AND(AX$4=1,AX10=0),1,0)</f>
        <v/>
      </c>
      <c r="AY60">
        <f>IF(AND(AY$4=1,AY10=0),1,0)</f>
        <v/>
      </c>
      <c r="AZ60">
        <f>IF(AND(AZ$4=1,AZ10=0),1,0)</f>
        <v/>
      </c>
      <c r="BA60">
        <f>IF(AND(BA$4=1,BA10=0),1,0)</f>
        <v/>
      </c>
      <c r="BB60">
        <f>IF(AND(BB$4=1,BB10=0),1,0)</f>
        <v/>
      </c>
      <c r="BC60">
        <f>IF(AND(BC$4=1,BC10=0),1,0)</f>
        <v/>
      </c>
      <c r="BD60">
        <f>IF(AND(BD$4=1,BD10=0),1,0)</f>
        <v/>
      </c>
      <c r="BE60">
        <f>IF(AND(BE$4=1,BE10=0),1,0)</f>
        <v/>
      </c>
      <c r="BF60">
        <f>IF(AND(BF$4=1,BF10=0),1,0)</f>
        <v/>
      </c>
      <c r="BG60">
        <f>IF(AND(BG$4=1,BG10=0),1,0)</f>
        <v/>
      </c>
      <c r="BH60">
        <f>IF(AND(BH$4=1,BH10=0),1,0)</f>
        <v/>
      </c>
      <c r="BI60">
        <f>IF(AND(BI$4=1,BI10=0),1,0)</f>
        <v/>
      </c>
      <c r="BJ60">
        <f>IF(AND(BJ$4=1,BJ10=0),1,0)</f>
        <v/>
      </c>
      <c r="BK60">
        <f>IF(AND(BK$4=1,BK10=0),1,0)</f>
        <v/>
      </c>
      <c r="BL60">
        <f>IF(AND(BL$4=1,BL10=0),1,0)</f>
        <v/>
      </c>
      <c r="BM60">
        <f>IF(AND(BM$4=1,BM10=0),1,0)</f>
        <v/>
      </c>
      <c r="BN60">
        <f>IF(AND(BN$4=1,BN10=0),1,0)</f>
        <v/>
      </c>
      <c r="BO60">
        <f>IF(AND(BO$4=1,BO10=0),1,0)</f>
        <v/>
      </c>
      <c r="BP60">
        <f>IF(AND(BP$4=1,BP10=0),1,0)</f>
        <v/>
      </c>
      <c r="BQ60">
        <f>IF(AND(BQ$4=1,BQ10=0),1,0)</f>
        <v/>
      </c>
      <c r="BR60">
        <f>IF(AND(BR$4=1,BR10=0),1,0)</f>
        <v/>
      </c>
      <c r="BS60">
        <f>IF(AND(BS$4=1,BS10=0),1,0)</f>
        <v/>
      </c>
      <c r="BT60">
        <f>IF(AND(BT$4=1,BT10=0),1,0)</f>
        <v/>
      </c>
      <c r="BU60">
        <f>IF(AND(BU$4=1,BU10=0),1,0)</f>
        <v/>
      </c>
      <c r="BV60">
        <f>IF(AND(BV$4=1,BV10=0),1,0)</f>
        <v/>
      </c>
      <c r="BW60">
        <f>IF(AND(BW$4=1,BW10=0),1,0)</f>
        <v/>
      </c>
      <c r="BX60">
        <f>IF(AND(BX$4=1,BX10=0),1,0)</f>
        <v/>
      </c>
      <c r="BY60">
        <f>IF(AND(BY$4=1,BY10=0),1,0)</f>
        <v/>
      </c>
      <c r="BZ60">
        <f>IF(AND(BZ$4=1,BZ10=0),1,0)</f>
        <v/>
      </c>
      <c r="CA60">
        <f>IF(AND(CA$4=1,CA10=0),1,0)</f>
        <v/>
      </c>
      <c r="CB60">
        <f>IF(AND(CB$4=1,CB10=0),1,0)</f>
        <v/>
      </c>
      <c r="CC60">
        <f>IF(AND(CC$4=1,CC10=0),1,0)</f>
        <v/>
      </c>
      <c r="CD60">
        <f>IF(AND(CD$4=1,CD10=0),1,0)</f>
        <v/>
      </c>
      <c r="CE60">
        <f>IF(AND(CE$4=1,CE10=0),1,0)</f>
        <v/>
      </c>
      <c r="CF60">
        <f>IF(AND(CF$4=1,CF10=0),1,0)</f>
        <v/>
      </c>
      <c r="CG60">
        <f>IF(AND(CG$4=1,CG10=0),1,0)</f>
        <v/>
      </c>
      <c r="CH60">
        <f>IF(AND(CH$4=1,CH10=0),1,0)</f>
        <v/>
      </c>
      <c r="CI60">
        <f>IF(AND(CI$4=1,CI10=0),1,0)</f>
        <v/>
      </c>
      <c r="CJ60">
        <f>IF(AND(CJ$4=1,CJ10=0),1,0)</f>
        <v/>
      </c>
      <c r="CK60">
        <f>IF(AND(CK$4=1,CK10=0),1,0)</f>
        <v/>
      </c>
      <c r="CL60">
        <f>IF(AND(CL$4=1,CL10=0),1,0)</f>
        <v/>
      </c>
      <c r="CM60">
        <f>IF(AND(CM$4=1,CM10=0),1,0)</f>
        <v/>
      </c>
      <c r="CN60">
        <f>IF(AND(CN$4=1,CN10=0),1,0)</f>
        <v/>
      </c>
      <c r="CO60">
        <f>IF(AND(CO$4=1,CO10=0),1,0)</f>
        <v/>
      </c>
      <c r="CP60">
        <f>IF(AND(CP$4=1,CP10=0),1,0)</f>
        <v/>
      </c>
      <c r="CQ60">
        <f>IF(AND(CQ$4=1,CQ10=0),1,0)</f>
        <v/>
      </c>
      <c r="CR60">
        <f>IF(AND(CR$4=1,CR10=0),1,0)</f>
        <v/>
      </c>
      <c r="CS60">
        <f>IF(AND(CS$4=1,CS10=0),1,0)</f>
        <v/>
      </c>
      <c r="CT60">
        <f>IF(AND(CT$4=1,CT10=0),1,0)</f>
        <v/>
      </c>
      <c r="CU60">
        <f>IF(AND(CU$4=1,CU10=0),1,0)</f>
        <v/>
      </c>
      <c r="CV60">
        <f>IF(AND(CV$4=1,CV10=0),1,0)</f>
        <v/>
      </c>
      <c r="CW60">
        <f>IF(AND(CW$4=1,CW10=0),1,0)</f>
        <v/>
      </c>
      <c r="CX60">
        <f>IF(AND(CX$4=1,CX10=0),1,0)</f>
        <v/>
      </c>
      <c r="CY60">
        <f>IF(AND(CY$4=1,CY10=0),1,0)</f>
        <v/>
      </c>
      <c r="CZ60">
        <f>IF(AND(CZ$4=1,CZ10=0),1,0)</f>
        <v/>
      </c>
      <c r="DA60">
        <f>IF(AND(DA$4=1,DA10=0),1,0)</f>
        <v/>
      </c>
      <c r="DB60">
        <f>IF(AND(DB$4=1,DB10=0),1,0)</f>
        <v/>
      </c>
      <c r="DC60">
        <f>IF(AND(DC$4=1,DC10=0),1,0)</f>
        <v/>
      </c>
      <c r="DD60">
        <f>IF(AND(DD$4=1,DD10=0),1,0)</f>
        <v/>
      </c>
      <c r="DE60">
        <f>IF(AND(DE$4=1,DE10=0),1,0)</f>
        <v/>
      </c>
      <c r="DF60">
        <f>IF(AND(DF$4=1,DF10=0),1,0)</f>
        <v/>
      </c>
      <c r="DG60">
        <f>IF(AND(DG$4=1,DG10=0),1,0)</f>
        <v/>
      </c>
      <c r="DH60">
        <f>IF(AND(DH$4=1,DH10=0),1,0)</f>
        <v/>
      </c>
      <c r="DI60">
        <f>IF(AND(DI$4=1,DI10=0),1,0)</f>
        <v/>
      </c>
      <c r="DJ60">
        <f>IF(AND(DJ$4=1,DJ10=0),1,0)</f>
        <v/>
      </c>
      <c r="DK60">
        <f>IF(AND(DK$4=1,DK10=0),1,0)</f>
        <v/>
      </c>
      <c r="DL60">
        <f>IF(AND(DL$4=1,DL10=0),1,0)</f>
        <v/>
      </c>
      <c r="DM60">
        <f>IF(AND(DM$4=1,DM10=0),1,0)</f>
        <v/>
      </c>
      <c r="DN60">
        <f>IF(AND(DN$4=1,DN10=0),1,0)</f>
        <v/>
      </c>
      <c r="DO60">
        <f>IF(AND(DO$4=1,DO10=0),1,0)</f>
        <v/>
      </c>
      <c r="DP60">
        <f>IF(AND(DP$4=1,DP10=0),1,0)</f>
        <v/>
      </c>
      <c r="DQ60">
        <f>IF(AND(DQ$4=1,DQ10=0),1,0)</f>
        <v/>
      </c>
      <c r="DR60">
        <f>IF(AND(DR$4=1,DR10=0),1,0)</f>
        <v/>
      </c>
      <c r="DS60">
        <f>IF(AND(DS$4=1,DS10=0),1,0)</f>
        <v/>
      </c>
      <c r="DT60">
        <f>IF(AND(DT$4=1,DT10=0),1,0)</f>
        <v/>
      </c>
      <c r="DU60">
        <f>IF(AND(DU$4=1,DU10=0),1,0)</f>
        <v/>
      </c>
      <c r="DV60">
        <f>IF(AND(DV$4=1,DV10=0),1,0)</f>
        <v/>
      </c>
      <c r="DW60">
        <f>IF(AND(DW$4=1,DW10=0),1,0)</f>
        <v/>
      </c>
      <c r="DX60">
        <f>IF(AND(DX$4=1,DX10=0),1,0)</f>
        <v/>
      </c>
      <c r="DY60">
        <f>IF(AND(DY$4=1,DY10=0),1,0)</f>
        <v/>
      </c>
      <c r="DZ60">
        <f>IF(AND(DZ$4=1,DZ10=0),1,0)</f>
        <v/>
      </c>
      <c r="EA60">
        <f>IF(AND(EA$4=1,EA10=0),1,0)</f>
        <v/>
      </c>
      <c r="EB60">
        <f>IF(AND(EB$4=1,EB10=0),1,0)</f>
        <v/>
      </c>
      <c r="EC60">
        <f>IF(AND(EC$4=1,EC10=0),1,0)</f>
        <v/>
      </c>
      <c r="ED60">
        <f>IF(AND(ED$4=1,ED10=0),1,0)</f>
        <v/>
      </c>
      <c r="EE60">
        <f>IF(AND(EE$4=1,EE10=0),1,0)</f>
        <v/>
      </c>
      <c r="EF60">
        <f>IF(AND(EF$4=1,EF10=0),1,0)</f>
        <v/>
      </c>
      <c r="EG60">
        <f>IF(AND(EG$4=1,EG10=0),1,0)</f>
        <v/>
      </c>
      <c r="EH60">
        <f>IF(AND(EH$4=1,EH10=0),1,0)</f>
        <v/>
      </c>
      <c r="EI60">
        <f>IF(AND(EI$4=1,EI10=0),1,0)</f>
        <v/>
      </c>
      <c r="EJ60">
        <f>IF(AND(EJ$4=1,EJ10=0),1,0)</f>
        <v/>
      </c>
      <c r="EK60">
        <f>IF(AND(EK$4=1,EK10=0),1,0)</f>
        <v/>
      </c>
      <c r="EL60">
        <f>IF(AND(EL$4=1,EL10=0),1,0)</f>
        <v/>
      </c>
      <c r="EM60">
        <f>IF(AND(EM$4=1,EM10=0),1,0)</f>
        <v/>
      </c>
      <c r="EN60">
        <f>IF(AND(EN$4=1,EN10=0),1,0)</f>
        <v/>
      </c>
      <c r="EO60">
        <f>IF(AND(EO$4=1,EO10=0),1,0)</f>
        <v/>
      </c>
      <c r="EP60">
        <f>IF(AND(EP$4=1,EP10=0),1,0)</f>
        <v/>
      </c>
      <c r="EQ60">
        <f>IF(AND(EQ$4=1,EQ10=0),1,0)</f>
        <v/>
      </c>
    </row>
    <row r="61">
      <c r="A61" t="n">
        <v>2</v>
      </c>
      <c r="D61">
        <f>IF(AND(D$4=1,D11=0),1,0)</f>
        <v/>
      </c>
      <c r="E61">
        <f>IF(AND(E$4=1,E11=0),1,0)</f>
        <v/>
      </c>
      <c r="F61">
        <f>IF(AND(F$4=1,F11=0),1,0)</f>
        <v/>
      </c>
      <c r="G61">
        <f>IF(AND(G$4=1,G11=0),1,0)</f>
        <v/>
      </c>
      <c r="H61">
        <f>IF(AND(H$4=1,H11=0),1,0)</f>
        <v/>
      </c>
      <c r="I61">
        <f>IF(AND(I$4=1,I11=0),1,0)</f>
        <v/>
      </c>
      <c r="J61">
        <f>IF(AND(J$4=1,J11=0),1,0)</f>
        <v/>
      </c>
      <c r="K61">
        <f>IF(AND(K$4=1,K11=0),1,0)</f>
        <v/>
      </c>
      <c r="L61">
        <f>IF(AND(L$4=1,L11=0),1,0)</f>
        <v/>
      </c>
      <c r="M61">
        <f>IF(AND(M$4=1,M11=0),1,0)</f>
        <v/>
      </c>
      <c r="N61">
        <f>IF(AND(N$4=1,N11=0),1,0)</f>
        <v/>
      </c>
      <c r="O61">
        <f>IF(AND(O$4=1,O11=0),1,0)</f>
        <v/>
      </c>
      <c r="P61">
        <f>IF(AND(P$4=1,P11=0),1,0)</f>
        <v/>
      </c>
      <c r="Q61">
        <f>IF(AND(Q$4=1,Q11=0),1,0)</f>
        <v/>
      </c>
      <c r="R61">
        <f>IF(AND(R$4=1,R11=0),1,0)</f>
        <v/>
      </c>
      <c r="S61">
        <f>IF(AND(S$4=1,S11=0),1,0)</f>
        <v/>
      </c>
      <c r="T61">
        <f>IF(AND(T$4=1,T11=0),1,0)</f>
        <v/>
      </c>
      <c r="U61">
        <f>IF(AND(U$4=1,U11=0),1,0)</f>
        <v/>
      </c>
      <c r="V61">
        <f>IF(AND(V$4=1,V11=0),1,0)</f>
        <v/>
      </c>
      <c r="W61">
        <f>IF(AND(W$4=1,W11=0),1,0)</f>
        <v/>
      </c>
      <c r="X61">
        <f>IF(AND(X$4=1,X11=0),1,0)</f>
        <v/>
      </c>
      <c r="Y61">
        <f>IF(AND(Y$4=1,Y11=0),1,0)</f>
        <v/>
      </c>
      <c r="Z61">
        <f>IF(AND(Z$4=1,Z11=0),1,0)</f>
        <v/>
      </c>
      <c r="AA61">
        <f>IF(AND(AA$4=1,AA11=0),1,0)</f>
        <v/>
      </c>
      <c r="AB61">
        <f>IF(AND(AB$4=1,AB11=0),1,0)</f>
        <v/>
      </c>
      <c r="AC61">
        <f>IF(AND(AC$4=1,AC11=0),1,0)</f>
        <v/>
      </c>
      <c r="AD61">
        <f>IF(AND(AD$4=1,AD11=0),1,0)</f>
        <v/>
      </c>
      <c r="AE61">
        <f>IF(AND(AE$4=1,AE11=0),1,0)</f>
        <v/>
      </c>
      <c r="AF61">
        <f>IF(AND(AF$4=1,AF11=0),1,0)</f>
        <v/>
      </c>
      <c r="AG61">
        <f>IF(AND(AG$4=1,AG11=0),1,0)</f>
        <v/>
      </c>
      <c r="AH61">
        <f>IF(AND(AH$4=1,AH11=0),1,0)</f>
        <v/>
      </c>
      <c r="AI61">
        <f>IF(AND(AI$4=1,AI11=0),1,0)</f>
        <v/>
      </c>
      <c r="AJ61">
        <f>IF(AND(AJ$4=1,AJ11=0),1,0)</f>
        <v/>
      </c>
      <c r="AK61">
        <f>IF(AND(AK$4=1,AK11=0),1,0)</f>
        <v/>
      </c>
      <c r="AL61">
        <f>IF(AND(AL$4=1,AL11=0),1,0)</f>
        <v/>
      </c>
      <c r="AM61">
        <f>IF(AND(AM$4=1,AM11=0),1,0)</f>
        <v/>
      </c>
      <c r="AN61">
        <f>IF(AND(AN$4=1,AN11=0),1,0)</f>
        <v/>
      </c>
      <c r="AO61">
        <f>IF(AND(AO$4=1,AO11=0),1,0)</f>
        <v/>
      </c>
      <c r="AP61">
        <f>IF(AND(AP$4=1,AP11=0),1,0)</f>
        <v/>
      </c>
      <c r="AQ61">
        <f>IF(AND(AQ$4=1,AQ11=0),1,0)</f>
        <v/>
      </c>
      <c r="AR61">
        <f>IF(AND(AR$4=1,AR11=0),1,0)</f>
        <v/>
      </c>
      <c r="AS61">
        <f>IF(AND(AS$4=1,AS11=0),1,0)</f>
        <v/>
      </c>
      <c r="AT61">
        <f>IF(AND(AT$4=1,AT11=0),1,0)</f>
        <v/>
      </c>
      <c r="AU61">
        <f>IF(AND(AU$4=1,AU11=0),1,0)</f>
        <v/>
      </c>
      <c r="AV61">
        <f>IF(AND(AV$4=1,AV11=0),1,0)</f>
        <v/>
      </c>
      <c r="AW61">
        <f>IF(AND(AW$4=1,AW11=0),1,0)</f>
        <v/>
      </c>
      <c r="AX61">
        <f>IF(AND(AX$4=1,AX11=0),1,0)</f>
        <v/>
      </c>
      <c r="AY61">
        <f>IF(AND(AY$4=1,AY11=0),1,0)</f>
        <v/>
      </c>
      <c r="AZ61">
        <f>IF(AND(AZ$4=1,AZ11=0),1,0)</f>
        <v/>
      </c>
      <c r="BA61">
        <f>IF(AND(BA$4=1,BA11=0),1,0)</f>
        <v/>
      </c>
      <c r="BB61">
        <f>IF(AND(BB$4=1,BB11=0),1,0)</f>
        <v/>
      </c>
      <c r="BC61">
        <f>IF(AND(BC$4=1,BC11=0),1,0)</f>
        <v/>
      </c>
      <c r="BD61">
        <f>IF(AND(BD$4=1,BD11=0),1,0)</f>
        <v/>
      </c>
      <c r="BE61">
        <f>IF(AND(BE$4=1,BE11=0),1,0)</f>
        <v/>
      </c>
      <c r="BF61">
        <f>IF(AND(BF$4=1,BF11=0),1,0)</f>
        <v/>
      </c>
      <c r="BG61">
        <f>IF(AND(BG$4=1,BG11=0),1,0)</f>
        <v/>
      </c>
      <c r="BH61">
        <f>IF(AND(BH$4=1,BH11=0),1,0)</f>
        <v/>
      </c>
      <c r="BI61">
        <f>IF(AND(BI$4=1,BI11=0),1,0)</f>
        <v/>
      </c>
      <c r="BJ61">
        <f>IF(AND(BJ$4=1,BJ11=0),1,0)</f>
        <v/>
      </c>
      <c r="BK61">
        <f>IF(AND(BK$4=1,BK11=0),1,0)</f>
        <v/>
      </c>
      <c r="BL61">
        <f>IF(AND(BL$4=1,BL11=0),1,0)</f>
        <v/>
      </c>
      <c r="BM61">
        <f>IF(AND(BM$4=1,BM11=0),1,0)</f>
        <v/>
      </c>
      <c r="BN61">
        <f>IF(AND(BN$4=1,BN11=0),1,0)</f>
        <v/>
      </c>
      <c r="BO61">
        <f>IF(AND(BO$4=1,BO11=0),1,0)</f>
        <v/>
      </c>
      <c r="BP61">
        <f>IF(AND(BP$4=1,BP11=0),1,0)</f>
        <v/>
      </c>
      <c r="BQ61">
        <f>IF(AND(BQ$4=1,BQ11=0),1,0)</f>
        <v/>
      </c>
      <c r="BR61">
        <f>IF(AND(BR$4=1,BR11=0),1,0)</f>
        <v/>
      </c>
      <c r="BS61">
        <f>IF(AND(BS$4=1,BS11=0),1,0)</f>
        <v/>
      </c>
      <c r="BT61">
        <f>IF(AND(BT$4=1,BT11=0),1,0)</f>
        <v/>
      </c>
      <c r="BU61">
        <f>IF(AND(BU$4=1,BU11=0),1,0)</f>
        <v/>
      </c>
      <c r="BV61">
        <f>IF(AND(BV$4=1,BV11=0),1,0)</f>
        <v/>
      </c>
      <c r="BW61">
        <f>IF(AND(BW$4=1,BW11=0),1,0)</f>
        <v/>
      </c>
      <c r="BX61">
        <f>IF(AND(BX$4=1,BX11=0),1,0)</f>
        <v/>
      </c>
      <c r="BY61">
        <f>IF(AND(BY$4=1,BY11=0),1,0)</f>
        <v/>
      </c>
      <c r="BZ61">
        <f>IF(AND(BZ$4=1,BZ11=0),1,0)</f>
        <v/>
      </c>
      <c r="CA61">
        <f>IF(AND(CA$4=1,CA11=0),1,0)</f>
        <v/>
      </c>
      <c r="CB61">
        <f>IF(AND(CB$4=1,CB11=0),1,0)</f>
        <v/>
      </c>
      <c r="CC61">
        <f>IF(AND(CC$4=1,CC11=0),1,0)</f>
        <v/>
      </c>
      <c r="CD61">
        <f>IF(AND(CD$4=1,CD11=0),1,0)</f>
        <v/>
      </c>
      <c r="CE61">
        <f>IF(AND(CE$4=1,CE11=0),1,0)</f>
        <v/>
      </c>
      <c r="CF61">
        <f>IF(AND(CF$4=1,CF11=0),1,0)</f>
        <v/>
      </c>
      <c r="CG61">
        <f>IF(AND(CG$4=1,CG11=0),1,0)</f>
        <v/>
      </c>
      <c r="CH61">
        <f>IF(AND(CH$4=1,CH11=0),1,0)</f>
        <v/>
      </c>
      <c r="CI61">
        <f>IF(AND(CI$4=1,CI11=0),1,0)</f>
        <v/>
      </c>
      <c r="CJ61">
        <f>IF(AND(CJ$4=1,CJ11=0),1,0)</f>
        <v/>
      </c>
      <c r="CK61">
        <f>IF(AND(CK$4=1,CK11=0),1,0)</f>
        <v/>
      </c>
      <c r="CL61">
        <f>IF(AND(CL$4=1,CL11=0),1,0)</f>
        <v/>
      </c>
      <c r="CM61">
        <f>IF(AND(CM$4=1,CM11=0),1,0)</f>
        <v/>
      </c>
      <c r="CN61">
        <f>IF(AND(CN$4=1,CN11=0),1,0)</f>
        <v/>
      </c>
      <c r="CO61">
        <f>IF(AND(CO$4=1,CO11=0),1,0)</f>
        <v/>
      </c>
      <c r="CP61">
        <f>IF(AND(CP$4=1,CP11=0),1,0)</f>
        <v/>
      </c>
      <c r="CQ61">
        <f>IF(AND(CQ$4=1,CQ11=0),1,0)</f>
        <v/>
      </c>
      <c r="CR61">
        <f>IF(AND(CR$4=1,CR11=0),1,0)</f>
        <v/>
      </c>
      <c r="CS61">
        <f>IF(AND(CS$4=1,CS11=0),1,0)</f>
        <v/>
      </c>
      <c r="CT61">
        <f>IF(AND(CT$4=1,CT11=0),1,0)</f>
        <v/>
      </c>
      <c r="CU61">
        <f>IF(AND(CU$4=1,CU11=0),1,0)</f>
        <v/>
      </c>
      <c r="CV61">
        <f>IF(AND(CV$4=1,CV11=0),1,0)</f>
        <v/>
      </c>
      <c r="CW61">
        <f>IF(AND(CW$4=1,CW11=0),1,0)</f>
        <v/>
      </c>
      <c r="CX61">
        <f>IF(AND(CX$4=1,CX11=0),1,0)</f>
        <v/>
      </c>
      <c r="CY61">
        <f>IF(AND(CY$4=1,CY11=0),1,0)</f>
        <v/>
      </c>
      <c r="CZ61">
        <f>IF(AND(CZ$4=1,CZ11=0),1,0)</f>
        <v/>
      </c>
      <c r="DA61">
        <f>IF(AND(DA$4=1,DA11=0),1,0)</f>
        <v/>
      </c>
      <c r="DB61">
        <f>IF(AND(DB$4=1,DB11=0),1,0)</f>
        <v/>
      </c>
      <c r="DC61">
        <f>IF(AND(DC$4=1,DC11=0),1,0)</f>
        <v/>
      </c>
      <c r="DD61">
        <f>IF(AND(DD$4=1,DD11=0),1,0)</f>
        <v/>
      </c>
      <c r="DE61">
        <f>IF(AND(DE$4=1,DE11=0),1,0)</f>
        <v/>
      </c>
      <c r="DF61">
        <f>IF(AND(DF$4=1,DF11=0),1,0)</f>
        <v/>
      </c>
      <c r="DG61">
        <f>IF(AND(DG$4=1,DG11=0),1,0)</f>
        <v/>
      </c>
      <c r="DH61">
        <f>IF(AND(DH$4=1,DH11=0),1,0)</f>
        <v/>
      </c>
      <c r="DI61">
        <f>IF(AND(DI$4=1,DI11=0),1,0)</f>
        <v/>
      </c>
      <c r="DJ61">
        <f>IF(AND(DJ$4=1,DJ11=0),1,0)</f>
        <v/>
      </c>
      <c r="DK61">
        <f>IF(AND(DK$4=1,DK11=0),1,0)</f>
        <v/>
      </c>
      <c r="DL61">
        <f>IF(AND(DL$4=1,DL11=0),1,0)</f>
        <v/>
      </c>
      <c r="DM61">
        <f>IF(AND(DM$4=1,DM11=0),1,0)</f>
        <v/>
      </c>
      <c r="DN61">
        <f>IF(AND(DN$4=1,DN11=0),1,0)</f>
        <v/>
      </c>
      <c r="DO61">
        <f>IF(AND(DO$4=1,DO11=0),1,0)</f>
        <v/>
      </c>
      <c r="DP61">
        <f>IF(AND(DP$4=1,DP11=0),1,0)</f>
        <v/>
      </c>
      <c r="DQ61">
        <f>IF(AND(DQ$4=1,DQ11=0),1,0)</f>
        <v/>
      </c>
      <c r="DR61">
        <f>IF(AND(DR$4=1,DR11=0),1,0)</f>
        <v/>
      </c>
      <c r="DS61">
        <f>IF(AND(DS$4=1,DS11=0),1,0)</f>
        <v/>
      </c>
      <c r="DT61">
        <f>IF(AND(DT$4=1,DT11=0),1,0)</f>
        <v/>
      </c>
      <c r="DU61">
        <f>IF(AND(DU$4=1,DU11=0),1,0)</f>
        <v/>
      </c>
      <c r="DV61">
        <f>IF(AND(DV$4=1,DV11=0),1,0)</f>
        <v/>
      </c>
      <c r="DW61">
        <f>IF(AND(DW$4=1,DW11=0),1,0)</f>
        <v/>
      </c>
      <c r="DX61">
        <f>IF(AND(DX$4=1,DX11=0),1,0)</f>
        <v/>
      </c>
      <c r="DY61">
        <f>IF(AND(DY$4=1,DY11=0),1,0)</f>
        <v/>
      </c>
      <c r="DZ61">
        <f>IF(AND(DZ$4=1,DZ11=0),1,0)</f>
        <v/>
      </c>
      <c r="EA61">
        <f>IF(AND(EA$4=1,EA11=0),1,0)</f>
        <v/>
      </c>
      <c r="EB61">
        <f>IF(AND(EB$4=1,EB11=0),1,0)</f>
        <v/>
      </c>
      <c r="EC61">
        <f>IF(AND(EC$4=1,EC11=0),1,0)</f>
        <v/>
      </c>
      <c r="ED61">
        <f>IF(AND(ED$4=1,ED11=0),1,0)</f>
        <v/>
      </c>
      <c r="EE61">
        <f>IF(AND(EE$4=1,EE11=0),1,0)</f>
        <v/>
      </c>
      <c r="EF61">
        <f>IF(AND(EF$4=1,EF11=0),1,0)</f>
        <v/>
      </c>
      <c r="EG61">
        <f>IF(AND(EG$4=1,EG11=0),1,0)</f>
        <v/>
      </c>
      <c r="EH61">
        <f>IF(AND(EH$4=1,EH11=0),1,0)</f>
        <v/>
      </c>
      <c r="EI61">
        <f>IF(AND(EI$4=1,EI11=0),1,0)</f>
        <v/>
      </c>
      <c r="EJ61">
        <f>IF(AND(EJ$4=1,EJ11=0),1,0)</f>
        <v/>
      </c>
      <c r="EK61">
        <f>IF(AND(EK$4=1,EK11=0),1,0)</f>
        <v/>
      </c>
      <c r="EL61">
        <f>IF(AND(EL$4=1,EL11=0),1,0)</f>
        <v/>
      </c>
      <c r="EM61">
        <f>IF(AND(EM$4=1,EM11=0),1,0)</f>
        <v/>
      </c>
      <c r="EN61">
        <f>IF(AND(EN$4=1,EN11=0),1,0)</f>
        <v/>
      </c>
      <c r="EO61">
        <f>IF(AND(EO$4=1,EO11=0),1,0)</f>
        <v/>
      </c>
      <c r="EP61">
        <f>IF(AND(EP$4=1,EP11=0),1,0)</f>
        <v/>
      </c>
      <c r="EQ61">
        <f>IF(AND(EQ$4=1,EQ11=0),1,0)</f>
        <v/>
      </c>
    </row>
    <row r="62">
      <c r="A62" t="n">
        <v>3</v>
      </c>
      <c r="D62">
        <f>IF(AND(D$4=1,D12=0),1,0)</f>
        <v/>
      </c>
      <c r="E62">
        <f>IF(AND(E$4=1,E12=0),1,0)</f>
        <v/>
      </c>
      <c r="F62">
        <f>IF(AND(F$4=1,F12=0),1,0)</f>
        <v/>
      </c>
      <c r="G62">
        <f>IF(AND(G$4=1,G12=0),1,0)</f>
        <v/>
      </c>
      <c r="H62">
        <f>IF(AND(H$4=1,H12=0),1,0)</f>
        <v/>
      </c>
      <c r="I62">
        <f>IF(AND(I$4=1,I12=0),1,0)</f>
        <v/>
      </c>
      <c r="J62">
        <f>IF(AND(J$4=1,J12=0),1,0)</f>
        <v/>
      </c>
      <c r="K62">
        <f>IF(AND(K$4=1,K12=0),1,0)</f>
        <v/>
      </c>
      <c r="L62">
        <f>IF(AND(L$4=1,L12=0),1,0)</f>
        <v/>
      </c>
      <c r="M62">
        <f>IF(AND(M$4=1,M12=0),1,0)</f>
        <v/>
      </c>
      <c r="N62">
        <f>IF(AND(N$4=1,N12=0),1,0)</f>
        <v/>
      </c>
      <c r="O62">
        <f>IF(AND(O$4=1,O12=0),1,0)</f>
        <v/>
      </c>
      <c r="P62">
        <f>IF(AND(P$4=1,P12=0),1,0)</f>
        <v/>
      </c>
      <c r="Q62">
        <f>IF(AND(Q$4=1,Q12=0),1,0)</f>
        <v/>
      </c>
      <c r="R62">
        <f>IF(AND(R$4=1,R12=0),1,0)</f>
        <v/>
      </c>
      <c r="S62">
        <f>IF(AND(S$4=1,S12=0),1,0)</f>
        <v/>
      </c>
      <c r="T62">
        <f>IF(AND(T$4=1,T12=0),1,0)</f>
        <v/>
      </c>
      <c r="U62">
        <f>IF(AND(U$4=1,U12=0),1,0)</f>
        <v/>
      </c>
      <c r="V62">
        <f>IF(AND(V$4=1,V12=0),1,0)</f>
        <v/>
      </c>
      <c r="W62">
        <f>IF(AND(W$4=1,W12=0),1,0)</f>
        <v/>
      </c>
      <c r="X62">
        <f>IF(AND(X$4=1,X12=0),1,0)</f>
        <v/>
      </c>
      <c r="Y62">
        <f>IF(AND(Y$4=1,Y12=0),1,0)</f>
        <v/>
      </c>
      <c r="Z62">
        <f>IF(AND(Z$4=1,Z12=0),1,0)</f>
        <v/>
      </c>
      <c r="AA62">
        <f>IF(AND(AA$4=1,AA12=0),1,0)</f>
        <v/>
      </c>
      <c r="AB62">
        <f>IF(AND(AB$4=1,AB12=0),1,0)</f>
        <v/>
      </c>
      <c r="AC62">
        <f>IF(AND(AC$4=1,AC12=0),1,0)</f>
        <v/>
      </c>
      <c r="AD62">
        <f>IF(AND(AD$4=1,AD12=0),1,0)</f>
        <v/>
      </c>
      <c r="AE62">
        <f>IF(AND(AE$4=1,AE12=0),1,0)</f>
        <v/>
      </c>
      <c r="AF62">
        <f>IF(AND(AF$4=1,AF12=0),1,0)</f>
        <v/>
      </c>
      <c r="AG62">
        <f>IF(AND(AG$4=1,AG12=0),1,0)</f>
        <v/>
      </c>
      <c r="AH62">
        <f>IF(AND(AH$4=1,AH12=0),1,0)</f>
        <v/>
      </c>
      <c r="AI62">
        <f>IF(AND(AI$4=1,AI12=0),1,0)</f>
        <v/>
      </c>
      <c r="AJ62">
        <f>IF(AND(AJ$4=1,AJ12=0),1,0)</f>
        <v/>
      </c>
      <c r="AK62">
        <f>IF(AND(AK$4=1,AK12=0),1,0)</f>
        <v/>
      </c>
      <c r="AL62">
        <f>IF(AND(AL$4=1,AL12=0),1,0)</f>
        <v/>
      </c>
      <c r="AM62">
        <f>IF(AND(AM$4=1,AM12=0),1,0)</f>
        <v/>
      </c>
      <c r="AN62">
        <f>IF(AND(AN$4=1,AN12=0),1,0)</f>
        <v/>
      </c>
      <c r="AO62">
        <f>IF(AND(AO$4=1,AO12=0),1,0)</f>
        <v/>
      </c>
      <c r="AP62">
        <f>IF(AND(AP$4=1,AP12=0),1,0)</f>
        <v/>
      </c>
      <c r="AQ62">
        <f>IF(AND(AQ$4=1,AQ12=0),1,0)</f>
        <v/>
      </c>
      <c r="AR62">
        <f>IF(AND(AR$4=1,AR12=0),1,0)</f>
        <v/>
      </c>
      <c r="AS62">
        <f>IF(AND(AS$4=1,AS12=0),1,0)</f>
        <v/>
      </c>
      <c r="AT62">
        <f>IF(AND(AT$4=1,AT12=0),1,0)</f>
        <v/>
      </c>
      <c r="AU62">
        <f>IF(AND(AU$4=1,AU12=0),1,0)</f>
        <v/>
      </c>
      <c r="AV62">
        <f>IF(AND(AV$4=1,AV12=0),1,0)</f>
        <v/>
      </c>
      <c r="AW62">
        <f>IF(AND(AW$4=1,AW12=0),1,0)</f>
        <v/>
      </c>
      <c r="AX62">
        <f>IF(AND(AX$4=1,AX12=0),1,0)</f>
        <v/>
      </c>
      <c r="AY62">
        <f>IF(AND(AY$4=1,AY12=0),1,0)</f>
        <v/>
      </c>
      <c r="AZ62">
        <f>IF(AND(AZ$4=1,AZ12=0),1,0)</f>
        <v/>
      </c>
      <c r="BA62">
        <f>IF(AND(BA$4=1,BA12=0),1,0)</f>
        <v/>
      </c>
      <c r="BB62">
        <f>IF(AND(BB$4=1,BB12=0),1,0)</f>
        <v/>
      </c>
      <c r="BC62">
        <f>IF(AND(BC$4=1,BC12=0),1,0)</f>
        <v/>
      </c>
      <c r="BD62">
        <f>IF(AND(BD$4=1,BD12=0),1,0)</f>
        <v/>
      </c>
      <c r="BE62">
        <f>IF(AND(BE$4=1,BE12=0),1,0)</f>
        <v/>
      </c>
      <c r="BF62">
        <f>IF(AND(BF$4=1,BF12=0),1,0)</f>
        <v/>
      </c>
      <c r="BG62">
        <f>IF(AND(BG$4=1,BG12=0),1,0)</f>
        <v/>
      </c>
      <c r="BH62">
        <f>IF(AND(BH$4=1,BH12=0),1,0)</f>
        <v/>
      </c>
      <c r="BI62">
        <f>IF(AND(BI$4=1,BI12=0),1,0)</f>
        <v/>
      </c>
      <c r="BJ62">
        <f>IF(AND(BJ$4=1,BJ12=0),1,0)</f>
        <v/>
      </c>
      <c r="BK62">
        <f>IF(AND(BK$4=1,BK12=0),1,0)</f>
        <v/>
      </c>
      <c r="BL62">
        <f>IF(AND(BL$4=1,BL12=0),1,0)</f>
        <v/>
      </c>
      <c r="BM62">
        <f>IF(AND(BM$4=1,BM12=0),1,0)</f>
        <v/>
      </c>
      <c r="BN62">
        <f>IF(AND(BN$4=1,BN12=0),1,0)</f>
        <v/>
      </c>
      <c r="BO62">
        <f>IF(AND(BO$4=1,BO12=0),1,0)</f>
        <v/>
      </c>
      <c r="BP62">
        <f>IF(AND(BP$4=1,BP12=0),1,0)</f>
        <v/>
      </c>
      <c r="BQ62">
        <f>IF(AND(BQ$4=1,BQ12=0),1,0)</f>
        <v/>
      </c>
      <c r="BR62">
        <f>IF(AND(BR$4=1,BR12=0),1,0)</f>
        <v/>
      </c>
      <c r="BS62">
        <f>IF(AND(BS$4=1,BS12=0),1,0)</f>
        <v/>
      </c>
      <c r="BT62">
        <f>IF(AND(BT$4=1,BT12=0),1,0)</f>
        <v/>
      </c>
      <c r="BU62">
        <f>IF(AND(BU$4=1,BU12=0),1,0)</f>
        <v/>
      </c>
      <c r="BV62">
        <f>IF(AND(BV$4=1,BV12=0),1,0)</f>
        <v/>
      </c>
      <c r="BW62">
        <f>IF(AND(BW$4=1,BW12=0),1,0)</f>
        <v/>
      </c>
      <c r="BX62">
        <f>IF(AND(BX$4=1,BX12=0),1,0)</f>
        <v/>
      </c>
      <c r="BY62">
        <f>IF(AND(BY$4=1,BY12=0),1,0)</f>
        <v/>
      </c>
      <c r="BZ62">
        <f>IF(AND(BZ$4=1,BZ12=0),1,0)</f>
        <v/>
      </c>
      <c r="CA62">
        <f>IF(AND(CA$4=1,CA12=0),1,0)</f>
        <v/>
      </c>
      <c r="CB62">
        <f>IF(AND(CB$4=1,CB12=0),1,0)</f>
        <v/>
      </c>
      <c r="CC62">
        <f>IF(AND(CC$4=1,CC12=0),1,0)</f>
        <v/>
      </c>
      <c r="CD62">
        <f>IF(AND(CD$4=1,CD12=0),1,0)</f>
        <v/>
      </c>
      <c r="CE62">
        <f>IF(AND(CE$4=1,CE12=0),1,0)</f>
        <v/>
      </c>
      <c r="CF62">
        <f>IF(AND(CF$4=1,CF12=0),1,0)</f>
        <v/>
      </c>
      <c r="CG62">
        <f>IF(AND(CG$4=1,CG12=0),1,0)</f>
        <v/>
      </c>
      <c r="CH62">
        <f>IF(AND(CH$4=1,CH12=0),1,0)</f>
        <v/>
      </c>
      <c r="CI62">
        <f>IF(AND(CI$4=1,CI12=0),1,0)</f>
        <v/>
      </c>
      <c r="CJ62">
        <f>IF(AND(CJ$4=1,CJ12=0),1,0)</f>
        <v/>
      </c>
      <c r="CK62">
        <f>IF(AND(CK$4=1,CK12=0),1,0)</f>
        <v/>
      </c>
      <c r="CL62">
        <f>IF(AND(CL$4=1,CL12=0),1,0)</f>
        <v/>
      </c>
      <c r="CM62">
        <f>IF(AND(CM$4=1,CM12=0),1,0)</f>
        <v/>
      </c>
      <c r="CN62">
        <f>IF(AND(CN$4=1,CN12=0),1,0)</f>
        <v/>
      </c>
      <c r="CO62">
        <f>IF(AND(CO$4=1,CO12=0),1,0)</f>
        <v/>
      </c>
      <c r="CP62">
        <f>IF(AND(CP$4=1,CP12=0),1,0)</f>
        <v/>
      </c>
      <c r="CQ62">
        <f>IF(AND(CQ$4=1,CQ12=0),1,0)</f>
        <v/>
      </c>
      <c r="CR62">
        <f>IF(AND(CR$4=1,CR12=0),1,0)</f>
        <v/>
      </c>
      <c r="CS62">
        <f>IF(AND(CS$4=1,CS12=0),1,0)</f>
        <v/>
      </c>
      <c r="CT62">
        <f>IF(AND(CT$4=1,CT12=0),1,0)</f>
        <v/>
      </c>
      <c r="CU62">
        <f>IF(AND(CU$4=1,CU12=0),1,0)</f>
        <v/>
      </c>
      <c r="CV62">
        <f>IF(AND(CV$4=1,CV12=0),1,0)</f>
        <v/>
      </c>
      <c r="CW62">
        <f>IF(AND(CW$4=1,CW12=0),1,0)</f>
        <v/>
      </c>
      <c r="CX62">
        <f>IF(AND(CX$4=1,CX12=0),1,0)</f>
        <v/>
      </c>
      <c r="CY62">
        <f>IF(AND(CY$4=1,CY12=0),1,0)</f>
        <v/>
      </c>
      <c r="CZ62">
        <f>IF(AND(CZ$4=1,CZ12=0),1,0)</f>
        <v/>
      </c>
      <c r="DA62">
        <f>IF(AND(DA$4=1,DA12=0),1,0)</f>
        <v/>
      </c>
      <c r="DB62">
        <f>IF(AND(DB$4=1,DB12=0),1,0)</f>
        <v/>
      </c>
      <c r="DC62">
        <f>IF(AND(DC$4=1,DC12=0),1,0)</f>
        <v/>
      </c>
      <c r="DD62">
        <f>IF(AND(DD$4=1,DD12=0),1,0)</f>
        <v/>
      </c>
      <c r="DE62">
        <f>IF(AND(DE$4=1,DE12=0),1,0)</f>
        <v/>
      </c>
      <c r="DF62">
        <f>IF(AND(DF$4=1,DF12=0),1,0)</f>
        <v/>
      </c>
      <c r="DG62">
        <f>IF(AND(DG$4=1,DG12=0),1,0)</f>
        <v/>
      </c>
      <c r="DH62">
        <f>IF(AND(DH$4=1,DH12=0),1,0)</f>
        <v/>
      </c>
      <c r="DI62">
        <f>IF(AND(DI$4=1,DI12=0),1,0)</f>
        <v/>
      </c>
      <c r="DJ62">
        <f>IF(AND(DJ$4=1,DJ12=0),1,0)</f>
        <v/>
      </c>
      <c r="DK62">
        <f>IF(AND(DK$4=1,DK12=0),1,0)</f>
        <v/>
      </c>
      <c r="DL62">
        <f>IF(AND(DL$4=1,DL12=0),1,0)</f>
        <v/>
      </c>
      <c r="DM62">
        <f>IF(AND(DM$4=1,DM12=0),1,0)</f>
        <v/>
      </c>
      <c r="DN62">
        <f>IF(AND(DN$4=1,DN12=0),1,0)</f>
        <v/>
      </c>
      <c r="DO62">
        <f>IF(AND(DO$4=1,DO12=0),1,0)</f>
        <v/>
      </c>
      <c r="DP62">
        <f>IF(AND(DP$4=1,DP12=0),1,0)</f>
        <v/>
      </c>
      <c r="DQ62">
        <f>IF(AND(DQ$4=1,DQ12=0),1,0)</f>
        <v/>
      </c>
      <c r="DR62">
        <f>IF(AND(DR$4=1,DR12=0),1,0)</f>
        <v/>
      </c>
      <c r="DS62">
        <f>IF(AND(DS$4=1,DS12=0),1,0)</f>
        <v/>
      </c>
      <c r="DT62">
        <f>IF(AND(DT$4=1,DT12=0),1,0)</f>
        <v/>
      </c>
      <c r="DU62">
        <f>IF(AND(DU$4=1,DU12=0),1,0)</f>
        <v/>
      </c>
      <c r="DV62">
        <f>IF(AND(DV$4=1,DV12=0),1,0)</f>
        <v/>
      </c>
      <c r="DW62">
        <f>IF(AND(DW$4=1,DW12=0),1,0)</f>
        <v/>
      </c>
      <c r="DX62">
        <f>IF(AND(DX$4=1,DX12=0),1,0)</f>
        <v/>
      </c>
      <c r="DY62">
        <f>IF(AND(DY$4=1,DY12=0),1,0)</f>
        <v/>
      </c>
      <c r="DZ62">
        <f>IF(AND(DZ$4=1,DZ12=0),1,0)</f>
        <v/>
      </c>
      <c r="EA62">
        <f>IF(AND(EA$4=1,EA12=0),1,0)</f>
        <v/>
      </c>
      <c r="EB62">
        <f>IF(AND(EB$4=1,EB12=0),1,0)</f>
        <v/>
      </c>
      <c r="EC62">
        <f>IF(AND(EC$4=1,EC12=0),1,0)</f>
        <v/>
      </c>
      <c r="ED62">
        <f>IF(AND(ED$4=1,ED12=0),1,0)</f>
        <v/>
      </c>
      <c r="EE62">
        <f>IF(AND(EE$4=1,EE12=0),1,0)</f>
        <v/>
      </c>
      <c r="EF62">
        <f>IF(AND(EF$4=1,EF12=0),1,0)</f>
        <v/>
      </c>
      <c r="EG62">
        <f>IF(AND(EG$4=1,EG12=0),1,0)</f>
        <v/>
      </c>
      <c r="EH62">
        <f>IF(AND(EH$4=1,EH12=0),1,0)</f>
        <v/>
      </c>
      <c r="EI62">
        <f>IF(AND(EI$4=1,EI12=0),1,0)</f>
        <v/>
      </c>
      <c r="EJ62">
        <f>IF(AND(EJ$4=1,EJ12=0),1,0)</f>
        <v/>
      </c>
      <c r="EK62">
        <f>IF(AND(EK$4=1,EK12=0),1,0)</f>
        <v/>
      </c>
      <c r="EL62">
        <f>IF(AND(EL$4=1,EL12=0),1,0)</f>
        <v/>
      </c>
      <c r="EM62">
        <f>IF(AND(EM$4=1,EM12=0),1,0)</f>
        <v/>
      </c>
      <c r="EN62">
        <f>IF(AND(EN$4=1,EN12=0),1,0)</f>
        <v/>
      </c>
      <c r="EO62">
        <f>IF(AND(EO$4=1,EO12=0),1,0)</f>
        <v/>
      </c>
      <c r="EP62">
        <f>IF(AND(EP$4=1,EP12=0),1,0)</f>
        <v/>
      </c>
      <c r="EQ62">
        <f>IF(AND(EQ$4=1,EQ12=0),1,0)</f>
        <v/>
      </c>
    </row>
    <row r="63">
      <c r="A63" t="n">
        <v>4</v>
      </c>
      <c r="D63">
        <f>IF(AND(D$4=1,D13=0),1,0)</f>
        <v/>
      </c>
      <c r="E63">
        <f>IF(AND(E$4=1,E13=0),1,0)</f>
        <v/>
      </c>
      <c r="F63">
        <f>IF(AND(F$4=1,F13=0),1,0)</f>
        <v/>
      </c>
      <c r="G63">
        <f>IF(AND(G$4=1,G13=0),1,0)</f>
        <v/>
      </c>
      <c r="H63">
        <f>IF(AND(H$4=1,H13=0),1,0)</f>
        <v/>
      </c>
      <c r="I63">
        <f>IF(AND(I$4=1,I13=0),1,0)</f>
        <v/>
      </c>
      <c r="J63">
        <f>IF(AND(J$4=1,J13=0),1,0)</f>
        <v/>
      </c>
      <c r="K63">
        <f>IF(AND(K$4=1,K13=0),1,0)</f>
        <v/>
      </c>
      <c r="L63">
        <f>IF(AND(L$4=1,L13=0),1,0)</f>
        <v/>
      </c>
      <c r="M63">
        <f>IF(AND(M$4=1,M13=0),1,0)</f>
        <v/>
      </c>
      <c r="N63">
        <f>IF(AND(N$4=1,N13=0),1,0)</f>
        <v/>
      </c>
      <c r="O63">
        <f>IF(AND(O$4=1,O13=0),1,0)</f>
        <v/>
      </c>
      <c r="P63">
        <f>IF(AND(P$4=1,P13=0),1,0)</f>
        <v/>
      </c>
      <c r="Q63">
        <f>IF(AND(Q$4=1,Q13=0),1,0)</f>
        <v/>
      </c>
      <c r="R63">
        <f>IF(AND(R$4=1,R13=0),1,0)</f>
        <v/>
      </c>
      <c r="S63">
        <f>IF(AND(S$4=1,S13=0),1,0)</f>
        <v/>
      </c>
      <c r="T63">
        <f>IF(AND(T$4=1,T13=0),1,0)</f>
        <v/>
      </c>
      <c r="U63">
        <f>IF(AND(U$4=1,U13=0),1,0)</f>
        <v/>
      </c>
      <c r="V63">
        <f>IF(AND(V$4=1,V13=0),1,0)</f>
        <v/>
      </c>
      <c r="W63">
        <f>IF(AND(W$4=1,W13=0),1,0)</f>
        <v/>
      </c>
      <c r="X63">
        <f>IF(AND(X$4=1,X13=0),1,0)</f>
        <v/>
      </c>
      <c r="Y63">
        <f>IF(AND(Y$4=1,Y13=0),1,0)</f>
        <v/>
      </c>
      <c r="Z63">
        <f>IF(AND(Z$4=1,Z13=0),1,0)</f>
        <v/>
      </c>
      <c r="AA63">
        <f>IF(AND(AA$4=1,AA13=0),1,0)</f>
        <v/>
      </c>
      <c r="AB63">
        <f>IF(AND(AB$4=1,AB13=0),1,0)</f>
        <v/>
      </c>
      <c r="AC63">
        <f>IF(AND(AC$4=1,AC13=0),1,0)</f>
        <v/>
      </c>
      <c r="AD63">
        <f>IF(AND(AD$4=1,AD13=0),1,0)</f>
        <v/>
      </c>
      <c r="AE63">
        <f>IF(AND(AE$4=1,AE13=0),1,0)</f>
        <v/>
      </c>
      <c r="AF63">
        <f>IF(AND(AF$4=1,AF13=0),1,0)</f>
        <v/>
      </c>
      <c r="AG63">
        <f>IF(AND(AG$4=1,AG13=0),1,0)</f>
        <v/>
      </c>
      <c r="AH63">
        <f>IF(AND(AH$4=1,AH13=0),1,0)</f>
        <v/>
      </c>
      <c r="AI63">
        <f>IF(AND(AI$4=1,AI13=0),1,0)</f>
        <v/>
      </c>
      <c r="AJ63">
        <f>IF(AND(AJ$4=1,AJ13=0),1,0)</f>
        <v/>
      </c>
      <c r="AK63">
        <f>IF(AND(AK$4=1,AK13=0),1,0)</f>
        <v/>
      </c>
      <c r="AL63">
        <f>IF(AND(AL$4=1,AL13=0),1,0)</f>
        <v/>
      </c>
      <c r="AM63">
        <f>IF(AND(AM$4=1,AM13=0),1,0)</f>
        <v/>
      </c>
      <c r="AN63">
        <f>IF(AND(AN$4=1,AN13=0),1,0)</f>
        <v/>
      </c>
      <c r="AO63">
        <f>IF(AND(AO$4=1,AO13=0),1,0)</f>
        <v/>
      </c>
      <c r="AP63">
        <f>IF(AND(AP$4=1,AP13=0),1,0)</f>
        <v/>
      </c>
      <c r="AQ63">
        <f>IF(AND(AQ$4=1,AQ13=0),1,0)</f>
        <v/>
      </c>
      <c r="AR63">
        <f>IF(AND(AR$4=1,AR13=0),1,0)</f>
        <v/>
      </c>
      <c r="AS63">
        <f>IF(AND(AS$4=1,AS13=0),1,0)</f>
        <v/>
      </c>
      <c r="AT63">
        <f>IF(AND(AT$4=1,AT13=0),1,0)</f>
        <v/>
      </c>
      <c r="AU63">
        <f>IF(AND(AU$4=1,AU13=0),1,0)</f>
        <v/>
      </c>
      <c r="AV63">
        <f>IF(AND(AV$4=1,AV13=0),1,0)</f>
        <v/>
      </c>
      <c r="AW63">
        <f>IF(AND(AW$4=1,AW13=0),1,0)</f>
        <v/>
      </c>
      <c r="AX63">
        <f>IF(AND(AX$4=1,AX13=0),1,0)</f>
        <v/>
      </c>
      <c r="AY63">
        <f>IF(AND(AY$4=1,AY13=0),1,0)</f>
        <v/>
      </c>
      <c r="AZ63">
        <f>IF(AND(AZ$4=1,AZ13=0),1,0)</f>
        <v/>
      </c>
      <c r="BA63">
        <f>IF(AND(BA$4=1,BA13=0),1,0)</f>
        <v/>
      </c>
      <c r="BB63">
        <f>IF(AND(BB$4=1,BB13=0),1,0)</f>
        <v/>
      </c>
      <c r="BC63">
        <f>IF(AND(BC$4=1,BC13=0),1,0)</f>
        <v/>
      </c>
      <c r="BD63">
        <f>IF(AND(BD$4=1,BD13=0),1,0)</f>
        <v/>
      </c>
      <c r="BE63">
        <f>IF(AND(BE$4=1,BE13=0),1,0)</f>
        <v/>
      </c>
      <c r="BF63">
        <f>IF(AND(BF$4=1,BF13=0),1,0)</f>
        <v/>
      </c>
      <c r="BG63">
        <f>IF(AND(BG$4=1,BG13=0),1,0)</f>
        <v/>
      </c>
      <c r="BH63">
        <f>IF(AND(BH$4=1,BH13=0),1,0)</f>
        <v/>
      </c>
      <c r="BI63">
        <f>IF(AND(BI$4=1,BI13=0),1,0)</f>
        <v/>
      </c>
      <c r="BJ63">
        <f>IF(AND(BJ$4=1,BJ13=0),1,0)</f>
        <v/>
      </c>
      <c r="BK63">
        <f>IF(AND(BK$4=1,BK13=0),1,0)</f>
        <v/>
      </c>
      <c r="BL63">
        <f>IF(AND(BL$4=1,BL13=0),1,0)</f>
        <v/>
      </c>
      <c r="BM63">
        <f>IF(AND(BM$4=1,BM13=0),1,0)</f>
        <v/>
      </c>
      <c r="BN63">
        <f>IF(AND(BN$4=1,BN13=0),1,0)</f>
        <v/>
      </c>
      <c r="BO63">
        <f>IF(AND(BO$4=1,BO13=0),1,0)</f>
        <v/>
      </c>
      <c r="BP63">
        <f>IF(AND(BP$4=1,BP13=0),1,0)</f>
        <v/>
      </c>
      <c r="BQ63">
        <f>IF(AND(BQ$4=1,BQ13=0),1,0)</f>
        <v/>
      </c>
      <c r="BR63">
        <f>IF(AND(BR$4=1,BR13=0),1,0)</f>
        <v/>
      </c>
      <c r="BS63">
        <f>IF(AND(BS$4=1,BS13=0),1,0)</f>
        <v/>
      </c>
      <c r="BT63">
        <f>IF(AND(BT$4=1,BT13=0),1,0)</f>
        <v/>
      </c>
      <c r="BU63">
        <f>IF(AND(BU$4=1,BU13=0),1,0)</f>
        <v/>
      </c>
      <c r="BV63">
        <f>IF(AND(BV$4=1,BV13=0),1,0)</f>
        <v/>
      </c>
      <c r="BW63">
        <f>IF(AND(BW$4=1,BW13=0),1,0)</f>
        <v/>
      </c>
      <c r="BX63">
        <f>IF(AND(BX$4=1,BX13=0),1,0)</f>
        <v/>
      </c>
      <c r="BY63">
        <f>IF(AND(BY$4=1,BY13=0),1,0)</f>
        <v/>
      </c>
      <c r="BZ63">
        <f>IF(AND(BZ$4=1,BZ13=0),1,0)</f>
        <v/>
      </c>
      <c r="CA63">
        <f>IF(AND(CA$4=1,CA13=0),1,0)</f>
        <v/>
      </c>
      <c r="CB63">
        <f>IF(AND(CB$4=1,CB13=0),1,0)</f>
        <v/>
      </c>
      <c r="CC63">
        <f>IF(AND(CC$4=1,CC13=0),1,0)</f>
        <v/>
      </c>
      <c r="CD63">
        <f>IF(AND(CD$4=1,CD13=0),1,0)</f>
        <v/>
      </c>
      <c r="CE63">
        <f>IF(AND(CE$4=1,CE13=0),1,0)</f>
        <v/>
      </c>
      <c r="CF63">
        <f>IF(AND(CF$4=1,CF13=0),1,0)</f>
        <v/>
      </c>
      <c r="CG63">
        <f>IF(AND(CG$4=1,CG13=0),1,0)</f>
        <v/>
      </c>
      <c r="CH63">
        <f>IF(AND(CH$4=1,CH13=0),1,0)</f>
        <v/>
      </c>
      <c r="CI63">
        <f>IF(AND(CI$4=1,CI13=0),1,0)</f>
        <v/>
      </c>
      <c r="CJ63">
        <f>IF(AND(CJ$4=1,CJ13=0),1,0)</f>
        <v/>
      </c>
      <c r="CK63">
        <f>IF(AND(CK$4=1,CK13=0),1,0)</f>
        <v/>
      </c>
      <c r="CL63">
        <f>IF(AND(CL$4=1,CL13=0),1,0)</f>
        <v/>
      </c>
      <c r="CM63">
        <f>IF(AND(CM$4=1,CM13=0),1,0)</f>
        <v/>
      </c>
      <c r="CN63">
        <f>IF(AND(CN$4=1,CN13=0),1,0)</f>
        <v/>
      </c>
      <c r="CO63">
        <f>IF(AND(CO$4=1,CO13=0),1,0)</f>
        <v/>
      </c>
      <c r="CP63">
        <f>IF(AND(CP$4=1,CP13=0),1,0)</f>
        <v/>
      </c>
      <c r="CQ63">
        <f>IF(AND(CQ$4=1,CQ13=0),1,0)</f>
        <v/>
      </c>
      <c r="CR63">
        <f>IF(AND(CR$4=1,CR13=0),1,0)</f>
        <v/>
      </c>
      <c r="CS63">
        <f>IF(AND(CS$4=1,CS13=0),1,0)</f>
        <v/>
      </c>
      <c r="CT63">
        <f>IF(AND(CT$4=1,CT13=0),1,0)</f>
        <v/>
      </c>
      <c r="CU63">
        <f>IF(AND(CU$4=1,CU13=0),1,0)</f>
        <v/>
      </c>
      <c r="CV63">
        <f>IF(AND(CV$4=1,CV13=0),1,0)</f>
        <v/>
      </c>
      <c r="CW63">
        <f>IF(AND(CW$4=1,CW13=0),1,0)</f>
        <v/>
      </c>
      <c r="CX63">
        <f>IF(AND(CX$4=1,CX13=0),1,0)</f>
        <v/>
      </c>
      <c r="CY63">
        <f>IF(AND(CY$4=1,CY13=0),1,0)</f>
        <v/>
      </c>
      <c r="CZ63">
        <f>IF(AND(CZ$4=1,CZ13=0),1,0)</f>
        <v/>
      </c>
      <c r="DA63">
        <f>IF(AND(DA$4=1,DA13=0),1,0)</f>
        <v/>
      </c>
      <c r="DB63">
        <f>IF(AND(DB$4=1,DB13=0),1,0)</f>
        <v/>
      </c>
      <c r="DC63">
        <f>IF(AND(DC$4=1,DC13=0),1,0)</f>
        <v/>
      </c>
      <c r="DD63">
        <f>IF(AND(DD$4=1,DD13=0),1,0)</f>
        <v/>
      </c>
      <c r="DE63">
        <f>IF(AND(DE$4=1,DE13=0),1,0)</f>
        <v/>
      </c>
      <c r="DF63">
        <f>IF(AND(DF$4=1,DF13=0),1,0)</f>
        <v/>
      </c>
      <c r="DG63">
        <f>IF(AND(DG$4=1,DG13=0),1,0)</f>
        <v/>
      </c>
      <c r="DH63">
        <f>IF(AND(DH$4=1,DH13=0),1,0)</f>
        <v/>
      </c>
      <c r="DI63">
        <f>IF(AND(DI$4=1,DI13=0),1,0)</f>
        <v/>
      </c>
      <c r="DJ63">
        <f>IF(AND(DJ$4=1,DJ13=0),1,0)</f>
        <v/>
      </c>
      <c r="DK63">
        <f>IF(AND(DK$4=1,DK13=0),1,0)</f>
        <v/>
      </c>
      <c r="DL63">
        <f>IF(AND(DL$4=1,DL13=0),1,0)</f>
        <v/>
      </c>
      <c r="DM63">
        <f>IF(AND(DM$4=1,DM13=0),1,0)</f>
        <v/>
      </c>
      <c r="DN63">
        <f>IF(AND(DN$4=1,DN13=0),1,0)</f>
        <v/>
      </c>
      <c r="DO63">
        <f>IF(AND(DO$4=1,DO13=0),1,0)</f>
        <v/>
      </c>
      <c r="DP63">
        <f>IF(AND(DP$4=1,DP13=0),1,0)</f>
        <v/>
      </c>
      <c r="DQ63">
        <f>IF(AND(DQ$4=1,DQ13=0),1,0)</f>
        <v/>
      </c>
      <c r="DR63">
        <f>IF(AND(DR$4=1,DR13=0),1,0)</f>
        <v/>
      </c>
      <c r="DS63">
        <f>IF(AND(DS$4=1,DS13=0),1,0)</f>
        <v/>
      </c>
      <c r="DT63">
        <f>IF(AND(DT$4=1,DT13=0),1,0)</f>
        <v/>
      </c>
      <c r="DU63">
        <f>IF(AND(DU$4=1,DU13=0),1,0)</f>
        <v/>
      </c>
      <c r="DV63">
        <f>IF(AND(DV$4=1,DV13=0),1,0)</f>
        <v/>
      </c>
      <c r="DW63">
        <f>IF(AND(DW$4=1,DW13=0),1,0)</f>
        <v/>
      </c>
      <c r="DX63">
        <f>IF(AND(DX$4=1,DX13=0),1,0)</f>
        <v/>
      </c>
      <c r="DY63">
        <f>IF(AND(DY$4=1,DY13=0),1,0)</f>
        <v/>
      </c>
      <c r="DZ63">
        <f>IF(AND(DZ$4=1,DZ13=0),1,0)</f>
        <v/>
      </c>
      <c r="EA63">
        <f>IF(AND(EA$4=1,EA13=0),1,0)</f>
        <v/>
      </c>
      <c r="EB63">
        <f>IF(AND(EB$4=1,EB13=0),1,0)</f>
        <v/>
      </c>
      <c r="EC63">
        <f>IF(AND(EC$4=1,EC13=0),1,0)</f>
        <v/>
      </c>
      <c r="ED63">
        <f>IF(AND(ED$4=1,ED13=0),1,0)</f>
        <v/>
      </c>
      <c r="EE63">
        <f>IF(AND(EE$4=1,EE13=0),1,0)</f>
        <v/>
      </c>
      <c r="EF63">
        <f>IF(AND(EF$4=1,EF13=0),1,0)</f>
        <v/>
      </c>
      <c r="EG63">
        <f>IF(AND(EG$4=1,EG13=0),1,0)</f>
        <v/>
      </c>
      <c r="EH63">
        <f>IF(AND(EH$4=1,EH13=0),1,0)</f>
        <v/>
      </c>
      <c r="EI63">
        <f>IF(AND(EI$4=1,EI13=0),1,0)</f>
        <v/>
      </c>
      <c r="EJ63">
        <f>IF(AND(EJ$4=1,EJ13=0),1,0)</f>
        <v/>
      </c>
      <c r="EK63">
        <f>IF(AND(EK$4=1,EK13=0),1,0)</f>
        <v/>
      </c>
      <c r="EL63">
        <f>IF(AND(EL$4=1,EL13=0),1,0)</f>
        <v/>
      </c>
      <c r="EM63">
        <f>IF(AND(EM$4=1,EM13=0),1,0)</f>
        <v/>
      </c>
      <c r="EN63">
        <f>IF(AND(EN$4=1,EN13=0),1,0)</f>
        <v/>
      </c>
      <c r="EO63">
        <f>IF(AND(EO$4=1,EO13=0),1,0)</f>
        <v/>
      </c>
      <c r="EP63">
        <f>IF(AND(EP$4=1,EP13=0),1,0)</f>
        <v/>
      </c>
      <c r="EQ63">
        <f>IF(AND(EQ$4=1,EQ13=0),1,0)</f>
        <v/>
      </c>
    </row>
    <row r="64">
      <c r="A64" t="n">
        <v>5</v>
      </c>
      <c r="D64">
        <f>IF(AND(D$4=1,D14=0),1,0)</f>
        <v/>
      </c>
      <c r="E64">
        <f>IF(AND(E$4=1,E14=0),1,0)</f>
        <v/>
      </c>
      <c r="F64">
        <f>IF(AND(F$4=1,F14=0),1,0)</f>
        <v/>
      </c>
      <c r="G64">
        <f>IF(AND(G$4=1,G14=0),1,0)</f>
        <v/>
      </c>
      <c r="H64">
        <f>IF(AND(H$4=1,H14=0),1,0)</f>
        <v/>
      </c>
      <c r="I64">
        <f>IF(AND(I$4=1,I14=0),1,0)</f>
        <v/>
      </c>
      <c r="J64">
        <f>IF(AND(J$4=1,J14=0),1,0)</f>
        <v/>
      </c>
      <c r="K64">
        <f>IF(AND(K$4=1,K14=0),1,0)</f>
        <v/>
      </c>
      <c r="L64">
        <f>IF(AND(L$4=1,L14=0),1,0)</f>
        <v/>
      </c>
      <c r="M64">
        <f>IF(AND(M$4=1,M14=0),1,0)</f>
        <v/>
      </c>
      <c r="N64">
        <f>IF(AND(N$4=1,N14=0),1,0)</f>
        <v/>
      </c>
      <c r="O64">
        <f>IF(AND(O$4=1,O14=0),1,0)</f>
        <v/>
      </c>
      <c r="P64">
        <f>IF(AND(P$4=1,P14=0),1,0)</f>
        <v/>
      </c>
      <c r="Q64">
        <f>IF(AND(Q$4=1,Q14=0),1,0)</f>
        <v/>
      </c>
      <c r="R64">
        <f>IF(AND(R$4=1,R14=0),1,0)</f>
        <v/>
      </c>
      <c r="S64">
        <f>IF(AND(S$4=1,S14=0),1,0)</f>
        <v/>
      </c>
      <c r="T64">
        <f>IF(AND(T$4=1,T14=0),1,0)</f>
        <v/>
      </c>
      <c r="U64">
        <f>IF(AND(U$4=1,U14=0),1,0)</f>
        <v/>
      </c>
      <c r="V64">
        <f>IF(AND(V$4=1,V14=0),1,0)</f>
        <v/>
      </c>
      <c r="W64">
        <f>IF(AND(W$4=1,W14=0),1,0)</f>
        <v/>
      </c>
      <c r="X64">
        <f>IF(AND(X$4=1,X14=0),1,0)</f>
        <v/>
      </c>
      <c r="Y64">
        <f>IF(AND(Y$4=1,Y14=0),1,0)</f>
        <v/>
      </c>
      <c r="Z64">
        <f>IF(AND(Z$4=1,Z14=0),1,0)</f>
        <v/>
      </c>
      <c r="AA64">
        <f>IF(AND(AA$4=1,AA14=0),1,0)</f>
        <v/>
      </c>
      <c r="AB64">
        <f>IF(AND(AB$4=1,AB14=0),1,0)</f>
        <v/>
      </c>
      <c r="AC64">
        <f>IF(AND(AC$4=1,AC14=0),1,0)</f>
        <v/>
      </c>
      <c r="AD64">
        <f>IF(AND(AD$4=1,AD14=0),1,0)</f>
        <v/>
      </c>
      <c r="AE64">
        <f>IF(AND(AE$4=1,AE14=0),1,0)</f>
        <v/>
      </c>
      <c r="AF64">
        <f>IF(AND(AF$4=1,AF14=0),1,0)</f>
        <v/>
      </c>
      <c r="AG64">
        <f>IF(AND(AG$4=1,AG14=0),1,0)</f>
        <v/>
      </c>
      <c r="AH64">
        <f>IF(AND(AH$4=1,AH14=0),1,0)</f>
        <v/>
      </c>
      <c r="AI64">
        <f>IF(AND(AI$4=1,AI14=0),1,0)</f>
        <v/>
      </c>
      <c r="AJ64">
        <f>IF(AND(AJ$4=1,AJ14=0),1,0)</f>
        <v/>
      </c>
      <c r="AK64">
        <f>IF(AND(AK$4=1,AK14=0),1,0)</f>
        <v/>
      </c>
      <c r="AL64">
        <f>IF(AND(AL$4=1,AL14=0),1,0)</f>
        <v/>
      </c>
      <c r="AM64">
        <f>IF(AND(AM$4=1,AM14=0),1,0)</f>
        <v/>
      </c>
      <c r="AN64">
        <f>IF(AND(AN$4=1,AN14=0),1,0)</f>
        <v/>
      </c>
      <c r="AO64">
        <f>IF(AND(AO$4=1,AO14=0),1,0)</f>
        <v/>
      </c>
      <c r="AP64">
        <f>IF(AND(AP$4=1,AP14=0),1,0)</f>
        <v/>
      </c>
      <c r="AQ64">
        <f>IF(AND(AQ$4=1,AQ14=0),1,0)</f>
        <v/>
      </c>
      <c r="AR64">
        <f>IF(AND(AR$4=1,AR14=0),1,0)</f>
        <v/>
      </c>
      <c r="AS64">
        <f>IF(AND(AS$4=1,AS14=0),1,0)</f>
        <v/>
      </c>
      <c r="AT64">
        <f>IF(AND(AT$4=1,AT14=0),1,0)</f>
        <v/>
      </c>
      <c r="AU64">
        <f>IF(AND(AU$4=1,AU14=0),1,0)</f>
        <v/>
      </c>
      <c r="AV64">
        <f>IF(AND(AV$4=1,AV14=0),1,0)</f>
        <v/>
      </c>
      <c r="AW64">
        <f>IF(AND(AW$4=1,AW14=0),1,0)</f>
        <v/>
      </c>
      <c r="AX64">
        <f>IF(AND(AX$4=1,AX14=0),1,0)</f>
        <v/>
      </c>
      <c r="AY64">
        <f>IF(AND(AY$4=1,AY14=0),1,0)</f>
        <v/>
      </c>
      <c r="AZ64">
        <f>IF(AND(AZ$4=1,AZ14=0),1,0)</f>
        <v/>
      </c>
      <c r="BA64">
        <f>IF(AND(BA$4=1,BA14=0),1,0)</f>
        <v/>
      </c>
      <c r="BB64">
        <f>IF(AND(BB$4=1,BB14=0),1,0)</f>
        <v/>
      </c>
      <c r="BC64">
        <f>IF(AND(BC$4=1,BC14=0),1,0)</f>
        <v/>
      </c>
      <c r="BD64">
        <f>IF(AND(BD$4=1,BD14=0),1,0)</f>
        <v/>
      </c>
      <c r="BE64">
        <f>IF(AND(BE$4=1,BE14=0),1,0)</f>
        <v/>
      </c>
      <c r="BF64">
        <f>IF(AND(BF$4=1,BF14=0),1,0)</f>
        <v/>
      </c>
      <c r="BG64">
        <f>IF(AND(BG$4=1,BG14=0),1,0)</f>
        <v/>
      </c>
      <c r="BH64">
        <f>IF(AND(BH$4=1,BH14=0),1,0)</f>
        <v/>
      </c>
      <c r="BI64">
        <f>IF(AND(BI$4=1,BI14=0),1,0)</f>
        <v/>
      </c>
      <c r="BJ64">
        <f>IF(AND(BJ$4=1,BJ14=0),1,0)</f>
        <v/>
      </c>
      <c r="BK64">
        <f>IF(AND(BK$4=1,BK14=0),1,0)</f>
        <v/>
      </c>
      <c r="BL64">
        <f>IF(AND(BL$4=1,BL14=0),1,0)</f>
        <v/>
      </c>
      <c r="BM64">
        <f>IF(AND(BM$4=1,BM14=0),1,0)</f>
        <v/>
      </c>
      <c r="BN64">
        <f>IF(AND(BN$4=1,BN14=0),1,0)</f>
        <v/>
      </c>
      <c r="BO64">
        <f>IF(AND(BO$4=1,BO14=0),1,0)</f>
        <v/>
      </c>
      <c r="BP64">
        <f>IF(AND(BP$4=1,BP14=0),1,0)</f>
        <v/>
      </c>
      <c r="BQ64">
        <f>IF(AND(BQ$4=1,BQ14=0),1,0)</f>
        <v/>
      </c>
      <c r="BR64">
        <f>IF(AND(BR$4=1,BR14=0),1,0)</f>
        <v/>
      </c>
      <c r="BS64">
        <f>IF(AND(BS$4=1,BS14=0),1,0)</f>
        <v/>
      </c>
      <c r="BT64">
        <f>IF(AND(BT$4=1,BT14=0),1,0)</f>
        <v/>
      </c>
      <c r="BU64">
        <f>IF(AND(BU$4=1,BU14=0),1,0)</f>
        <v/>
      </c>
      <c r="BV64">
        <f>IF(AND(BV$4=1,BV14=0),1,0)</f>
        <v/>
      </c>
      <c r="BW64">
        <f>IF(AND(BW$4=1,BW14=0),1,0)</f>
        <v/>
      </c>
      <c r="BX64">
        <f>IF(AND(BX$4=1,BX14=0),1,0)</f>
        <v/>
      </c>
      <c r="BY64">
        <f>IF(AND(BY$4=1,BY14=0),1,0)</f>
        <v/>
      </c>
      <c r="BZ64">
        <f>IF(AND(BZ$4=1,BZ14=0),1,0)</f>
        <v/>
      </c>
      <c r="CA64">
        <f>IF(AND(CA$4=1,CA14=0),1,0)</f>
        <v/>
      </c>
      <c r="CB64">
        <f>IF(AND(CB$4=1,CB14=0),1,0)</f>
        <v/>
      </c>
      <c r="CC64">
        <f>IF(AND(CC$4=1,CC14=0),1,0)</f>
        <v/>
      </c>
      <c r="CD64">
        <f>IF(AND(CD$4=1,CD14=0),1,0)</f>
        <v/>
      </c>
      <c r="CE64">
        <f>IF(AND(CE$4=1,CE14=0),1,0)</f>
        <v/>
      </c>
      <c r="CF64">
        <f>IF(AND(CF$4=1,CF14=0),1,0)</f>
        <v/>
      </c>
      <c r="CG64">
        <f>IF(AND(CG$4=1,CG14=0),1,0)</f>
        <v/>
      </c>
      <c r="CH64">
        <f>IF(AND(CH$4=1,CH14=0),1,0)</f>
        <v/>
      </c>
      <c r="CI64">
        <f>IF(AND(CI$4=1,CI14=0),1,0)</f>
        <v/>
      </c>
      <c r="CJ64">
        <f>IF(AND(CJ$4=1,CJ14=0),1,0)</f>
        <v/>
      </c>
      <c r="CK64">
        <f>IF(AND(CK$4=1,CK14=0),1,0)</f>
        <v/>
      </c>
      <c r="CL64">
        <f>IF(AND(CL$4=1,CL14=0),1,0)</f>
        <v/>
      </c>
      <c r="CM64">
        <f>IF(AND(CM$4=1,CM14=0),1,0)</f>
        <v/>
      </c>
      <c r="CN64">
        <f>IF(AND(CN$4=1,CN14=0),1,0)</f>
        <v/>
      </c>
      <c r="CO64">
        <f>IF(AND(CO$4=1,CO14=0),1,0)</f>
        <v/>
      </c>
      <c r="CP64">
        <f>IF(AND(CP$4=1,CP14=0),1,0)</f>
        <v/>
      </c>
      <c r="CQ64">
        <f>IF(AND(CQ$4=1,CQ14=0),1,0)</f>
        <v/>
      </c>
      <c r="CR64">
        <f>IF(AND(CR$4=1,CR14=0),1,0)</f>
        <v/>
      </c>
      <c r="CS64">
        <f>IF(AND(CS$4=1,CS14=0),1,0)</f>
        <v/>
      </c>
      <c r="CT64">
        <f>IF(AND(CT$4=1,CT14=0),1,0)</f>
        <v/>
      </c>
      <c r="CU64">
        <f>IF(AND(CU$4=1,CU14=0),1,0)</f>
        <v/>
      </c>
      <c r="CV64">
        <f>IF(AND(CV$4=1,CV14=0),1,0)</f>
        <v/>
      </c>
      <c r="CW64">
        <f>IF(AND(CW$4=1,CW14=0),1,0)</f>
        <v/>
      </c>
      <c r="CX64">
        <f>IF(AND(CX$4=1,CX14=0),1,0)</f>
        <v/>
      </c>
      <c r="CY64">
        <f>IF(AND(CY$4=1,CY14=0),1,0)</f>
        <v/>
      </c>
      <c r="CZ64">
        <f>IF(AND(CZ$4=1,CZ14=0),1,0)</f>
        <v/>
      </c>
      <c r="DA64">
        <f>IF(AND(DA$4=1,DA14=0),1,0)</f>
        <v/>
      </c>
      <c r="DB64">
        <f>IF(AND(DB$4=1,DB14=0),1,0)</f>
        <v/>
      </c>
      <c r="DC64">
        <f>IF(AND(DC$4=1,DC14=0),1,0)</f>
        <v/>
      </c>
      <c r="DD64">
        <f>IF(AND(DD$4=1,DD14=0),1,0)</f>
        <v/>
      </c>
      <c r="DE64">
        <f>IF(AND(DE$4=1,DE14=0),1,0)</f>
        <v/>
      </c>
      <c r="DF64">
        <f>IF(AND(DF$4=1,DF14=0),1,0)</f>
        <v/>
      </c>
      <c r="DG64">
        <f>IF(AND(DG$4=1,DG14=0),1,0)</f>
        <v/>
      </c>
      <c r="DH64">
        <f>IF(AND(DH$4=1,DH14=0),1,0)</f>
        <v/>
      </c>
      <c r="DI64">
        <f>IF(AND(DI$4=1,DI14=0),1,0)</f>
        <v/>
      </c>
      <c r="DJ64">
        <f>IF(AND(DJ$4=1,DJ14=0),1,0)</f>
        <v/>
      </c>
      <c r="DK64">
        <f>IF(AND(DK$4=1,DK14=0),1,0)</f>
        <v/>
      </c>
      <c r="DL64">
        <f>IF(AND(DL$4=1,DL14=0),1,0)</f>
        <v/>
      </c>
      <c r="DM64">
        <f>IF(AND(DM$4=1,DM14=0),1,0)</f>
        <v/>
      </c>
      <c r="DN64">
        <f>IF(AND(DN$4=1,DN14=0),1,0)</f>
        <v/>
      </c>
      <c r="DO64">
        <f>IF(AND(DO$4=1,DO14=0),1,0)</f>
        <v/>
      </c>
      <c r="DP64">
        <f>IF(AND(DP$4=1,DP14=0),1,0)</f>
        <v/>
      </c>
      <c r="DQ64">
        <f>IF(AND(DQ$4=1,DQ14=0),1,0)</f>
        <v/>
      </c>
      <c r="DR64">
        <f>IF(AND(DR$4=1,DR14=0),1,0)</f>
        <v/>
      </c>
      <c r="DS64">
        <f>IF(AND(DS$4=1,DS14=0),1,0)</f>
        <v/>
      </c>
      <c r="DT64">
        <f>IF(AND(DT$4=1,DT14=0),1,0)</f>
        <v/>
      </c>
      <c r="DU64">
        <f>IF(AND(DU$4=1,DU14=0),1,0)</f>
        <v/>
      </c>
      <c r="DV64">
        <f>IF(AND(DV$4=1,DV14=0),1,0)</f>
        <v/>
      </c>
      <c r="DW64">
        <f>IF(AND(DW$4=1,DW14=0),1,0)</f>
        <v/>
      </c>
      <c r="DX64">
        <f>IF(AND(DX$4=1,DX14=0),1,0)</f>
        <v/>
      </c>
      <c r="DY64">
        <f>IF(AND(DY$4=1,DY14=0),1,0)</f>
        <v/>
      </c>
      <c r="DZ64">
        <f>IF(AND(DZ$4=1,DZ14=0),1,0)</f>
        <v/>
      </c>
      <c r="EA64">
        <f>IF(AND(EA$4=1,EA14=0),1,0)</f>
        <v/>
      </c>
      <c r="EB64">
        <f>IF(AND(EB$4=1,EB14=0),1,0)</f>
        <v/>
      </c>
      <c r="EC64">
        <f>IF(AND(EC$4=1,EC14=0),1,0)</f>
        <v/>
      </c>
      <c r="ED64">
        <f>IF(AND(ED$4=1,ED14=0),1,0)</f>
        <v/>
      </c>
      <c r="EE64">
        <f>IF(AND(EE$4=1,EE14=0),1,0)</f>
        <v/>
      </c>
      <c r="EF64">
        <f>IF(AND(EF$4=1,EF14=0),1,0)</f>
        <v/>
      </c>
      <c r="EG64">
        <f>IF(AND(EG$4=1,EG14=0),1,0)</f>
        <v/>
      </c>
      <c r="EH64">
        <f>IF(AND(EH$4=1,EH14=0),1,0)</f>
        <v/>
      </c>
      <c r="EI64">
        <f>IF(AND(EI$4=1,EI14=0),1,0)</f>
        <v/>
      </c>
      <c r="EJ64">
        <f>IF(AND(EJ$4=1,EJ14=0),1,0)</f>
        <v/>
      </c>
      <c r="EK64">
        <f>IF(AND(EK$4=1,EK14=0),1,0)</f>
        <v/>
      </c>
      <c r="EL64">
        <f>IF(AND(EL$4=1,EL14=0),1,0)</f>
        <v/>
      </c>
      <c r="EM64">
        <f>IF(AND(EM$4=1,EM14=0),1,0)</f>
        <v/>
      </c>
      <c r="EN64">
        <f>IF(AND(EN$4=1,EN14=0),1,0)</f>
        <v/>
      </c>
      <c r="EO64">
        <f>IF(AND(EO$4=1,EO14=0),1,0)</f>
        <v/>
      </c>
      <c r="EP64">
        <f>IF(AND(EP$4=1,EP14=0),1,0)</f>
        <v/>
      </c>
      <c r="EQ64">
        <f>IF(AND(EQ$4=1,EQ14=0),1,0)</f>
        <v/>
      </c>
    </row>
    <row r="65">
      <c r="A65" t="n">
        <v>6</v>
      </c>
      <c r="D65">
        <f>IF(AND(D$4=1,D15=0),1,0)</f>
        <v/>
      </c>
      <c r="E65">
        <f>IF(AND(E$4=1,E15=0),1,0)</f>
        <v/>
      </c>
      <c r="F65">
        <f>IF(AND(F$4=1,F15=0),1,0)</f>
        <v/>
      </c>
      <c r="G65">
        <f>IF(AND(G$4=1,G15=0),1,0)</f>
        <v/>
      </c>
      <c r="H65">
        <f>IF(AND(H$4=1,H15=0),1,0)</f>
        <v/>
      </c>
      <c r="I65">
        <f>IF(AND(I$4=1,I15=0),1,0)</f>
        <v/>
      </c>
      <c r="J65">
        <f>IF(AND(J$4=1,J15=0),1,0)</f>
        <v/>
      </c>
      <c r="K65">
        <f>IF(AND(K$4=1,K15=0),1,0)</f>
        <v/>
      </c>
      <c r="L65">
        <f>IF(AND(L$4=1,L15=0),1,0)</f>
        <v/>
      </c>
      <c r="M65">
        <f>IF(AND(M$4=1,M15=0),1,0)</f>
        <v/>
      </c>
      <c r="N65">
        <f>IF(AND(N$4=1,N15=0),1,0)</f>
        <v/>
      </c>
      <c r="O65">
        <f>IF(AND(O$4=1,O15=0),1,0)</f>
        <v/>
      </c>
      <c r="P65">
        <f>IF(AND(P$4=1,P15=0),1,0)</f>
        <v/>
      </c>
      <c r="Q65">
        <f>IF(AND(Q$4=1,Q15=0),1,0)</f>
        <v/>
      </c>
      <c r="R65">
        <f>IF(AND(R$4=1,R15=0),1,0)</f>
        <v/>
      </c>
      <c r="S65">
        <f>IF(AND(S$4=1,S15=0),1,0)</f>
        <v/>
      </c>
      <c r="T65">
        <f>IF(AND(T$4=1,T15=0),1,0)</f>
        <v/>
      </c>
      <c r="U65">
        <f>IF(AND(U$4=1,U15=0),1,0)</f>
        <v/>
      </c>
      <c r="V65">
        <f>IF(AND(V$4=1,V15=0),1,0)</f>
        <v/>
      </c>
      <c r="W65">
        <f>IF(AND(W$4=1,W15=0),1,0)</f>
        <v/>
      </c>
      <c r="X65">
        <f>IF(AND(X$4=1,X15=0),1,0)</f>
        <v/>
      </c>
      <c r="Y65">
        <f>IF(AND(Y$4=1,Y15=0),1,0)</f>
        <v/>
      </c>
      <c r="Z65">
        <f>IF(AND(Z$4=1,Z15=0),1,0)</f>
        <v/>
      </c>
      <c r="AA65">
        <f>IF(AND(AA$4=1,AA15=0),1,0)</f>
        <v/>
      </c>
      <c r="AB65">
        <f>IF(AND(AB$4=1,AB15=0),1,0)</f>
        <v/>
      </c>
      <c r="AC65">
        <f>IF(AND(AC$4=1,AC15=0),1,0)</f>
        <v/>
      </c>
      <c r="AD65">
        <f>IF(AND(AD$4=1,AD15=0),1,0)</f>
        <v/>
      </c>
      <c r="AE65">
        <f>IF(AND(AE$4=1,AE15=0),1,0)</f>
        <v/>
      </c>
      <c r="AF65">
        <f>IF(AND(AF$4=1,AF15=0),1,0)</f>
        <v/>
      </c>
      <c r="AG65">
        <f>IF(AND(AG$4=1,AG15=0),1,0)</f>
        <v/>
      </c>
      <c r="AH65">
        <f>IF(AND(AH$4=1,AH15=0),1,0)</f>
        <v/>
      </c>
      <c r="AI65">
        <f>IF(AND(AI$4=1,AI15=0),1,0)</f>
        <v/>
      </c>
      <c r="AJ65">
        <f>IF(AND(AJ$4=1,AJ15=0),1,0)</f>
        <v/>
      </c>
      <c r="AK65">
        <f>IF(AND(AK$4=1,AK15=0),1,0)</f>
        <v/>
      </c>
      <c r="AL65">
        <f>IF(AND(AL$4=1,AL15=0),1,0)</f>
        <v/>
      </c>
      <c r="AM65">
        <f>IF(AND(AM$4=1,AM15=0),1,0)</f>
        <v/>
      </c>
      <c r="AN65">
        <f>IF(AND(AN$4=1,AN15=0),1,0)</f>
        <v/>
      </c>
      <c r="AO65">
        <f>IF(AND(AO$4=1,AO15=0),1,0)</f>
        <v/>
      </c>
      <c r="AP65">
        <f>IF(AND(AP$4=1,AP15=0),1,0)</f>
        <v/>
      </c>
      <c r="AQ65">
        <f>IF(AND(AQ$4=1,AQ15=0),1,0)</f>
        <v/>
      </c>
      <c r="AR65">
        <f>IF(AND(AR$4=1,AR15=0),1,0)</f>
        <v/>
      </c>
      <c r="AS65">
        <f>IF(AND(AS$4=1,AS15=0),1,0)</f>
        <v/>
      </c>
      <c r="AT65">
        <f>IF(AND(AT$4=1,AT15=0),1,0)</f>
        <v/>
      </c>
      <c r="AU65">
        <f>IF(AND(AU$4=1,AU15=0),1,0)</f>
        <v/>
      </c>
      <c r="AV65">
        <f>IF(AND(AV$4=1,AV15=0),1,0)</f>
        <v/>
      </c>
      <c r="AW65">
        <f>IF(AND(AW$4=1,AW15=0),1,0)</f>
        <v/>
      </c>
      <c r="AX65">
        <f>IF(AND(AX$4=1,AX15=0),1,0)</f>
        <v/>
      </c>
      <c r="AY65">
        <f>IF(AND(AY$4=1,AY15=0),1,0)</f>
        <v/>
      </c>
      <c r="AZ65">
        <f>IF(AND(AZ$4=1,AZ15=0),1,0)</f>
        <v/>
      </c>
      <c r="BA65">
        <f>IF(AND(BA$4=1,BA15=0),1,0)</f>
        <v/>
      </c>
      <c r="BB65">
        <f>IF(AND(BB$4=1,BB15=0),1,0)</f>
        <v/>
      </c>
      <c r="BC65">
        <f>IF(AND(BC$4=1,BC15=0),1,0)</f>
        <v/>
      </c>
      <c r="BD65">
        <f>IF(AND(BD$4=1,BD15=0),1,0)</f>
        <v/>
      </c>
      <c r="BE65">
        <f>IF(AND(BE$4=1,BE15=0),1,0)</f>
        <v/>
      </c>
      <c r="BF65">
        <f>IF(AND(BF$4=1,BF15=0),1,0)</f>
        <v/>
      </c>
      <c r="BG65">
        <f>IF(AND(BG$4=1,BG15=0),1,0)</f>
        <v/>
      </c>
      <c r="BH65">
        <f>IF(AND(BH$4=1,BH15=0),1,0)</f>
        <v/>
      </c>
      <c r="BI65">
        <f>IF(AND(BI$4=1,BI15=0),1,0)</f>
        <v/>
      </c>
      <c r="BJ65">
        <f>IF(AND(BJ$4=1,BJ15=0),1,0)</f>
        <v/>
      </c>
      <c r="BK65">
        <f>IF(AND(BK$4=1,BK15=0),1,0)</f>
        <v/>
      </c>
      <c r="BL65">
        <f>IF(AND(BL$4=1,BL15=0),1,0)</f>
        <v/>
      </c>
      <c r="BM65">
        <f>IF(AND(BM$4=1,BM15=0),1,0)</f>
        <v/>
      </c>
      <c r="BN65">
        <f>IF(AND(BN$4=1,BN15=0),1,0)</f>
        <v/>
      </c>
      <c r="BO65">
        <f>IF(AND(BO$4=1,BO15=0),1,0)</f>
        <v/>
      </c>
      <c r="BP65">
        <f>IF(AND(BP$4=1,BP15=0),1,0)</f>
        <v/>
      </c>
      <c r="BQ65">
        <f>IF(AND(BQ$4=1,BQ15=0),1,0)</f>
        <v/>
      </c>
      <c r="BR65">
        <f>IF(AND(BR$4=1,BR15=0),1,0)</f>
        <v/>
      </c>
      <c r="BS65">
        <f>IF(AND(BS$4=1,BS15=0),1,0)</f>
        <v/>
      </c>
      <c r="BT65">
        <f>IF(AND(BT$4=1,BT15=0),1,0)</f>
        <v/>
      </c>
      <c r="BU65">
        <f>IF(AND(BU$4=1,BU15=0),1,0)</f>
        <v/>
      </c>
      <c r="BV65">
        <f>IF(AND(BV$4=1,BV15=0),1,0)</f>
        <v/>
      </c>
      <c r="BW65">
        <f>IF(AND(BW$4=1,BW15=0),1,0)</f>
        <v/>
      </c>
      <c r="BX65">
        <f>IF(AND(BX$4=1,BX15=0),1,0)</f>
        <v/>
      </c>
      <c r="BY65">
        <f>IF(AND(BY$4=1,BY15=0),1,0)</f>
        <v/>
      </c>
      <c r="BZ65">
        <f>IF(AND(BZ$4=1,BZ15=0),1,0)</f>
        <v/>
      </c>
      <c r="CA65">
        <f>IF(AND(CA$4=1,CA15=0),1,0)</f>
        <v/>
      </c>
      <c r="CB65">
        <f>IF(AND(CB$4=1,CB15=0),1,0)</f>
        <v/>
      </c>
      <c r="CC65">
        <f>IF(AND(CC$4=1,CC15=0),1,0)</f>
        <v/>
      </c>
      <c r="CD65">
        <f>IF(AND(CD$4=1,CD15=0),1,0)</f>
        <v/>
      </c>
      <c r="CE65">
        <f>IF(AND(CE$4=1,CE15=0),1,0)</f>
        <v/>
      </c>
      <c r="CF65">
        <f>IF(AND(CF$4=1,CF15=0),1,0)</f>
        <v/>
      </c>
      <c r="CG65">
        <f>IF(AND(CG$4=1,CG15=0),1,0)</f>
        <v/>
      </c>
      <c r="CH65">
        <f>IF(AND(CH$4=1,CH15=0),1,0)</f>
        <v/>
      </c>
      <c r="CI65">
        <f>IF(AND(CI$4=1,CI15=0),1,0)</f>
        <v/>
      </c>
      <c r="CJ65">
        <f>IF(AND(CJ$4=1,CJ15=0),1,0)</f>
        <v/>
      </c>
      <c r="CK65">
        <f>IF(AND(CK$4=1,CK15=0),1,0)</f>
        <v/>
      </c>
      <c r="CL65">
        <f>IF(AND(CL$4=1,CL15=0),1,0)</f>
        <v/>
      </c>
      <c r="CM65">
        <f>IF(AND(CM$4=1,CM15=0),1,0)</f>
        <v/>
      </c>
      <c r="CN65">
        <f>IF(AND(CN$4=1,CN15=0),1,0)</f>
        <v/>
      </c>
      <c r="CO65">
        <f>IF(AND(CO$4=1,CO15=0),1,0)</f>
        <v/>
      </c>
      <c r="CP65">
        <f>IF(AND(CP$4=1,CP15=0),1,0)</f>
        <v/>
      </c>
      <c r="CQ65">
        <f>IF(AND(CQ$4=1,CQ15=0),1,0)</f>
        <v/>
      </c>
      <c r="CR65">
        <f>IF(AND(CR$4=1,CR15=0),1,0)</f>
        <v/>
      </c>
      <c r="CS65">
        <f>IF(AND(CS$4=1,CS15=0),1,0)</f>
        <v/>
      </c>
      <c r="CT65">
        <f>IF(AND(CT$4=1,CT15=0),1,0)</f>
        <v/>
      </c>
      <c r="CU65">
        <f>IF(AND(CU$4=1,CU15=0),1,0)</f>
        <v/>
      </c>
      <c r="CV65">
        <f>IF(AND(CV$4=1,CV15=0),1,0)</f>
        <v/>
      </c>
      <c r="CW65">
        <f>IF(AND(CW$4=1,CW15=0),1,0)</f>
        <v/>
      </c>
      <c r="CX65">
        <f>IF(AND(CX$4=1,CX15=0),1,0)</f>
        <v/>
      </c>
      <c r="CY65">
        <f>IF(AND(CY$4=1,CY15=0),1,0)</f>
        <v/>
      </c>
      <c r="CZ65">
        <f>IF(AND(CZ$4=1,CZ15=0),1,0)</f>
        <v/>
      </c>
      <c r="DA65">
        <f>IF(AND(DA$4=1,DA15=0),1,0)</f>
        <v/>
      </c>
      <c r="DB65">
        <f>IF(AND(DB$4=1,DB15=0),1,0)</f>
        <v/>
      </c>
      <c r="DC65">
        <f>IF(AND(DC$4=1,DC15=0),1,0)</f>
        <v/>
      </c>
      <c r="DD65">
        <f>IF(AND(DD$4=1,DD15=0),1,0)</f>
        <v/>
      </c>
      <c r="DE65">
        <f>IF(AND(DE$4=1,DE15=0),1,0)</f>
        <v/>
      </c>
      <c r="DF65">
        <f>IF(AND(DF$4=1,DF15=0),1,0)</f>
        <v/>
      </c>
      <c r="DG65">
        <f>IF(AND(DG$4=1,DG15=0),1,0)</f>
        <v/>
      </c>
      <c r="DH65">
        <f>IF(AND(DH$4=1,DH15=0),1,0)</f>
        <v/>
      </c>
      <c r="DI65">
        <f>IF(AND(DI$4=1,DI15=0),1,0)</f>
        <v/>
      </c>
      <c r="DJ65">
        <f>IF(AND(DJ$4=1,DJ15=0),1,0)</f>
        <v/>
      </c>
      <c r="DK65">
        <f>IF(AND(DK$4=1,DK15=0),1,0)</f>
        <v/>
      </c>
      <c r="DL65">
        <f>IF(AND(DL$4=1,DL15=0),1,0)</f>
        <v/>
      </c>
      <c r="DM65">
        <f>IF(AND(DM$4=1,DM15=0),1,0)</f>
        <v/>
      </c>
      <c r="DN65">
        <f>IF(AND(DN$4=1,DN15=0),1,0)</f>
        <v/>
      </c>
      <c r="DO65">
        <f>IF(AND(DO$4=1,DO15=0),1,0)</f>
        <v/>
      </c>
      <c r="DP65">
        <f>IF(AND(DP$4=1,DP15=0),1,0)</f>
        <v/>
      </c>
      <c r="DQ65">
        <f>IF(AND(DQ$4=1,DQ15=0),1,0)</f>
        <v/>
      </c>
      <c r="DR65">
        <f>IF(AND(DR$4=1,DR15=0),1,0)</f>
        <v/>
      </c>
      <c r="DS65">
        <f>IF(AND(DS$4=1,DS15=0),1,0)</f>
        <v/>
      </c>
      <c r="DT65">
        <f>IF(AND(DT$4=1,DT15=0),1,0)</f>
        <v/>
      </c>
      <c r="DU65">
        <f>IF(AND(DU$4=1,DU15=0),1,0)</f>
        <v/>
      </c>
      <c r="DV65">
        <f>IF(AND(DV$4=1,DV15=0),1,0)</f>
        <v/>
      </c>
      <c r="DW65">
        <f>IF(AND(DW$4=1,DW15=0),1,0)</f>
        <v/>
      </c>
      <c r="DX65">
        <f>IF(AND(DX$4=1,DX15=0),1,0)</f>
        <v/>
      </c>
      <c r="DY65">
        <f>IF(AND(DY$4=1,DY15=0),1,0)</f>
        <v/>
      </c>
      <c r="DZ65">
        <f>IF(AND(DZ$4=1,DZ15=0),1,0)</f>
        <v/>
      </c>
      <c r="EA65">
        <f>IF(AND(EA$4=1,EA15=0),1,0)</f>
        <v/>
      </c>
      <c r="EB65">
        <f>IF(AND(EB$4=1,EB15=0),1,0)</f>
        <v/>
      </c>
      <c r="EC65">
        <f>IF(AND(EC$4=1,EC15=0),1,0)</f>
        <v/>
      </c>
      <c r="ED65">
        <f>IF(AND(ED$4=1,ED15=0),1,0)</f>
        <v/>
      </c>
      <c r="EE65">
        <f>IF(AND(EE$4=1,EE15=0),1,0)</f>
        <v/>
      </c>
      <c r="EF65">
        <f>IF(AND(EF$4=1,EF15=0),1,0)</f>
        <v/>
      </c>
      <c r="EG65">
        <f>IF(AND(EG$4=1,EG15=0),1,0)</f>
        <v/>
      </c>
      <c r="EH65">
        <f>IF(AND(EH$4=1,EH15=0),1,0)</f>
        <v/>
      </c>
      <c r="EI65">
        <f>IF(AND(EI$4=1,EI15=0),1,0)</f>
        <v/>
      </c>
      <c r="EJ65">
        <f>IF(AND(EJ$4=1,EJ15=0),1,0)</f>
        <v/>
      </c>
      <c r="EK65">
        <f>IF(AND(EK$4=1,EK15=0),1,0)</f>
        <v/>
      </c>
      <c r="EL65">
        <f>IF(AND(EL$4=1,EL15=0),1,0)</f>
        <v/>
      </c>
      <c r="EM65">
        <f>IF(AND(EM$4=1,EM15=0),1,0)</f>
        <v/>
      </c>
      <c r="EN65">
        <f>IF(AND(EN$4=1,EN15=0),1,0)</f>
        <v/>
      </c>
      <c r="EO65">
        <f>IF(AND(EO$4=1,EO15=0),1,0)</f>
        <v/>
      </c>
      <c r="EP65">
        <f>IF(AND(EP$4=1,EP15=0),1,0)</f>
        <v/>
      </c>
      <c r="EQ65">
        <f>IF(AND(EQ$4=1,EQ15=0),1,0)</f>
        <v/>
      </c>
    </row>
    <row r="66">
      <c r="A66" t="n">
        <v>7</v>
      </c>
      <c r="D66">
        <f>IF(AND(D$4=1,D16=0),1,0)</f>
        <v/>
      </c>
      <c r="E66">
        <f>IF(AND(E$4=1,E16=0),1,0)</f>
        <v/>
      </c>
      <c r="F66">
        <f>IF(AND(F$4=1,F16=0),1,0)</f>
        <v/>
      </c>
      <c r="G66">
        <f>IF(AND(G$4=1,G16=0),1,0)</f>
        <v/>
      </c>
      <c r="H66">
        <f>IF(AND(H$4=1,H16=0),1,0)</f>
        <v/>
      </c>
      <c r="I66">
        <f>IF(AND(I$4=1,I16=0),1,0)</f>
        <v/>
      </c>
      <c r="J66">
        <f>IF(AND(J$4=1,J16=0),1,0)</f>
        <v/>
      </c>
      <c r="K66">
        <f>IF(AND(K$4=1,K16=0),1,0)</f>
        <v/>
      </c>
      <c r="L66">
        <f>IF(AND(L$4=1,L16=0),1,0)</f>
        <v/>
      </c>
      <c r="M66">
        <f>IF(AND(M$4=1,M16=0),1,0)</f>
        <v/>
      </c>
      <c r="N66">
        <f>IF(AND(N$4=1,N16=0),1,0)</f>
        <v/>
      </c>
      <c r="O66">
        <f>IF(AND(O$4=1,O16=0),1,0)</f>
        <v/>
      </c>
      <c r="P66">
        <f>IF(AND(P$4=1,P16=0),1,0)</f>
        <v/>
      </c>
      <c r="Q66">
        <f>IF(AND(Q$4=1,Q16=0),1,0)</f>
        <v/>
      </c>
      <c r="R66">
        <f>IF(AND(R$4=1,R16=0),1,0)</f>
        <v/>
      </c>
      <c r="S66">
        <f>IF(AND(S$4=1,S16=0),1,0)</f>
        <v/>
      </c>
      <c r="T66">
        <f>IF(AND(T$4=1,T16=0),1,0)</f>
        <v/>
      </c>
      <c r="U66">
        <f>IF(AND(U$4=1,U16=0),1,0)</f>
        <v/>
      </c>
      <c r="V66">
        <f>IF(AND(V$4=1,V16=0),1,0)</f>
        <v/>
      </c>
      <c r="W66">
        <f>IF(AND(W$4=1,W16=0),1,0)</f>
        <v/>
      </c>
      <c r="X66">
        <f>IF(AND(X$4=1,X16=0),1,0)</f>
        <v/>
      </c>
      <c r="Y66">
        <f>IF(AND(Y$4=1,Y16=0),1,0)</f>
        <v/>
      </c>
      <c r="Z66">
        <f>IF(AND(Z$4=1,Z16=0),1,0)</f>
        <v/>
      </c>
      <c r="AA66">
        <f>IF(AND(AA$4=1,AA16=0),1,0)</f>
        <v/>
      </c>
      <c r="AB66">
        <f>IF(AND(AB$4=1,AB16=0),1,0)</f>
        <v/>
      </c>
      <c r="AC66">
        <f>IF(AND(AC$4=1,AC16=0),1,0)</f>
        <v/>
      </c>
      <c r="AD66">
        <f>IF(AND(AD$4=1,AD16=0),1,0)</f>
        <v/>
      </c>
      <c r="AE66">
        <f>IF(AND(AE$4=1,AE16=0),1,0)</f>
        <v/>
      </c>
      <c r="AF66">
        <f>IF(AND(AF$4=1,AF16=0),1,0)</f>
        <v/>
      </c>
      <c r="AG66">
        <f>IF(AND(AG$4=1,AG16=0),1,0)</f>
        <v/>
      </c>
      <c r="AH66">
        <f>IF(AND(AH$4=1,AH16=0),1,0)</f>
        <v/>
      </c>
      <c r="AI66">
        <f>IF(AND(AI$4=1,AI16=0),1,0)</f>
        <v/>
      </c>
      <c r="AJ66">
        <f>IF(AND(AJ$4=1,AJ16=0),1,0)</f>
        <v/>
      </c>
      <c r="AK66">
        <f>IF(AND(AK$4=1,AK16=0),1,0)</f>
        <v/>
      </c>
      <c r="AL66">
        <f>IF(AND(AL$4=1,AL16=0),1,0)</f>
        <v/>
      </c>
      <c r="AM66">
        <f>IF(AND(AM$4=1,AM16=0),1,0)</f>
        <v/>
      </c>
      <c r="AN66">
        <f>IF(AND(AN$4=1,AN16=0),1,0)</f>
        <v/>
      </c>
      <c r="AO66">
        <f>IF(AND(AO$4=1,AO16=0),1,0)</f>
        <v/>
      </c>
      <c r="AP66">
        <f>IF(AND(AP$4=1,AP16=0),1,0)</f>
        <v/>
      </c>
      <c r="AQ66">
        <f>IF(AND(AQ$4=1,AQ16=0),1,0)</f>
        <v/>
      </c>
      <c r="AR66">
        <f>IF(AND(AR$4=1,AR16=0),1,0)</f>
        <v/>
      </c>
      <c r="AS66">
        <f>IF(AND(AS$4=1,AS16=0),1,0)</f>
        <v/>
      </c>
      <c r="AT66">
        <f>IF(AND(AT$4=1,AT16=0),1,0)</f>
        <v/>
      </c>
      <c r="AU66">
        <f>IF(AND(AU$4=1,AU16=0),1,0)</f>
        <v/>
      </c>
      <c r="AV66">
        <f>IF(AND(AV$4=1,AV16=0),1,0)</f>
        <v/>
      </c>
      <c r="AW66">
        <f>IF(AND(AW$4=1,AW16=0),1,0)</f>
        <v/>
      </c>
      <c r="AX66">
        <f>IF(AND(AX$4=1,AX16=0),1,0)</f>
        <v/>
      </c>
      <c r="AY66">
        <f>IF(AND(AY$4=1,AY16=0),1,0)</f>
        <v/>
      </c>
      <c r="AZ66">
        <f>IF(AND(AZ$4=1,AZ16=0),1,0)</f>
        <v/>
      </c>
      <c r="BA66">
        <f>IF(AND(BA$4=1,BA16=0),1,0)</f>
        <v/>
      </c>
      <c r="BB66">
        <f>IF(AND(BB$4=1,BB16=0),1,0)</f>
        <v/>
      </c>
      <c r="BC66">
        <f>IF(AND(BC$4=1,BC16=0),1,0)</f>
        <v/>
      </c>
      <c r="BD66">
        <f>IF(AND(BD$4=1,BD16=0),1,0)</f>
        <v/>
      </c>
      <c r="BE66">
        <f>IF(AND(BE$4=1,BE16=0),1,0)</f>
        <v/>
      </c>
      <c r="BF66">
        <f>IF(AND(BF$4=1,BF16=0),1,0)</f>
        <v/>
      </c>
      <c r="BG66">
        <f>IF(AND(BG$4=1,BG16=0),1,0)</f>
        <v/>
      </c>
      <c r="BH66">
        <f>IF(AND(BH$4=1,BH16=0),1,0)</f>
        <v/>
      </c>
      <c r="BI66">
        <f>IF(AND(BI$4=1,BI16=0),1,0)</f>
        <v/>
      </c>
      <c r="BJ66">
        <f>IF(AND(BJ$4=1,BJ16=0),1,0)</f>
        <v/>
      </c>
      <c r="BK66">
        <f>IF(AND(BK$4=1,BK16=0),1,0)</f>
        <v/>
      </c>
      <c r="BL66">
        <f>IF(AND(BL$4=1,BL16=0),1,0)</f>
        <v/>
      </c>
      <c r="BM66">
        <f>IF(AND(BM$4=1,BM16=0),1,0)</f>
        <v/>
      </c>
      <c r="BN66">
        <f>IF(AND(BN$4=1,BN16=0),1,0)</f>
        <v/>
      </c>
      <c r="BO66">
        <f>IF(AND(BO$4=1,BO16=0),1,0)</f>
        <v/>
      </c>
      <c r="BP66">
        <f>IF(AND(BP$4=1,BP16=0),1,0)</f>
        <v/>
      </c>
      <c r="BQ66">
        <f>IF(AND(BQ$4=1,BQ16=0),1,0)</f>
        <v/>
      </c>
      <c r="BR66">
        <f>IF(AND(BR$4=1,BR16=0),1,0)</f>
        <v/>
      </c>
      <c r="BS66">
        <f>IF(AND(BS$4=1,BS16=0),1,0)</f>
        <v/>
      </c>
      <c r="BT66">
        <f>IF(AND(BT$4=1,BT16=0),1,0)</f>
        <v/>
      </c>
      <c r="BU66">
        <f>IF(AND(BU$4=1,BU16=0),1,0)</f>
        <v/>
      </c>
      <c r="BV66">
        <f>IF(AND(BV$4=1,BV16=0),1,0)</f>
        <v/>
      </c>
      <c r="BW66">
        <f>IF(AND(BW$4=1,BW16=0),1,0)</f>
        <v/>
      </c>
      <c r="BX66">
        <f>IF(AND(BX$4=1,BX16=0),1,0)</f>
        <v/>
      </c>
      <c r="BY66">
        <f>IF(AND(BY$4=1,BY16=0),1,0)</f>
        <v/>
      </c>
      <c r="BZ66">
        <f>IF(AND(BZ$4=1,BZ16=0),1,0)</f>
        <v/>
      </c>
      <c r="CA66">
        <f>IF(AND(CA$4=1,CA16=0),1,0)</f>
        <v/>
      </c>
      <c r="CB66">
        <f>IF(AND(CB$4=1,CB16=0),1,0)</f>
        <v/>
      </c>
      <c r="CC66">
        <f>IF(AND(CC$4=1,CC16=0),1,0)</f>
        <v/>
      </c>
      <c r="CD66">
        <f>IF(AND(CD$4=1,CD16=0),1,0)</f>
        <v/>
      </c>
      <c r="CE66">
        <f>IF(AND(CE$4=1,CE16=0),1,0)</f>
        <v/>
      </c>
      <c r="CF66">
        <f>IF(AND(CF$4=1,CF16=0),1,0)</f>
        <v/>
      </c>
      <c r="CG66">
        <f>IF(AND(CG$4=1,CG16=0),1,0)</f>
        <v/>
      </c>
      <c r="CH66">
        <f>IF(AND(CH$4=1,CH16=0),1,0)</f>
        <v/>
      </c>
      <c r="CI66">
        <f>IF(AND(CI$4=1,CI16=0),1,0)</f>
        <v/>
      </c>
      <c r="CJ66">
        <f>IF(AND(CJ$4=1,CJ16=0),1,0)</f>
        <v/>
      </c>
      <c r="CK66">
        <f>IF(AND(CK$4=1,CK16=0),1,0)</f>
        <v/>
      </c>
      <c r="CL66">
        <f>IF(AND(CL$4=1,CL16=0),1,0)</f>
        <v/>
      </c>
      <c r="CM66">
        <f>IF(AND(CM$4=1,CM16=0),1,0)</f>
        <v/>
      </c>
      <c r="CN66">
        <f>IF(AND(CN$4=1,CN16=0),1,0)</f>
        <v/>
      </c>
      <c r="CO66">
        <f>IF(AND(CO$4=1,CO16=0),1,0)</f>
        <v/>
      </c>
      <c r="CP66">
        <f>IF(AND(CP$4=1,CP16=0),1,0)</f>
        <v/>
      </c>
      <c r="CQ66">
        <f>IF(AND(CQ$4=1,CQ16=0),1,0)</f>
        <v/>
      </c>
      <c r="CR66">
        <f>IF(AND(CR$4=1,CR16=0),1,0)</f>
        <v/>
      </c>
      <c r="CS66">
        <f>IF(AND(CS$4=1,CS16=0),1,0)</f>
        <v/>
      </c>
      <c r="CT66">
        <f>IF(AND(CT$4=1,CT16=0),1,0)</f>
        <v/>
      </c>
      <c r="CU66">
        <f>IF(AND(CU$4=1,CU16=0),1,0)</f>
        <v/>
      </c>
      <c r="CV66">
        <f>IF(AND(CV$4=1,CV16=0),1,0)</f>
        <v/>
      </c>
      <c r="CW66">
        <f>IF(AND(CW$4=1,CW16=0),1,0)</f>
        <v/>
      </c>
      <c r="CX66">
        <f>IF(AND(CX$4=1,CX16=0),1,0)</f>
        <v/>
      </c>
      <c r="CY66">
        <f>IF(AND(CY$4=1,CY16=0),1,0)</f>
        <v/>
      </c>
      <c r="CZ66">
        <f>IF(AND(CZ$4=1,CZ16=0),1,0)</f>
        <v/>
      </c>
      <c r="DA66">
        <f>IF(AND(DA$4=1,DA16=0),1,0)</f>
        <v/>
      </c>
      <c r="DB66">
        <f>IF(AND(DB$4=1,DB16=0),1,0)</f>
        <v/>
      </c>
      <c r="DC66">
        <f>IF(AND(DC$4=1,DC16=0),1,0)</f>
        <v/>
      </c>
      <c r="DD66">
        <f>IF(AND(DD$4=1,DD16=0),1,0)</f>
        <v/>
      </c>
      <c r="DE66">
        <f>IF(AND(DE$4=1,DE16=0),1,0)</f>
        <v/>
      </c>
      <c r="DF66">
        <f>IF(AND(DF$4=1,DF16=0),1,0)</f>
        <v/>
      </c>
      <c r="DG66">
        <f>IF(AND(DG$4=1,DG16=0),1,0)</f>
        <v/>
      </c>
      <c r="DH66">
        <f>IF(AND(DH$4=1,DH16=0),1,0)</f>
        <v/>
      </c>
      <c r="DI66">
        <f>IF(AND(DI$4=1,DI16=0),1,0)</f>
        <v/>
      </c>
      <c r="DJ66">
        <f>IF(AND(DJ$4=1,DJ16=0),1,0)</f>
        <v/>
      </c>
      <c r="DK66">
        <f>IF(AND(DK$4=1,DK16=0),1,0)</f>
        <v/>
      </c>
      <c r="DL66">
        <f>IF(AND(DL$4=1,DL16=0),1,0)</f>
        <v/>
      </c>
      <c r="DM66">
        <f>IF(AND(DM$4=1,DM16=0),1,0)</f>
        <v/>
      </c>
      <c r="DN66">
        <f>IF(AND(DN$4=1,DN16=0),1,0)</f>
        <v/>
      </c>
      <c r="DO66">
        <f>IF(AND(DO$4=1,DO16=0),1,0)</f>
        <v/>
      </c>
      <c r="DP66">
        <f>IF(AND(DP$4=1,DP16=0),1,0)</f>
        <v/>
      </c>
      <c r="DQ66">
        <f>IF(AND(DQ$4=1,DQ16=0),1,0)</f>
        <v/>
      </c>
      <c r="DR66">
        <f>IF(AND(DR$4=1,DR16=0),1,0)</f>
        <v/>
      </c>
      <c r="DS66">
        <f>IF(AND(DS$4=1,DS16=0),1,0)</f>
        <v/>
      </c>
      <c r="DT66">
        <f>IF(AND(DT$4=1,DT16=0),1,0)</f>
        <v/>
      </c>
      <c r="DU66">
        <f>IF(AND(DU$4=1,DU16=0),1,0)</f>
        <v/>
      </c>
      <c r="DV66">
        <f>IF(AND(DV$4=1,DV16=0),1,0)</f>
        <v/>
      </c>
      <c r="DW66">
        <f>IF(AND(DW$4=1,DW16=0),1,0)</f>
        <v/>
      </c>
      <c r="DX66">
        <f>IF(AND(DX$4=1,DX16=0),1,0)</f>
        <v/>
      </c>
      <c r="DY66">
        <f>IF(AND(DY$4=1,DY16=0),1,0)</f>
        <v/>
      </c>
      <c r="DZ66">
        <f>IF(AND(DZ$4=1,DZ16=0),1,0)</f>
        <v/>
      </c>
      <c r="EA66">
        <f>IF(AND(EA$4=1,EA16=0),1,0)</f>
        <v/>
      </c>
      <c r="EB66">
        <f>IF(AND(EB$4=1,EB16=0),1,0)</f>
        <v/>
      </c>
      <c r="EC66">
        <f>IF(AND(EC$4=1,EC16=0),1,0)</f>
        <v/>
      </c>
      <c r="ED66">
        <f>IF(AND(ED$4=1,ED16=0),1,0)</f>
        <v/>
      </c>
      <c r="EE66">
        <f>IF(AND(EE$4=1,EE16=0),1,0)</f>
        <v/>
      </c>
      <c r="EF66">
        <f>IF(AND(EF$4=1,EF16=0),1,0)</f>
        <v/>
      </c>
      <c r="EG66">
        <f>IF(AND(EG$4=1,EG16=0),1,0)</f>
        <v/>
      </c>
      <c r="EH66">
        <f>IF(AND(EH$4=1,EH16=0),1,0)</f>
        <v/>
      </c>
      <c r="EI66">
        <f>IF(AND(EI$4=1,EI16=0),1,0)</f>
        <v/>
      </c>
      <c r="EJ66">
        <f>IF(AND(EJ$4=1,EJ16=0),1,0)</f>
        <v/>
      </c>
      <c r="EK66">
        <f>IF(AND(EK$4=1,EK16=0),1,0)</f>
        <v/>
      </c>
      <c r="EL66">
        <f>IF(AND(EL$4=1,EL16=0),1,0)</f>
        <v/>
      </c>
      <c r="EM66">
        <f>IF(AND(EM$4=1,EM16=0),1,0)</f>
        <v/>
      </c>
      <c r="EN66">
        <f>IF(AND(EN$4=1,EN16=0),1,0)</f>
        <v/>
      </c>
      <c r="EO66">
        <f>IF(AND(EO$4=1,EO16=0),1,0)</f>
        <v/>
      </c>
      <c r="EP66">
        <f>IF(AND(EP$4=1,EP16=0),1,0)</f>
        <v/>
      </c>
      <c r="EQ66">
        <f>IF(AND(EQ$4=1,EQ16=0),1,0)</f>
        <v/>
      </c>
    </row>
    <row r="67">
      <c r="A67" t="n">
        <v>8</v>
      </c>
      <c r="D67">
        <f>IF(AND(D$4=1,D17=0),1,0)</f>
        <v/>
      </c>
      <c r="E67">
        <f>IF(AND(E$4=1,E17=0),1,0)</f>
        <v/>
      </c>
      <c r="F67">
        <f>IF(AND(F$4=1,F17=0),1,0)</f>
        <v/>
      </c>
      <c r="G67">
        <f>IF(AND(G$4=1,G17=0),1,0)</f>
        <v/>
      </c>
      <c r="H67">
        <f>IF(AND(H$4=1,H17=0),1,0)</f>
        <v/>
      </c>
      <c r="I67">
        <f>IF(AND(I$4=1,I17=0),1,0)</f>
        <v/>
      </c>
      <c r="J67">
        <f>IF(AND(J$4=1,J17=0),1,0)</f>
        <v/>
      </c>
      <c r="K67">
        <f>IF(AND(K$4=1,K17=0),1,0)</f>
        <v/>
      </c>
      <c r="L67">
        <f>IF(AND(L$4=1,L17=0),1,0)</f>
        <v/>
      </c>
      <c r="M67">
        <f>IF(AND(M$4=1,M17=0),1,0)</f>
        <v/>
      </c>
      <c r="N67">
        <f>IF(AND(N$4=1,N17=0),1,0)</f>
        <v/>
      </c>
      <c r="O67">
        <f>IF(AND(O$4=1,O17=0),1,0)</f>
        <v/>
      </c>
      <c r="P67">
        <f>IF(AND(P$4=1,P17=0),1,0)</f>
        <v/>
      </c>
      <c r="Q67">
        <f>IF(AND(Q$4=1,Q17=0),1,0)</f>
        <v/>
      </c>
      <c r="R67">
        <f>IF(AND(R$4=1,R17=0),1,0)</f>
        <v/>
      </c>
      <c r="S67">
        <f>IF(AND(S$4=1,S17=0),1,0)</f>
        <v/>
      </c>
      <c r="T67">
        <f>IF(AND(T$4=1,T17=0),1,0)</f>
        <v/>
      </c>
      <c r="U67">
        <f>IF(AND(U$4=1,U17=0),1,0)</f>
        <v/>
      </c>
      <c r="V67">
        <f>IF(AND(V$4=1,V17=0),1,0)</f>
        <v/>
      </c>
      <c r="W67">
        <f>IF(AND(W$4=1,W17=0),1,0)</f>
        <v/>
      </c>
      <c r="X67">
        <f>IF(AND(X$4=1,X17=0),1,0)</f>
        <v/>
      </c>
      <c r="Y67">
        <f>IF(AND(Y$4=1,Y17=0),1,0)</f>
        <v/>
      </c>
      <c r="Z67">
        <f>IF(AND(Z$4=1,Z17=0),1,0)</f>
        <v/>
      </c>
      <c r="AA67">
        <f>IF(AND(AA$4=1,AA17=0),1,0)</f>
        <v/>
      </c>
      <c r="AB67">
        <f>IF(AND(AB$4=1,AB17=0),1,0)</f>
        <v/>
      </c>
      <c r="AC67">
        <f>IF(AND(AC$4=1,AC17=0),1,0)</f>
        <v/>
      </c>
      <c r="AD67">
        <f>IF(AND(AD$4=1,AD17=0),1,0)</f>
        <v/>
      </c>
      <c r="AE67">
        <f>IF(AND(AE$4=1,AE17=0),1,0)</f>
        <v/>
      </c>
      <c r="AF67">
        <f>IF(AND(AF$4=1,AF17=0),1,0)</f>
        <v/>
      </c>
      <c r="AG67">
        <f>IF(AND(AG$4=1,AG17=0),1,0)</f>
        <v/>
      </c>
      <c r="AH67">
        <f>IF(AND(AH$4=1,AH17=0),1,0)</f>
        <v/>
      </c>
      <c r="AI67">
        <f>IF(AND(AI$4=1,AI17=0),1,0)</f>
        <v/>
      </c>
      <c r="AJ67">
        <f>IF(AND(AJ$4=1,AJ17=0),1,0)</f>
        <v/>
      </c>
      <c r="AK67">
        <f>IF(AND(AK$4=1,AK17=0),1,0)</f>
        <v/>
      </c>
      <c r="AL67">
        <f>IF(AND(AL$4=1,AL17=0),1,0)</f>
        <v/>
      </c>
      <c r="AM67">
        <f>IF(AND(AM$4=1,AM17=0),1,0)</f>
        <v/>
      </c>
      <c r="AN67">
        <f>IF(AND(AN$4=1,AN17=0),1,0)</f>
        <v/>
      </c>
      <c r="AO67">
        <f>IF(AND(AO$4=1,AO17=0),1,0)</f>
        <v/>
      </c>
      <c r="AP67">
        <f>IF(AND(AP$4=1,AP17=0),1,0)</f>
        <v/>
      </c>
      <c r="AQ67">
        <f>IF(AND(AQ$4=1,AQ17=0),1,0)</f>
        <v/>
      </c>
      <c r="AR67">
        <f>IF(AND(AR$4=1,AR17=0),1,0)</f>
        <v/>
      </c>
      <c r="AS67">
        <f>IF(AND(AS$4=1,AS17=0),1,0)</f>
        <v/>
      </c>
      <c r="AT67">
        <f>IF(AND(AT$4=1,AT17=0),1,0)</f>
        <v/>
      </c>
      <c r="AU67">
        <f>IF(AND(AU$4=1,AU17=0),1,0)</f>
        <v/>
      </c>
      <c r="AV67">
        <f>IF(AND(AV$4=1,AV17=0),1,0)</f>
        <v/>
      </c>
      <c r="AW67">
        <f>IF(AND(AW$4=1,AW17=0),1,0)</f>
        <v/>
      </c>
      <c r="AX67">
        <f>IF(AND(AX$4=1,AX17=0),1,0)</f>
        <v/>
      </c>
      <c r="AY67">
        <f>IF(AND(AY$4=1,AY17=0),1,0)</f>
        <v/>
      </c>
      <c r="AZ67">
        <f>IF(AND(AZ$4=1,AZ17=0),1,0)</f>
        <v/>
      </c>
      <c r="BA67">
        <f>IF(AND(BA$4=1,BA17=0),1,0)</f>
        <v/>
      </c>
      <c r="BB67">
        <f>IF(AND(BB$4=1,BB17=0),1,0)</f>
        <v/>
      </c>
      <c r="BC67">
        <f>IF(AND(BC$4=1,BC17=0),1,0)</f>
        <v/>
      </c>
      <c r="BD67">
        <f>IF(AND(BD$4=1,BD17=0),1,0)</f>
        <v/>
      </c>
      <c r="BE67">
        <f>IF(AND(BE$4=1,BE17=0),1,0)</f>
        <v/>
      </c>
      <c r="BF67">
        <f>IF(AND(BF$4=1,BF17=0),1,0)</f>
        <v/>
      </c>
      <c r="BG67">
        <f>IF(AND(BG$4=1,BG17=0),1,0)</f>
        <v/>
      </c>
      <c r="BH67">
        <f>IF(AND(BH$4=1,BH17=0),1,0)</f>
        <v/>
      </c>
      <c r="BI67">
        <f>IF(AND(BI$4=1,BI17=0),1,0)</f>
        <v/>
      </c>
      <c r="BJ67">
        <f>IF(AND(BJ$4=1,BJ17=0),1,0)</f>
        <v/>
      </c>
      <c r="BK67">
        <f>IF(AND(BK$4=1,BK17=0),1,0)</f>
        <v/>
      </c>
      <c r="BL67">
        <f>IF(AND(BL$4=1,BL17=0),1,0)</f>
        <v/>
      </c>
      <c r="BM67">
        <f>IF(AND(BM$4=1,BM17=0),1,0)</f>
        <v/>
      </c>
      <c r="BN67">
        <f>IF(AND(BN$4=1,BN17=0),1,0)</f>
        <v/>
      </c>
      <c r="BO67">
        <f>IF(AND(BO$4=1,BO17=0),1,0)</f>
        <v/>
      </c>
      <c r="BP67">
        <f>IF(AND(BP$4=1,BP17=0),1,0)</f>
        <v/>
      </c>
      <c r="BQ67">
        <f>IF(AND(BQ$4=1,BQ17=0),1,0)</f>
        <v/>
      </c>
      <c r="BR67">
        <f>IF(AND(BR$4=1,BR17=0),1,0)</f>
        <v/>
      </c>
      <c r="BS67">
        <f>IF(AND(BS$4=1,BS17=0),1,0)</f>
        <v/>
      </c>
      <c r="BT67">
        <f>IF(AND(BT$4=1,BT17=0),1,0)</f>
        <v/>
      </c>
      <c r="BU67">
        <f>IF(AND(BU$4=1,BU17=0),1,0)</f>
        <v/>
      </c>
      <c r="BV67">
        <f>IF(AND(BV$4=1,BV17=0),1,0)</f>
        <v/>
      </c>
      <c r="BW67">
        <f>IF(AND(BW$4=1,BW17=0),1,0)</f>
        <v/>
      </c>
      <c r="BX67">
        <f>IF(AND(BX$4=1,BX17=0),1,0)</f>
        <v/>
      </c>
      <c r="BY67">
        <f>IF(AND(BY$4=1,BY17=0),1,0)</f>
        <v/>
      </c>
      <c r="BZ67">
        <f>IF(AND(BZ$4=1,BZ17=0),1,0)</f>
        <v/>
      </c>
      <c r="CA67">
        <f>IF(AND(CA$4=1,CA17=0),1,0)</f>
        <v/>
      </c>
      <c r="CB67">
        <f>IF(AND(CB$4=1,CB17=0),1,0)</f>
        <v/>
      </c>
      <c r="CC67">
        <f>IF(AND(CC$4=1,CC17=0),1,0)</f>
        <v/>
      </c>
      <c r="CD67">
        <f>IF(AND(CD$4=1,CD17=0),1,0)</f>
        <v/>
      </c>
      <c r="CE67">
        <f>IF(AND(CE$4=1,CE17=0),1,0)</f>
        <v/>
      </c>
      <c r="CF67">
        <f>IF(AND(CF$4=1,CF17=0),1,0)</f>
        <v/>
      </c>
      <c r="CG67">
        <f>IF(AND(CG$4=1,CG17=0),1,0)</f>
        <v/>
      </c>
      <c r="CH67">
        <f>IF(AND(CH$4=1,CH17=0),1,0)</f>
        <v/>
      </c>
      <c r="CI67">
        <f>IF(AND(CI$4=1,CI17=0),1,0)</f>
        <v/>
      </c>
      <c r="CJ67">
        <f>IF(AND(CJ$4=1,CJ17=0),1,0)</f>
        <v/>
      </c>
      <c r="CK67">
        <f>IF(AND(CK$4=1,CK17=0),1,0)</f>
        <v/>
      </c>
      <c r="CL67">
        <f>IF(AND(CL$4=1,CL17=0),1,0)</f>
        <v/>
      </c>
      <c r="CM67">
        <f>IF(AND(CM$4=1,CM17=0),1,0)</f>
        <v/>
      </c>
      <c r="CN67">
        <f>IF(AND(CN$4=1,CN17=0),1,0)</f>
        <v/>
      </c>
      <c r="CO67">
        <f>IF(AND(CO$4=1,CO17=0),1,0)</f>
        <v/>
      </c>
      <c r="CP67">
        <f>IF(AND(CP$4=1,CP17=0),1,0)</f>
        <v/>
      </c>
      <c r="CQ67">
        <f>IF(AND(CQ$4=1,CQ17=0),1,0)</f>
        <v/>
      </c>
      <c r="CR67">
        <f>IF(AND(CR$4=1,CR17=0),1,0)</f>
        <v/>
      </c>
      <c r="CS67">
        <f>IF(AND(CS$4=1,CS17=0),1,0)</f>
        <v/>
      </c>
      <c r="CT67">
        <f>IF(AND(CT$4=1,CT17=0),1,0)</f>
        <v/>
      </c>
      <c r="CU67">
        <f>IF(AND(CU$4=1,CU17=0),1,0)</f>
        <v/>
      </c>
      <c r="CV67">
        <f>IF(AND(CV$4=1,CV17=0),1,0)</f>
        <v/>
      </c>
      <c r="CW67">
        <f>IF(AND(CW$4=1,CW17=0),1,0)</f>
        <v/>
      </c>
      <c r="CX67">
        <f>IF(AND(CX$4=1,CX17=0),1,0)</f>
        <v/>
      </c>
      <c r="CY67">
        <f>IF(AND(CY$4=1,CY17=0),1,0)</f>
        <v/>
      </c>
      <c r="CZ67">
        <f>IF(AND(CZ$4=1,CZ17=0),1,0)</f>
        <v/>
      </c>
      <c r="DA67">
        <f>IF(AND(DA$4=1,DA17=0),1,0)</f>
        <v/>
      </c>
      <c r="DB67">
        <f>IF(AND(DB$4=1,DB17=0),1,0)</f>
        <v/>
      </c>
      <c r="DC67">
        <f>IF(AND(DC$4=1,DC17=0),1,0)</f>
        <v/>
      </c>
      <c r="DD67">
        <f>IF(AND(DD$4=1,DD17=0),1,0)</f>
        <v/>
      </c>
      <c r="DE67">
        <f>IF(AND(DE$4=1,DE17=0),1,0)</f>
        <v/>
      </c>
      <c r="DF67">
        <f>IF(AND(DF$4=1,DF17=0),1,0)</f>
        <v/>
      </c>
      <c r="DG67">
        <f>IF(AND(DG$4=1,DG17=0),1,0)</f>
        <v/>
      </c>
      <c r="DH67">
        <f>IF(AND(DH$4=1,DH17=0),1,0)</f>
        <v/>
      </c>
      <c r="DI67">
        <f>IF(AND(DI$4=1,DI17=0),1,0)</f>
        <v/>
      </c>
      <c r="DJ67">
        <f>IF(AND(DJ$4=1,DJ17=0),1,0)</f>
        <v/>
      </c>
      <c r="DK67">
        <f>IF(AND(DK$4=1,DK17=0),1,0)</f>
        <v/>
      </c>
      <c r="DL67">
        <f>IF(AND(DL$4=1,DL17=0),1,0)</f>
        <v/>
      </c>
      <c r="DM67">
        <f>IF(AND(DM$4=1,DM17=0),1,0)</f>
        <v/>
      </c>
      <c r="DN67">
        <f>IF(AND(DN$4=1,DN17=0),1,0)</f>
        <v/>
      </c>
      <c r="DO67">
        <f>IF(AND(DO$4=1,DO17=0),1,0)</f>
        <v/>
      </c>
      <c r="DP67">
        <f>IF(AND(DP$4=1,DP17=0),1,0)</f>
        <v/>
      </c>
      <c r="DQ67">
        <f>IF(AND(DQ$4=1,DQ17=0),1,0)</f>
        <v/>
      </c>
      <c r="DR67">
        <f>IF(AND(DR$4=1,DR17=0),1,0)</f>
        <v/>
      </c>
      <c r="DS67">
        <f>IF(AND(DS$4=1,DS17=0),1,0)</f>
        <v/>
      </c>
      <c r="DT67">
        <f>IF(AND(DT$4=1,DT17=0),1,0)</f>
        <v/>
      </c>
      <c r="DU67">
        <f>IF(AND(DU$4=1,DU17=0),1,0)</f>
        <v/>
      </c>
      <c r="DV67">
        <f>IF(AND(DV$4=1,DV17=0),1,0)</f>
        <v/>
      </c>
      <c r="DW67">
        <f>IF(AND(DW$4=1,DW17=0),1,0)</f>
        <v/>
      </c>
      <c r="DX67">
        <f>IF(AND(DX$4=1,DX17=0),1,0)</f>
        <v/>
      </c>
      <c r="DY67">
        <f>IF(AND(DY$4=1,DY17=0),1,0)</f>
        <v/>
      </c>
      <c r="DZ67">
        <f>IF(AND(DZ$4=1,DZ17=0),1,0)</f>
        <v/>
      </c>
      <c r="EA67">
        <f>IF(AND(EA$4=1,EA17=0),1,0)</f>
        <v/>
      </c>
      <c r="EB67">
        <f>IF(AND(EB$4=1,EB17=0),1,0)</f>
        <v/>
      </c>
      <c r="EC67">
        <f>IF(AND(EC$4=1,EC17=0),1,0)</f>
        <v/>
      </c>
      <c r="ED67">
        <f>IF(AND(ED$4=1,ED17=0),1,0)</f>
        <v/>
      </c>
      <c r="EE67">
        <f>IF(AND(EE$4=1,EE17=0),1,0)</f>
        <v/>
      </c>
      <c r="EF67">
        <f>IF(AND(EF$4=1,EF17=0),1,0)</f>
        <v/>
      </c>
      <c r="EG67">
        <f>IF(AND(EG$4=1,EG17=0),1,0)</f>
        <v/>
      </c>
      <c r="EH67">
        <f>IF(AND(EH$4=1,EH17=0),1,0)</f>
        <v/>
      </c>
      <c r="EI67">
        <f>IF(AND(EI$4=1,EI17=0),1,0)</f>
        <v/>
      </c>
      <c r="EJ67">
        <f>IF(AND(EJ$4=1,EJ17=0),1,0)</f>
        <v/>
      </c>
      <c r="EK67">
        <f>IF(AND(EK$4=1,EK17=0),1,0)</f>
        <v/>
      </c>
      <c r="EL67">
        <f>IF(AND(EL$4=1,EL17=0),1,0)</f>
        <v/>
      </c>
      <c r="EM67">
        <f>IF(AND(EM$4=1,EM17=0),1,0)</f>
        <v/>
      </c>
      <c r="EN67">
        <f>IF(AND(EN$4=1,EN17=0),1,0)</f>
        <v/>
      </c>
      <c r="EO67">
        <f>IF(AND(EO$4=1,EO17=0),1,0)</f>
        <v/>
      </c>
      <c r="EP67">
        <f>IF(AND(EP$4=1,EP17=0),1,0)</f>
        <v/>
      </c>
      <c r="EQ67">
        <f>IF(AND(EQ$4=1,EQ17=0),1,0)</f>
        <v/>
      </c>
    </row>
    <row r="68">
      <c r="A68" t="n">
        <v>9</v>
      </c>
      <c r="D68">
        <f>IF(AND(D$4=1,D18=0),1,0)</f>
        <v/>
      </c>
      <c r="E68">
        <f>IF(AND(E$4=1,E18=0),1,0)</f>
        <v/>
      </c>
      <c r="F68">
        <f>IF(AND(F$4=1,F18=0),1,0)</f>
        <v/>
      </c>
      <c r="G68">
        <f>IF(AND(G$4=1,G18=0),1,0)</f>
        <v/>
      </c>
      <c r="H68">
        <f>IF(AND(H$4=1,H18=0),1,0)</f>
        <v/>
      </c>
      <c r="I68">
        <f>IF(AND(I$4=1,I18=0),1,0)</f>
        <v/>
      </c>
      <c r="J68">
        <f>IF(AND(J$4=1,J18=0),1,0)</f>
        <v/>
      </c>
      <c r="K68">
        <f>IF(AND(K$4=1,K18=0),1,0)</f>
        <v/>
      </c>
      <c r="L68">
        <f>IF(AND(L$4=1,L18=0),1,0)</f>
        <v/>
      </c>
      <c r="M68">
        <f>IF(AND(M$4=1,M18=0),1,0)</f>
        <v/>
      </c>
      <c r="N68">
        <f>IF(AND(N$4=1,N18=0),1,0)</f>
        <v/>
      </c>
      <c r="O68">
        <f>IF(AND(O$4=1,O18=0),1,0)</f>
        <v/>
      </c>
      <c r="P68">
        <f>IF(AND(P$4=1,P18=0),1,0)</f>
        <v/>
      </c>
      <c r="Q68">
        <f>IF(AND(Q$4=1,Q18=0),1,0)</f>
        <v/>
      </c>
      <c r="R68">
        <f>IF(AND(R$4=1,R18=0),1,0)</f>
        <v/>
      </c>
      <c r="S68">
        <f>IF(AND(S$4=1,S18=0),1,0)</f>
        <v/>
      </c>
      <c r="T68">
        <f>IF(AND(T$4=1,T18=0),1,0)</f>
        <v/>
      </c>
      <c r="U68">
        <f>IF(AND(U$4=1,U18=0),1,0)</f>
        <v/>
      </c>
      <c r="V68">
        <f>IF(AND(V$4=1,V18=0),1,0)</f>
        <v/>
      </c>
      <c r="W68">
        <f>IF(AND(W$4=1,W18=0),1,0)</f>
        <v/>
      </c>
      <c r="X68">
        <f>IF(AND(X$4=1,X18=0),1,0)</f>
        <v/>
      </c>
      <c r="Y68">
        <f>IF(AND(Y$4=1,Y18=0),1,0)</f>
        <v/>
      </c>
      <c r="Z68">
        <f>IF(AND(Z$4=1,Z18=0),1,0)</f>
        <v/>
      </c>
      <c r="AA68">
        <f>IF(AND(AA$4=1,AA18=0),1,0)</f>
        <v/>
      </c>
      <c r="AB68">
        <f>IF(AND(AB$4=1,AB18=0),1,0)</f>
        <v/>
      </c>
      <c r="AC68">
        <f>IF(AND(AC$4=1,AC18=0),1,0)</f>
        <v/>
      </c>
      <c r="AD68">
        <f>IF(AND(AD$4=1,AD18=0),1,0)</f>
        <v/>
      </c>
      <c r="AE68">
        <f>IF(AND(AE$4=1,AE18=0),1,0)</f>
        <v/>
      </c>
      <c r="AF68">
        <f>IF(AND(AF$4=1,AF18=0),1,0)</f>
        <v/>
      </c>
      <c r="AG68">
        <f>IF(AND(AG$4=1,AG18=0),1,0)</f>
        <v/>
      </c>
      <c r="AH68">
        <f>IF(AND(AH$4=1,AH18=0),1,0)</f>
        <v/>
      </c>
      <c r="AI68">
        <f>IF(AND(AI$4=1,AI18=0),1,0)</f>
        <v/>
      </c>
      <c r="AJ68">
        <f>IF(AND(AJ$4=1,AJ18=0),1,0)</f>
        <v/>
      </c>
      <c r="AK68">
        <f>IF(AND(AK$4=1,AK18=0),1,0)</f>
        <v/>
      </c>
      <c r="AL68">
        <f>IF(AND(AL$4=1,AL18=0),1,0)</f>
        <v/>
      </c>
      <c r="AM68">
        <f>IF(AND(AM$4=1,AM18=0),1,0)</f>
        <v/>
      </c>
      <c r="AN68">
        <f>IF(AND(AN$4=1,AN18=0),1,0)</f>
        <v/>
      </c>
      <c r="AO68">
        <f>IF(AND(AO$4=1,AO18=0),1,0)</f>
        <v/>
      </c>
      <c r="AP68">
        <f>IF(AND(AP$4=1,AP18=0),1,0)</f>
        <v/>
      </c>
      <c r="AQ68">
        <f>IF(AND(AQ$4=1,AQ18=0),1,0)</f>
        <v/>
      </c>
      <c r="AR68">
        <f>IF(AND(AR$4=1,AR18=0),1,0)</f>
        <v/>
      </c>
      <c r="AS68">
        <f>IF(AND(AS$4=1,AS18=0),1,0)</f>
        <v/>
      </c>
      <c r="AT68">
        <f>IF(AND(AT$4=1,AT18=0),1,0)</f>
        <v/>
      </c>
      <c r="AU68">
        <f>IF(AND(AU$4=1,AU18=0),1,0)</f>
        <v/>
      </c>
      <c r="AV68">
        <f>IF(AND(AV$4=1,AV18=0),1,0)</f>
        <v/>
      </c>
      <c r="AW68">
        <f>IF(AND(AW$4=1,AW18=0),1,0)</f>
        <v/>
      </c>
      <c r="AX68">
        <f>IF(AND(AX$4=1,AX18=0),1,0)</f>
        <v/>
      </c>
      <c r="AY68">
        <f>IF(AND(AY$4=1,AY18=0),1,0)</f>
        <v/>
      </c>
      <c r="AZ68">
        <f>IF(AND(AZ$4=1,AZ18=0),1,0)</f>
        <v/>
      </c>
      <c r="BA68">
        <f>IF(AND(BA$4=1,BA18=0),1,0)</f>
        <v/>
      </c>
      <c r="BB68">
        <f>IF(AND(BB$4=1,BB18=0),1,0)</f>
        <v/>
      </c>
      <c r="BC68">
        <f>IF(AND(BC$4=1,BC18=0),1,0)</f>
        <v/>
      </c>
      <c r="BD68">
        <f>IF(AND(BD$4=1,BD18=0),1,0)</f>
        <v/>
      </c>
      <c r="BE68">
        <f>IF(AND(BE$4=1,BE18=0),1,0)</f>
        <v/>
      </c>
      <c r="BF68">
        <f>IF(AND(BF$4=1,BF18=0),1,0)</f>
        <v/>
      </c>
      <c r="BG68">
        <f>IF(AND(BG$4=1,BG18=0),1,0)</f>
        <v/>
      </c>
      <c r="BH68">
        <f>IF(AND(BH$4=1,BH18=0),1,0)</f>
        <v/>
      </c>
      <c r="BI68">
        <f>IF(AND(BI$4=1,BI18=0),1,0)</f>
        <v/>
      </c>
      <c r="BJ68">
        <f>IF(AND(BJ$4=1,BJ18=0),1,0)</f>
        <v/>
      </c>
      <c r="BK68">
        <f>IF(AND(BK$4=1,BK18=0),1,0)</f>
        <v/>
      </c>
      <c r="BL68">
        <f>IF(AND(BL$4=1,BL18=0),1,0)</f>
        <v/>
      </c>
      <c r="BM68">
        <f>IF(AND(BM$4=1,BM18=0),1,0)</f>
        <v/>
      </c>
      <c r="BN68">
        <f>IF(AND(BN$4=1,BN18=0),1,0)</f>
        <v/>
      </c>
      <c r="BO68">
        <f>IF(AND(BO$4=1,BO18=0),1,0)</f>
        <v/>
      </c>
      <c r="BP68">
        <f>IF(AND(BP$4=1,BP18=0),1,0)</f>
        <v/>
      </c>
      <c r="BQ68">
        <f>IF(AND(BQ$4=1,BQ18=0),1,0)</f>
        <v/>
      </c>
      <c r="BR68">
        <f>IF(AND(BR$4=1,BR18=0),1,0)</f>
        <v/>
      </c>
      <c r="BS68">
        <f>IF(AND(BS$4=1,BS18=0),1,0)</f>
        <v/>
      </c>
      <c r="BT68">
        <f>IF(AND(BT$4=1,BT18=0),1,0)</f>
        <v/>
      </c>
      <c r="BU68">
        <f>IF(AND(BU$4=1,BU18=0),1,0)</f>
        <v/>
      </c>
      <c r="BV68">
        <f>IF(AND(BV$4=1,BV18=0),1,0)</f>
        <v/>
      </c>
      <c r="BW68">
        <f>IF(AND(BW$4=1,BW18=0),1,0)</f>
        <v/>
      </c>
      <c r="BX68">
        <f>IF(AND(BX$4=1,BX18=0),1,0)</f>
        <v/>
      </c>
      <c r="BY68">
        <f>IF(AND(BY$4=1,BY18=0),1,0)</f>
        <v/>
      </c>
      <c r="BZ68">
        <f>IF(AND(BZ$4=1,BZ18=0),1,0)</f>
        <v/>
      </c>
      <c r="CA68">
        <f>IF(AND(CA$4=1,CA18=0),1,0)</f>
        <v/>
      </c>
      <c r="CB68">
        <f>IF(AND(CB$4=1,CB18=0),1,0)</f>
        <v/>
      </c>
      <c r="CC68">
        <f>IF(AND(CC$4=1,CC18=0),1,0)</f>
        <v/>
      </c>
      <c r="CD68">
        <f>IF(AND(CD$4=1,CD18=0),1,0)</f>
        <v/>
      </c>
      <c r="CE68">
        <f>IF(AND(CE$4=1,CE18=0),1,0)</f>
        <v/>
      </c>
      <c r="CF68">
        <f>IF(AND(CF$4=1,CF18=0),1,0)</f>
        <v/>
      </c>
      <c r="CG68">
        <f>IF(AND(CG$4=1,CG18=0),1,0)</f>
        <v/>
      </c>
      <c r="CH68">
        <f>IF(AND(CH$4=1,CH18=0),1,0)</f>
        <v/>
      </c>
      <c r="CI68">
        <f>IF(AND(CI$4=1,CI18=0),1,0)</f>
        <v/>
      </c>
      <c r="CJ68">
        <f>IF(AND(CJ$4=1,CJ18=0),1,0)</f>
        <v/>
      </c>
      <c r="CK68">
        <f>IF(AND(CK$4=1,CK18=0),1,0)</f>
        <v/>
      </c>
      <c r="CL68">
        <f>IF(AND(CL$4=1,CL18=0),1,0)</f>
        <v/>
      </c>
      <c r="CM68">
        <f>IF(AND(CM$4=1,CM18=0),1,0)</f>
        <v/>
      </c>
      <c r="CN68">
        <f>IF(AND(CN$4=1,CN18=0),1,0)</f>
        <v/>
      </c>
      <c r="CO68">
        <f>IF(AND(CO$4=1,CO18=0),1,0)</f>
        <v/>
      </c>
      <c r="CP68">
        <f>IF(AND(CP$4=1,CP18=0),1,0)</f>
        <v/>
      </c>
      <c r="CQ68">
        <f>IF(AND(CQ$4=1,CQ18=0),1,0)</f>
        <v/>
      </c>
      <c r="CR68">
        <f>IF(AND(CR$4=1,CR18=0),1,0)</f>
        <v/>
      </c>
      <c r="CS68">
        <f>IF(AND(CS$4=1,CS18=0),1,0)</f>
        <v/>
      </c>
      <c r="CT68">
        <f>IF(AND(CT$4=1,CT18=0),1,0)</f>
        <v/>
      </c>
      <c r="CU68">
        <f>IF(AND(CU$4=1,CU18=0),1,0)</f>
        <v/>
      </c>
      <c r="CV68">
        <f>IF(AND(CV$4=1,CV18=0),1,0)</f>
        <v/>
      </c>
      <c r="CW68">
        <f>IF(AND(CW$4=1,CW18=0),1,0)</f>
        <v/>
      </c>
      <c r="CX68">
        <f>IF(AND(CX$4=1,CX18=0),1,0)</f>
        <v/>
      </c>
      <c r="CY68">
        <f>IF(AND(CY$4=1,CY18=0),1,0)</f>
        <v/>
      </c>
      <c r="CZ68">
        <f>IF(AND(CZ$4=1,CZ18=0),1,0)</f>
        <v/>
      </c>
      <c r="DA68">
        <f>IF(AND(DA$4=1,DA18=0),1,0)</f>
        <v/>
      </c>
      <c r="DB68">
        <f>IF(AND(DB$4=1,DB18=0),1,0)</f>
        <v/>
      </c>
      <c r="DC68">
        <f>IF(AND(DC$4=1,DC18=0),1,0)</f>
        <v/>
      </c>
      <c r="DD68">
        <f>IF(AND(DD$4=1,DD18=0),1,0)</f>
        <v/>
      </c>
      <c r="DE68">
        <f>IF(AND(DE$4=1,DE18=0),1,0)</f>
        <v/>
      </c>
      <c r="DF68">
        <f>IF(AND(DF$4=1,DF18=0),1,0)</f>
        <v/>
      </c>
      <c r="DG68">
        <f>IF(AND(DG$4=1,DG18=0),1,0)</f>
        <v/>
      </c>
      <c r="DH68">
        <f>IF(AND(DH$4=1,DH18=0),1,0)</f>
        <v/>
      </c>
      <c r="DI68">
        <f>IF(AND(DI$4=1,DI18=0),1,0)</f>
        <v/>
      </c>
      <c r="DJ68">
        <f>IF(AND(DJ$4=1,DJ18=0),1,0)</f>
        <v/>
      </c>
      <c r="DK68">
        <f>IF(AND(DK$4=1,DK18=0),1,0)</f>
        <v/>
      </c>
      <c r="DL68">
        <f>IF(AND(DL$4=1,DL18=0),1,0)</f>
        <v/>
      </c>
      <c r="DM68">
        <f>IF(AND(DM$4=1,DM18=0),1,0)</f>
        <v/>
      </c>
      <c r="DN68">
        <f>IF(AND(DN$4=1,DN18=0),1,0)</f>
        <v/>
      </c>
      <c r="DO68">
        <f>IF(AND(DO$4=1,DO18=0),1,0)</f>
        <v/>
      </c>
      <c r="DP68">
        <f>IF(AND(DP$4=1,DP18=0),1,0)</f>
        <v/>
      </c>
      <c r="DQ68">
        <f>IF(AND(DQ$4=1,DQ18=0),1,0)</f>
        <v/>
      </c>
      <c r="DR68">
        <f>IF(AND(DR$4=1,DR18=0),1,0)</f>
        <v/>
      </c>
      <c r="DS68">
        <f>IF(AND(DS$4=1,DS18=0),1,0)</f>
        <v/>
      </c>
      <c r="DT68">
        <f>IF(AND(DT$4=1,DT18=0),1,0)</f>
        <v/>
      </c>
      <c r="DU68">
        <f>IF(AND(DU$4=1,DU18=0),1,0)</f>
        <v/>
      </c>
      <c r="DV68">
        <f>IF(AND(DV$4=1,DV18=0),1,0)</f>
        <v/>
      </c>
      <c r="DW68">
        <f>IF(AND(DW$4=1,DW18=0),1,0)</f>
        <v/>
      </c>
      <c r="DX68">
        <f>IF(AND(DX$4=1,DX18=0),1,0)</f>
        <v/>
      </c>
      <c r="DY68">
        <f>IF(AND(DY$4=1,DY18=0),1,0)</f>
        <v/>
      </c>
      <c r="DZ68">
        <f>IF(AND(DZ$4=1,DZ18=0),1,0)</f>
        <v/>
      </c>
      <c r="EA68">
        <f>IF(AND(EA$4=1,EA18=0),1,0)</f>
        <v/>
      </c>
      <c r="EB68">
        <f>IF(AND(EB$4=1,EB18=0),1,0)</f>
        <v/>
      </c>
      <c r="EC68">
        <f>IF(AND(EC$4=1,EC18=0),1,0)</f>
        <v/>
      </c>
      <c r="ED68">
        <f>IF(AND(ED$4=1,ED18=0),1,0)</f>
        <v/>
      </c>
      <c r="EE68">
        <f>IF(AND(EE$4=1,EE18=0),1,0)</f>
        <v/>
      </c>
      <c r="EF68">
        <f>IF(AND(EF$4=1,EF18=0),1,0)</f>
        <v/>
      </c>
      <c r="EG68">
        <f>IF(AND(EG$4=1,EG18=0),1,0)</f>
        <v/>
      </c>
      <c r="EH68">
        <f>IF(AND(EH$4=1,EH18=0),1,0)</f>
        <v/>
      </c>
      <c r="EI68">
        <f>IF(AND(EI$4=1,EI18=0),1,0)</f>
        <v/>
      </c>
      <c r="EJ68">
        <f>IF(AND(EJ$4=1,EJ18=0),1,0)</f>
        <v/>
      </c>
      <c r="EK68">
        <f>IF(AND(EK$4=1,EK18=0),1,0)</f>
        <v/>
      </c>
      <c r="EL68">
        <f>IF(AND(EL$4=1,EL18=0),1,0)</f>
        <v/>
      </c>
      <c r="EM68">
        <f>IF(AND(EM$4=1,EM18=0),1,0)</f>
        <v/>
      </c>
      <c r="EN68">
        <f>IF(AND(EN$4=1,EN18=0),1,0)</f>
        <v/>
      </c>
      <c r="EO68">
        <f>IF(AND(EO$4=1,EO18=0),1,0)</f>
        <v/>
      </c>
      <c r="EP68">
        <f>IF(AND(EP$4=1,EP18=0),1,0)</f>
        <v/>
      </c>
      <c r="EQ68">
        <f>IF(AND(EQ$4=1,EQ18=0),1,0)</f>
        <v/>
      </c>
    </row>
    <row r="69">
      <c r="A69" t="n">
        <v>10</v>
      </c>
      <c r="D69">
        <f>IF(AND(D$4=1,D19=0),1,0)</f>
        <v/>
      </c>
      <c r="E69">
        <f>IF(AND(E$4=1,E19=0),1,0)</f>
        <v/>
      </c>
      <c r="F69">
        <f>IF(AND(F$4=1,F19=0),1,0)</f>
        <v/>
      </c>
      <c r="G69">
        <f>IF(AND(G$4=1,G19=0),1,0)</f>
        <v/>
      </c>
      <c r="H69">
        <f>IF(AND(H$4=1,H19=0),1,0)</f>
        <v/>
      </c>
      <c r="I69">
        <f>IF(AND(I$4=1,I19=0),1,0)</f>
        <v/>
      </c>
      <c r="J69">
        <f>IF(AND(J$4=1,J19=0),1,0)</f>
        <v/>
      </c>
      <c r="K69">
        <f>IF(AND(K$4=1,K19=0),1,0)</f>
        <v/>
      </c>
      <c r="L69">
        <f>IF(AND(L$4=1,L19=0),1,0)</f>
        <v/>
      </c>
      <c r="M69">
        <f>IF(AND(M$4=1,M19=0),1,0)</f>
        <v/>
      </c>
      <c r="N69">
        <f>IF(AND(N$4=1,N19=0),1,0)</f>
        <v/>
      </c>
      <c r="O69">
        <f>IF(AND(O$4=1,O19=0),1,0)</f>
        <v/>
      </c>
      <c r="P69">
        <f>IF(AND(P$4=1,P19=0),1,0)</f>
        <v/>
      </c>
      <c r="Q69">
        <f>IF(AND(Q$4=1,Q19=0),1,0)</f>
        <v/>
      </c>
      <c r="R69">
        <f>IF(AND(R$4=1,R19=0),1,0)</f>
        <v/>
      </c>
      <c r="S69">
        <f>IF(AND(S$4=1,S19=0),1,0)</f>
        <v/>
      </c>
      <c r="T69">
        <f>IF(AND(T$4=1,T19=0),1,0)</f>
        <v/>
      </c>
      <c r="U69">
        <f>IF(AND(U$4=1,U19=0),1,0)</f>
        <v/>
      </c>
      <c r="V69">
        <f>IF(AND(V$4=1,V19=0),1,0)</f>
        <v/>
      </c>
      <c r="W69">
        <f>IF(AND(W$4=1,W19=0),1,0)</f>
        <v/>
      </c>
      <c r="X69">
        <f>IF(AND(X$4=1,X19=0),1,0)</f>
        <v/>
      </c>
      <c r="Y69">
        <f>IF(AND(Y$4=1,Y19=0),1,0)</f>
        <v/>
      </c>
      <c r="Z69">
        <f>IF(AND(Z$4=1,Z19=0),1,0)</f>
        <v/>
      </c>
      <c r="AA69">
        <f>IF(AND(AA$4=1,AA19=0),1,0)</f>
        <v/>
      </c>
      <c r="AB69">
        <f>IF(AND(AB$4=1,AB19=0),1,0)</f>
        <v/>
      </c>
      <c r="AC69">
        <f>IF(AND(AC$4=1,AC19=0),1,0)</f>
        <v/>
      </c>
      <c r="AD69">
        <f>IF(AND(AD$4=1,AD19=0),1,0)</f>
        <v/>
      </c>
      <c r="AE69">
        <f>IF(AND(AE$4=1,AE19=0),1,0)</f>
        <v/>
      </c>
      <c r="AF69">
        <f>IF(AND(AF$4=1,AF19=0),1,0)</f>
        <v/>
      </c>
      <c r="AG69">
        <f>IF(AND(AG$4=1,AG19=0),1,0)</f>
        <v/>
      </c>
      <c r="AH69">
        <f>IF(AND(AH$4=1,AH19=0),1,0)</f>
        <v/>
      </c>
      <c r="AI69">
        <f>IF(AND(AI$4=1,AI19=0),1,0)</f>
        <v/>
      </c>
      <c r="AJ69">
        <f>IF(AND(AJ$4=1,AJ19=0),1,0)</f>
        <v/>
      </c>
      <c r="AK69">
        <f>IF(AND(AK$4=1,AK19=0),1,0)</f>
        <v/>
      </c>
      <c r="AL69">
        <f>IF(AND(AL$4=1,AL19=0),1,0)</f>
        <v/>
      </c>
      <c r="AM69">
        <f>IF(AND(AM$4=1,AM19=0),1,0)</f>
        <v/>
      </c>
      <c r="AN69">
        <f>IF(AND(AN$4=1,AN19=0),1,0)</f>
        <v/>
      </c>
      <c r="AO69">
        <f>IF(AND(AO$4=1,AO19=0),1,0)</f>
        <v/>
      </c>
      <c r="AP69">
        <f>IF(AND(AP$4=1,AP19=0),1,0)</f>
        <v/>
      </c>
      <c r="AQ69">
        <f>IF(AND(AQ$4=1,AQ19=0),1,0)</f>
        <v/>
      </c>
      <c r="AR69">
        <f>IF(AND(AR$4=1,AR19=0),1,0)</f>
        <v/>
      </c>
      <c r="AS69">
        <f>IF(AND(AS$4=1,AS19=0),1,0)</f>
        <v/>
      </c>
      <c r="AT69">
        <f>IF(AND(AT$4=1,AT19=0),1,0)</f>
        <v/>
      </c>
      <c r="AU69">
        <f>IF(AND(AU$4=1,AU19=0),1,0)</f>
        <v/>
      </c>
      <c r="AV69">
        <f>IF(AND(AV$4=1,AV19=0),1,0)</f>
        <v/>
      </c>
      <c r="AW69">
        <f>IF(AND(AW$4=1,AW19=0),1,0)</f>
        <v/>
      </c>
      <c r="AX69">
        <f>IF(AND(AX$4=1,AX19=0),1,0)</f>
        <v/>
      </c>
      <c r="AY69">
        <f>IF(AND(AY$4=1,AY19=0),1,0)</f>
        <v/>
      </c>
      <c r="AZ69">
        <f>IF(AND(AZ$4=1,AZ19=0),1,0)</f>
        <v/>
      </c>
      <c r="BA69">
        <f>IF(AND(BA$4=1,BA19=0),1,0)</f>
        <v/>
      </c>
      <c r="BB69">
        <f>IF(AND(BB$4=1,BB19=0),1,0)</f>
        <v/>
      </c>
      <c r="BC69">
        <f>IF(AND(BC$4=1,BC19=0),1,0)</f>
        <v/>
      </c>
      <c r="BD69">
        <f>IF(AND(BD$4=1,BD19=0),1,0)</f>
        <v/>
      </c>
      <c r="BE69">
        <f>IF(AND(BE$4=1,BE19=0),1,0)</f>
        <v/>
      </c>
      <c r="BF69">
        <f>IF(AND(BF$4=1,BF19=0),1,0)</f>
        <v/>
      </c>
      <c r="BG69">
        <f>IF(AND(BG$4=1,BG19=0),1,0)</f>
        <v/>
      </c>
      <c r="BH69">
        <f>IF(AND(BH$4=1,BH19=0),1,0)</f>
        <v/>
      </c>
      <c r="BI69">
        <f>IF(AND(BI$4=1,BI19=0),1,0)</f>
        <v/>
      </c>
      <c r="BJ69">
        <f>IF(AND(BJ$4=1,BJ19=0),1,0)</f>
        <v/>
      </c>
      <c r="BK69">
        <f>IF(AND(BK$4=1,BK19=0),1,0)</f>
        <v/>
      </c>
      <c r="BL69">
        <f>IF(AND(BL$4=1,BL19=0),1,0)</f>
        <v/>
      </c>
      <c r="BM69">
        <f>IF(AND(BM$4=1,BM19=0),1,0)</f>
        <v/>
      </c>
      <c r="BN69">
        <f>IF(AND(BN$4=1,BN19=0),1,0)</f>
        <v/>
      </c>
      <c r="BO69">
        <f>IF(AND(BO$4=1,BO19=0),1,0)</f>
        <v/>
      </c>
      <c r="BP69">
        <f>IF(AND(BP$4=1,BP19=0),1,0)</f>
        <v/>
      </c>
      <c r="BQ69">
        <f>IF(AND(BQ$4=1,BQ19=0),1,0)</f>
        <v/>
      </c>
      <c r="BR69">
        <f>IF(AND(BR$4=1,BR19=0),1,0)</f>
        <v/>
      </c>
      <c r="BS69">
        <f>IF(AND(BS$4=1,BS19=0),1,0)</f>
        <v/>
      </c>
      <c r="BT69">
        <f>IF(AND(BT$4=1,BT19=0),1,0)</f>
        <v/>
      </c>
      <c r="BU69">
        <f>IF(AND(BU$4=1,BU19=0),1,0)</f>
        <v/>
      </c>
      <c r="BV69">
        <f>IF(AND(BV$4=1,BV19=0),1,0)</f>
        <v/>
      </c>
      <c r="BW69">
        <f>IF(AND(BW$4=1,BW19=0),1,0)</f>
        <v/>
      </c>
      <c r="BX69">
        <f>IF(AND(BX$4=1,BX19=0),1,0)</f>
        <v/>
      </c>
      <c r="BY69">
        <f>IF(AND(BY$4=1,BY19=0),1,0)</f>
        <v/>
      </c>
      <c r="BZ69">
        <f>IF(AND(BZ$4=1,BZ19=0),1,0)</f>
        <v/>
      </c>
      <c r="CA69">
        <f>IF(AND(CA$4=1,CA19=0),1,0)</f>
        <v/>
      </c>
      <c r="CB69">
        <f>IF(AND(CB$4=1,CB19=0),1,0)</f>
        <v/>
      </c>
      <c r="CC69">
        <f>IF(AND(CC$4=1,CC19=0),1,0)</f>
        <v/>
      </c>
      <c r="CD69">
        <f>IF(AND(CD$4=1,CD19=0),1,0)</f>
        <v/>
      </c>
      <c r="CE69">
        <f>IF(AND(CE$4=1,CE19=0),1,0)</f>
        <v/>
      </c>
      <c r="CF69">
        <f>IF(AND(CF$4=1,CF19=0),1,0)</f>
        <v/>
      </c>
      <c r="CG69">
        <f>IF(AND(CG$4=1,CG19=0),1,0)</f>
        <v/>
      </c>
      <c r="CH69">
        <f>IF(AND(CH$4=1,CH19=0),1,0)</f>
        <v/>
      </c>
      <c r="CI69">
        <f>IF(AND(CI$4=1,CI19=0),1,0)</f>
        <v/>
      </c>
      <c r="CJ69">
        <f>IF(AND(CJ$4=1,CJ19=0),1,0)</f>
        <v/>
      </c>
      <c r="CK69">
        <f>IF(AND(CK$4=1,CK19=0),1,0)</f>
        <v/>
      </c>
      <c r="CL69">
        <f>IF(AND(CL$4=1,CL19=0),1,0)</f>
        <v/>
      </c>
      <c r="CM69">
        <f>IF(AND(CM$4=1,CM19=0),1,0)</f>
        <v/>
      </c>
      <c r="CN69">
        <f>IF(AND(CN$4=1,CN19=0),1,0)</f>
        <v/>
      </c>
      <c r="CO69">
        <f>IF(AND(CO$4=1,CO19=0),1,0)</f>
        <v/>
      </c>
      <c r="CP69">
        <f>IF(AND(CP$4=1,CP19=0),1,0)</f>
        <v/>
      </c>
      <c r="CQ69">
        <f>IF(AND(CQ$4=1,CQ19=0),1,0)</f>
        <v/>
      </c>
      <c r="CR69">
        <f>IF(AND(CR$4=1,CR19=0),1,0)</f>
        <v/>
      </c>
      <c r="CS69">
        <f>IF(AND(CS$4=1,CS19=0),1,0)</f>
        <v/>
      </c>
      <c r="CT69">
        <f>IF(AND(CT$4=1,CT19=0),1,0)</f>
        <v/>
      </c>
      <c r="CU69">
        <f>IF(AND(CU$4=1,CU19=0),1,0)</f>
        <v/>
      </c>
      <c r="CV69">
        <f>IF(AND(CV$4=1,CV19=0),1,0)</f>
        <v/>
      </c>
      <c r="CW69">
        <f>IF(AND(CW$4=1,CW19=0),1,0)</f>
        <v/>
      </c>
      <c r="CX69">
        <f>IF(AND(CX$4=1,CX19=0),1,0)</f>
        <v/>
      </c>
      <c r="CY69">
        <f>IF(AND(CY$4=1,CY19=0),1,0)</f>
        <v/>
      </c>
      <c r="CZ69">
        <f>IF(AND(CZ$4=1,CZ19=0),1,0)</f>
        <v/>
      </c>
      <c r="DA69">
        <f>IF(AND(DA$4=1,DA19=0),1,0)</f>
        <v/>
      </c>
      <c r="DB69">
        <f>IF(AND(DB$4=1,DB19=0),1,0)</f>
        <v/>
      </c>
      <c r="DC69">
        <f>IF(AND(DC$4=1,DC19=0),1,0)</f>
        <v/>
      </c>
      <c r="DD69">
        <f>IF(AND(DD$4=1,DD19=0),1,0)</f>
        <v/>
      </c>
      <c r="DE69">
        <f>IF(AND(DE$4=1,DE19=0),1,0)</f>
        <v/>
      </c>
      <c r="DF69">
        <f>IF(AND(DF$4=1,DF19=0),1,0)</f>
        <v/>
      </c>
      <c r="DG69">
        <f>IF(AND(DG$4=1,DG19=0),1,0)</f>
        <v/>
      </c>
      <c r="DH69">
        <f>IF(AND(DH$4=1,DH19=0),1,0)</f>
        <v/>
      </c>
      <c r="DI69">
        <f>IF(AND(DI$4=1,DI19=0),1,0)</f>
        <v/>
      </c>
      <c r="DJ69">
        <f>IF(AND(DJ$4=1,DJ19=0),1,0)</f>
        <v/>
      </c>
      <c r="DK69">
        <f>IF(AND(DK$4=1,DK19=0),1,0)</f>
        <v/>
      </c>
      <c r="DL69">
        <f>IF(AND(DL$4=1,DL19=0),1,0)</f>
        <v/>
      </c>
      <c r="DM69">
        <f>IF(AND(DM$4=1,DM19=0),1,0)</f>
        <v/>
      </c>
      <c r="DN69">
        <f>IF(AND(DN$4=1,DN19=0),1,0)</f>
        <v/>
      </c>
      <c r="DO69">
        <f>IF(AND(DO$4=1,DO19=0),1,0)</f>
        <v/>
      </c>
      <c r="DP69">
        <f>IF(AND(DP$4=1,DP19=0),1,0)</f>
        <v/>
      </c>
      <c r="DQ69">
        <f>IF(AND(DQ$4=1,DQ19=0),1,0)</f>
        <v/>
      </c>
      <c r="DR69">
        <f>IF(AND(DR$4=1,DR19=0),1,0)</f>
        <v/>
      </c>
      <c r="DS69">
        <f>IF(AND(DS$4=1,DS19=0),1,0)</f>
        <v/>
      </c>
      <c r="DT69">
        <f>IF(AND(DT$4=1,DT19=0),1,0)</f>
        <v/>
      </c>
      <c r="DU69">
        <f>IF(AND(DU$4=1,DU19=0),1,0)</f>
        <v/>
      </c>
      <c r="DV69">
        <f>IF(AND(DV$4=1,DV19=0),1,0)</f>
        <v/>
      </c>
      <c r="DW69">
        <f>IF(AND(DW$4=1,DW19=0),1,0)</f>
        <v/>
      </c>
      <c r="DX69">
        <f>IF(AND(DX$4=1,DX19=0),1,0)</f>
        <v/>
      </c>
      <c r="DY69">
        <f>IF(AND(DY$4=1,DY19=0),1,0)</f>
        <v/>
      </c>
      <c r="DZ69">
        <f>IF(AND(DZ$4=1,DZ19=0),1,0)</f>
        <v/>
      </c>
      <c r="EA69">
        <f>IF(AND(EA$4=1,EA19=0),1,0)</f>
        <v/>
      </c>
      <c r="EB69">
        <f>IF(AND(EB$4=1,EB19=0),1,0)</f>
        <v/>
      </c>
      <c r="EC69">
        <f>IF(AND(EC$4=1,EC19=0),1,0)</f>
        <v/>
      </c>
      <c r="ED69">
        <f>IF(AND(ED$4=1,ED19=0),1,0)</f>
        <v/>
      </c>
      <c r="EE69">
        <f>IF(AND(EE$4=1,EE19=0),1,0)</f>
        <v/>
      </c>
      <c r="EF69">
        <f>IF(AND(EF$4=1,EF19=0),1,0)</f>
        <v/>
      </c>
      <c r="EG69">
        <f>IF(AND(EG$4=1,EG19=0),1,0)</f>
        <v/>
      </c>
      <c r="EH69">
        <f>IF(AND(EH$4=1,EH19=0),1,0)</f>
        <v/>
      </c>
      <c r="EI69">
        <f>IF(AND(EI$4=1,EI19=0),1,0)</f>
        <v/>
      </c>
      <c r="EJ69">
        <f>IF(AND(EJ$4=1,EJ19=0),1,0)</f>
        <v/>
      </c>
      <c r="EK69">
        <f>IF(AND(EK$4=1,EK19=0),1,0)</f>
        <v/>
      </c>
      <c r="EL69">
        <f>IF(AND(EL$4=1,EL19=0),1,0)</f>
        <v/>
      </c>
      <c r="EM69">
        <f>IF(AND(EM$4=1,EM19=0),1,0)</f>
        <v/>
      </c>
      <c r="EN69">
        <f>IF(AND(EN$4=1,EN19=0),1,0)</f>
        <v/>
      </c>
      <c r="EO69">
        <f>IF(AND(EO$4=1,EO19=0),1,0)</f>
        <v/>
      </c>
      <c r="EP69">
        <f>IF(AND(EP$4=1,EP19=0),1,0)</f>
        <v/>
      </c>
      <c r="EQ69">
        <f>IF(AND(EQ$4=1,EQ19=0),1,0)</f>
        <v/>
      </c>
    </row>
    <row r="70">
      <c r="A70" t="n">
        <v>11</v>
      </c>
      <c r="D70">
        <f>IF(AND(D$4=1,D20=0),1,0)</f>
        <v/>
      </c>
      <c r="E70">
        <f>IF(AND(E$4=1,E20=0),1,0)</f>
        <v/>
      </c>
      <c r="F70">
        <f>IF(AND(F$4=1,F20=0),1,0)</f>
        <v/>
      </c>
      <c r="G70">
        <f>IF(AND(G$4=1,G20=0),1,0)</f>
        <v/>
      </c>
      <c r="H70">
        <f>IF(AND(H$4=1,H20=0),1,0)</f>
        <v/>
      </c>
      <c r="I70">
        <f>IF(AND(I$4=1,I20=0),1,0)</f>
        <v/>
      </c>
      <c r="J70">
        <f>IF(AND(J$4=1,J20=0),1,0)</f>
        <v/>
      </c>
      <c r="K70">
        <f>IF(AND(K$4=1,K20=0),1,0)</f>
        <v/>
      </c>
      <c r="L70">
        <f>IF(AND(L$4=1,L20=0),1,0)</f>
        <v/>
      </c>
      <c r="M70">
        <f>IF(AND(M$4=1,M20=0),1,0)</f>
        <v/>
      </c>
      <c r="N70">
        <f>IF(AND(N$4=1,N20=0),1,0)</f>
        <v/>
      </c>
      <c r="O70">
        <f>IF(AND(O$4=1,O20=0),1,0)</f>
        <v/>
      </c>
      <c r="P70">
        <f>IF(AND(P$4=1,P20=0),1,0)</f>
        <v/>
      </c>
      <c r="Q70">
        <f>IF(AND(Q$4=1,Q20=0),1,0)</f>
        <v/>
      </c>
      <c r="R70">
        <f>IF(AND(R$4=1,R20=0),1,0)</f>
        <v/>
      </c>
      <c r="S70">
        <f>IF(AND(S$4=1,S20=0),1,0)</f>
        <v/>
      </c>
      <c r="T70">
        <f>IF(AND(T$4=1,T20=0),1,0)</f>
        <v/>
      </c>
      <c r="U70">
        <f>IF(AND(U$4=1,U20=0),1,0)</f>
        <v/>
      </c>
      <c r="V70">
        <f>IF(AND(V$4=1,V20=0),1,0)</f>
        <v/>
      </c>
      <c r="W70">
        <f>IF(AND(W$4=1,W20=0),1,0)</f>
        <v/>
      </c>
      <c r="X70">
        <f>IF(AND(X$4=1,X20=0),1,0)</f>
        <v/>
      </c>
      <c r="Y70">
        <f>IF(AND(Y$4=1,Y20=0),1,0)</f>
        <v/>
      </c>
      <c r="Z70">
        <f>IF(AND(Z$4=1,Z20=0),1,0)</f>
        <v/>
      </c>
      <c r="AA70">
        <f>IF(AND(AA$4=1,AA20=0),1,0)</f>
        <v/>
      </c>
      <c r="AB70">
        <f>IF(AND(AB$4=1,AB20=0),1,0)</f>
        <v/>
      </c>
      <c r="AC70">
        <f>IF(AND(AC$4=1,AC20=0),1,0)</f>
        <v/>
      </c>
      <c r="AD70">
        <f>IF(AND(AD$4=1,AD20=0),1,0)</f>
        <v/>
      </c>
      <c r="AE70">
        <f>IF(AND(AE$4=1,AE20=0),1,0)</f>
        <v/>
      </c>
      <c r="AF70">
        <f>IF(AND(AF$4=1,AF20=0),1,0)</f>
        <v/>
      </c>
      <c r="AG70">
        <f>IF(AND(AG$4=1,AG20=0),1,0)</f>
        <v/>
      </c>
      <c r="AH70">
        <f>IF(AND(AH$4=1,AH20=0),1,0)</f>
        <v/>
      </c>
      <c r="AI70">
        <f>IF(AND(AI$4=1,AI20=0),1,0)</f>
        <v/>
      </c>
      <c r="AJ70">
        <f>IF(AND(AJ$4=1,AJ20=0),1,0)</f>
        <v/>
      </c>
      <c r="AK70">
        <f>IF(AND(AK$4=1,AK20=0),1,0)</f>
        <v/>
      </c>
      <c r="AL70">
        <f>IF(AND(AL$4=1,AL20=0),1,0)</f>
        <v/>
      </c>
      <c r="AM70">
        <f>IF(AND(AM$4=1,AM20=0),1,0)</f>
        <v/>
      </c>
      <c r="AN70">
        <f>IF(AND(AN$4=1,AN20=0),1,0)</f>
        <v/>
      </c>
      <c r="AO70">
        <f>IF(AND(AO$4=1,AO20=0),1,0)</f>
        <v/>
      </c>
      <c r="AP70">
        <f>IF(AND(AP$4=1,AP20=0),1,0)</f>
        <v/>
      </c>
      <c r="AQ70">
        <f>IF(AND(AQ$4=1,AQ20=0),1,0)</f>
        <v/>
      </c>
      <c r="AR70">
        <f>IF(AND(AR$4=1,AR20=0),1,0)</f>
        <v/>
      </c>
      <c r="AS70">
        <f>IF(AND(AS$4=1,AS20=0),1,0)</f>
        <v/>
      </c>
      <c r="AT70">
        <f>IF(AND(AT$4=1,AT20=0),1,0)</f>
        <v/>
      </c>
      <c r="AU70">
        <f>IF(AND(AU$4=1,AU20=0),1,0)</f>
        <v/>
      </c>
      <c r="AV70">
        <f>IF(AND(AV$4=1,AV20=0),1,0)</f>
        <v/>
      </c>
      <c r="AW70">
        <f>IF(AND(AW$4=1,AW20=0),1,0)</f>
        <v/>
      </c>
      <c r="AX70">
        <f>IF(AND(AX$4=1,AX20=0),1,0)</f>
        <v/>
      </c>
      <c r="AY70">
        <f>IF(AND(AY$4=1,AY20=0),1,0)</f>
        <v/>
      </c>
      <c r="AZ70">
        <f>IF(AND(AZ$4=1,AZ20=0),1,0)</f>
        <v/>
      </c>
      <c r="BA70">
        <f>IF(AND(BA$4=1,BA20=0),1,0)</f>
        <v/>
      </c>
      <c r="BB70">
        <f>IF(AND(BB$4=1,BB20=0),1,0)</f>
        <v/>
      </c>
      <c r="BC70">
        <f>IF(AND(BC$4=1,BC20=0),1,0)</f>
        <v/>
      </c>
      <c r="BD70">
        <f>IF(AND(BD$4=1,BD20=0),1,0)</f>
        <v/>
      </c>
      <c r="BE70">
        <f>IF(AND(BE$4=1,BE20=0),1,0)</f>
        <v/>
      </c>
      <c r="BF70">
        <f>IF(AND(BF$4=1,BF20=0),1,0)</f>
        <v/>
      </c>
      <c r="BG70">
        <f>IF(AND(BG$4=1,BG20=0),1,0)</f>
        <v/>
      </c>
      <c r="BH70">
        <f>IF(AND(BH$4=1,BH20=0),1,0)</f>
        <v/>
      </c>
      <c r="BI70">
        <f>IF(AND(BI$4=1,BI20=0),1,0)</f>
        <v/>
      </c>
      <c r="BJ70">
        <f>IF(AND(BJ$4=1,BJ20=0),1,0)</f>
        <v/>
      </c>
      <c r="BK70">
        <f>IF(AND(BK$4=1,BK20=0),1,0)</f>
        <v/>
      </c>
      <c r="BL70">
        <f>IF(AND(BL$4=1,BL20=0),1,0)</f>
        <v/>
      </c>
      <c r="BM70">
        <f>IF(AND(BM$4=1,BM20=0),1,0)</f>
        <v/>
      </c>
      <c r="BN70">
        <f>IF(AND(BN$4=1,BN20=0),1,0)</f>
        <v/>
      </c>
      <c r="BO70">
        <f>IF(AND(BO$4=1,BO20=0),1,0)</f>
        <v/>
      </c>
      <c r="BP70">
        <f>IF(AND(BP$4=1,BP20=0),1,0)</f>
        <v/>
      </c>
      <c r="BQ70">
        <f>IF(AND(BQ$4=1,BQ20=0),1,0)</f>
        <v/>
      </c>
      <c r="BR70">
        <f>IF(AND(BR$4=1,BR20=0),1,0)</f>
        <v/>
      </c>
      <c r="BS70">
        <f>IF(AND(BS$4=1,BS20=0),1,0)</f>
        <v/>
      </c>
      <c r="BT70">
        <f>IF(AND(BT$4=1,BT20=0),1,0)</f>
        <v/>
      </c>
      <c r="BU70">
        <f>IF(AND(BU$4=1,BU20=0),1,0)</f>
        <v/>
      </c>
      <c r="BV70">
        <f>IF(AND(BV$4=1,BV20=0),1,0)</f>
        <v/>
      </c>
      <c r="BW70">
        <f>IF(AND(BW$4=1,BW20=0),1,0)</f>
        <v/>
      </c>
      <c r="BX70">
        <f>IF(AND(BX$4=1,BX20=0),1,0)</f>
        <v/>
      </c>
      <c r="BY70">
        <f>IF(AND(BY$4=1,BY20=0),1,0)</f>
        <v/>
      </c>
      <c r="BZ70">
        <f>IF(AND(BZ$4=1,BZ20=0),1,0)</f>
        <v/>
      </c>
      <c r="CA70">
        <f>IF(AND(CA$4=1,CA20=0),1,0)</f>
        <v/>
      </c>
      <c r="CB70">
        <f>IF(AND(CB$4=1,CB20=0),1,0)</f>
        <v/>
      </c>
      <c r="CC70">
        <f>IF(AND(CC$4=1,CC20=0),1,0)</f>
        <v/>
      </c>
      <c r="CD70">
        <f>IF(AND(CD$4=1,CD20=0),1,0)</f>
        <v/>
      </c>
      <c r="CE70">
        <f>IF(AND(CE$4=1,CE20=0),1,0)</f>
        <v/>
      </c>
      <c r="CF70">
        <f>IF(AND(CF$4=1,CF20=0),1,0)</f>
        <v/>
      </c>
      <c r="CG70">
        <f>IF(AND(CG$4=1,CG20=0),1,0)</f>
        <v/>
      </c>
      <c r="CH70">
        <f>IF(AND(CH$4=1,CH20=0),1,0)</f>
        <v/>
      </c>
      <c r="CI70">
        <f>IF(AND(CI$4=1,CI20=0),1,0)</f>
        <v/>
      </c>
      <c r="CJ70">
        <f>IF(AND(CJ$4=1,CJ20=0),1,0)</f>
        <v/>
      </c>
      <c r="CK70">
        <f>IF(AND(CK$4=1,CK20=0),1,0)</f>
        <v/>
      </c>
      <c r="CL70">
        <f>IF(AND(CL$4=1,CL20=0),1,0)</f>
        <v/>
      </c>
      <c r="CM70">
        <f>IF(AND(CM$4=1,CM20=0),1,0)</f>
        <v/>
      </c>
      <c r="CN70">
        <f>IF(AND(CN$4=1,CN20=0),1,0)</f>
        <v/>
      </c>
      <c r="CO70">
        <f>IF(AND(CO$4=1,CO20=0),1,0)</f>
        <v/>
      </c>
      <c r="CP70">
        <f>IF(AND(CP$4=1,CP20=0),1,0)</f>
        <v/>
      </c>
      <c r="CQ70">
        <f>IF(AND(CQ$4=1,CQ20=0),1,0)</f>
        <v/>
      </c>
      <c r="CR70">
        <f>IF(AND(CR$4=1,CR20=0),1,0)</f>
        <v/>
      </c>
      <c r="CS70">
        <f>IF(AND(CS$4=1,CS20=0),1,0)</f>
        <v/>
      </c>
      <c r="CT70">
        <f>IF(AND(CT$4=1,CT20=0),1,0)</f>
        <v/>
      </c>
      <c r="CU70">
        <f>IF(AND(CU$4=1,CU20=0),1,0)</f>
        <v/>
      </c>
      <c r="CV70">
        <f>IF(AND(CV$4=1,CV20=0),1,0)</f>
        <v/>
      </c>
      <c r="CW70">
        <f>IF(AND(CW$4=1,CW20=0),1,0)</f>
        <v/>
      </c>
      <c r="CX70">
        <f>IF(AND(CX$4=1,CX20=0),1,0)</f>
        <v/>
      </c>
      <c r="CY70">
        <f>IF(AND(CY$4=1,CY20=0),1,0)</f>
        <v/>
      </c>
      <c r="CZ70">
        <f>IF(AND(CZ$4=1,CZ20=0),1,0)</f>
        <v/>
      </c>
      <c r="DA70">
        <f>IF(AND(DA$4=1,DA20=0),1,0)</f>
        <v/>
      </c>
      <c r="DB70">
        <f>IF(AND(DB$4=1,DB20=0),1,0)</f>
        <v/>
      </c>
      <c r="DC70">
        <f>IF(AND(DC$4=1,DC20=0),1,0)</f>
        <v/>
      </c>
      <c r="DD70">
        <f>IF(AND(DD$4=1,DD20=0),1,0)</f>
        <v/>
      </c>
      <c r="DE70">
        <f>IF(AND(DE$4=1,DE20=0),1,0)</f>
        <v/>
      </c>
      <c r="DF70">
        <f>IF(AND(DF$4=1,DF20=0),1,0)</f>
        <v/>
      </c>
      <c r="DG70">
        <f>IF(AND(DG$4=1,DG20=0),1,0)</f>
        <v/>
      </c>
      <c r="DH70">
        <f>IF(AND(DH$4=1,DH20=0),1,0)</f>
        <v/>
      </c>
      <c r="DI70">
        <f>IF(AND(DI$4=1,DI20=0),1,0)</f>
        <v/>
      </c>
      <c r="DJ70">
        <f>IF(AND(DJ$4=1,DJ20=0),1,0)</f>
        <v/>
      </c>
      <c r="DK70">
        <f>IF(AND(DK$4=1,DK20=0),1,0)</f>
        <v/>
      </c>
      <c r="DL70">
        <f>IF(AND(DL$4=1,DL20=0),1,0)</f>
        <v/>
      </c>
      <c r="DM70">
        <f>IF(AND(DM$4=1,DM20=0),1,0)</f>
        <v/>
      </c>
      <c r="DN70">
        <f>IF(AND(DN$4=1,DN20=0),1,0)</f>
        <v/>
      </c>
      <c r="DO70">
        <f>IF(AND(DO$4=1,DO20=0),1,0)</f>
        <v/>
      </c>
      <c r="DP70">
        <f>IF(AND(DP$4=1,DP20=0),1,0)</f>
        <v/>
      </c>
      <c r="DQ70">
        <f>IF(AND(DQ$4=1,DQ20=0),1,0)</f>
        <v/>
      </c>
      <c r="DR70">
        <f>IF(AND(DR$4=1,DR20=0),1,0)</f>
        <v/>
      </c>
      <c r="DS70">
        <f>IF(AND(DS$4=1,DS20=0),1,0)</f>
        <v/>
      </c>
      <c r="DT70">
        <f>IF(AND(DT$4=1,DT20=0),1,0)</f>
        <v/>
      </c>
      <c r="DU70">
        <f>IF(AND(DU$4=1,DU20=0),1,0)</f>
        <v/>
      </c>
      <c r="DV70">
        <f>IF(AND(DV$4=1,DV20=0),1,0)</f>
        <v/>
      </c>
      <c r="DW70">
        <f>IF(AND(DW$4=1,DW20=0),1,0)</f>
        <v/>
      </c>
      <c r="DX70">
        <f>IF(AND(DX$4=1,DX20=0),1,0)</f>
        <v/>
      </c>
      <c r="DY70">
        <f>IF(AND(DY$4=1,DY20=0),1,0)</f>
        <v/>
      </c>
      <c r="DZ70">
        <f>IF(AND(DZ$4=1,DZ20=0),1,0)</f>
        <v/>
      </c>
      <c r="EA70">
        <f>IF(AND(EA$4=1,EA20=0),1,0)</f>
        <v/>
      </c>
      <c r="EB70">
        <f>IF(AND(EB$4=1,EB20=0),1,0)</f>
        <v/>
      </c>
      <c r="EC70">
        <f>IF(AND(EC$4=1,EC20=0),1,0)</f>
        <v/>
      </c>
      <c r="ED70">
        <f>IF(AND(ED$4=1,ED20=0),1,0)</f>
        <v/>
      </c>
      <c r="EE70">
        <f>IF(AND(EE$4=1,EE20=0),1,0)</f>
        <v/>
      </c>
      <c r="EF70">
        <f>IF(AND(EF$4=1,EF20=0),1,0)</f>
        <v/>
      </c>
      <c r="EG70">
        <f>IF(AND(EG$4=1,EG20=0),1,0)</f>
        <v/>
      </c>
      <c r="EH70">
        <f>IF(AND(EH$4=1,EH20=0),1,0)</f>
        <v/>
      </c>
      <c r="EI70">
        <f>IF(AND(EI$4=1,EI20=0),1,0)</f>
        <v/>
      </c>
      <c r="EJ70">
        <f>IF(AND(EJ$4=1,EJ20=0),1,0)</f>
        <v/>
      </c>
      <c r="EK70">
        <f>IF(AND(EK$4=1,EK20=0),1,0)</f>
        <v/>
      </c>
      <c r="EL70">
        <f>IF(AND(EL$4=1,EL20=0),1,0)</f>
        <v/>
      </c>
      <c r="EM70">
        <f>IF(AND(EM$4=1,EM20=0),1,0)</f>
        <v/>
      </c>
      <c r="EN70">
        <f>IF(AND(EN$4=1,EN20=0),1,0)</f>
        <v/>
      </c>
      <c r="EO70">
        <f>IF(AND(EO$4=1,EO20=0),1,0)</f>
        <v/>
      </c>
      <c r="EP70">
        <f>IF(AND(EP$4=1,EP20=0),1,0)</f>
        <v/>
      </c>
      <c r="EQ70">
        <f>IF(AND(EQ$4=1,EQ20=0),1,0)</f>
        <v/>
      </c>
    </row>
    <row r="71">
      <c r="A71" t="n">
        <v>12</v>
      </c>
      <c r="D71">
        <f>IF(AND(D$4=1,D21=0),1,0)</f>
        <v/>
      </c>
      <c r="E71">
        <f>IF(AND(E$4=1,E21=0),1,0)</f>
        <v/>
      </c>
      <c r="F71">
        <f>IF(AND(F$4=1,F21=0),1,0)</f>
        <v/>
      </c>
      <c r="G71">
        <f>IF(AND(G$4=1,G21=0),1,0)</f>
        <v/>
      </c>
      <c r="H71">
        <f>IF(AND(H$4=1,H21=0),1,0)</f>
        <v/>
      </c>
      <c r="I71">
        <f>IF(AND(I$4=1,I21=0),1,0)</f>
        <v/>
      </c>
      <c r="J71">
        <f>IF(AND(J$4=1,J21=0),1,0)</f>
        <v/>
      </c>
      <c r="K71">
        <f>IF(AND(K$4=1,K21=0),1,0)</f>
        <v/>
      </c>
      <c r="L71">
        <f>IF(AND(L$4=1,L21=0),1,0)</f>
        <v/>
      </c>
      <c r="M71">
        <f>IF(AND(M$4=1,M21=0),1,0)</f>
        <v/>
      </c>
      <c r="N71">
        <f>IF(AND(N$4=1,N21=0),1,0)</f>
        <v/>
      </c>
      <c r="O71">
        <f>IF(AND(O$4=1,O21=0),1,0)</f>
        <v/>
      </c>
      <c r="P71">
        <f>IF(AND(P$4=1,P21=0),1,0)</f>
        <v/>
      </c>
      <c r="Q71">
        <f>IF(AND(Q$4=1,Q21=0),1,0)</f>
        <v/>
      </c>
      <c r="R71">
        <f>IF(AND(R$4=1,R21=0),1,0)</f>
        <v/>
      </c>
      <c r="S71">
        <f>IF(AND(S$4=1,S21=0),1,0)</f>
        <v/>
      </c>
      <c r="T71">
        <f>IF(AND(T$4=1,T21=0),1,0)</f>
        <v/>
      </c>
      <c r="U71">
        <f>IF(AND(U$4=1,U21=0),1,0)</f>
        <v/>
      </c>
      <c r="V71">
        <f>IF(AND(V$4=1,V21=0),1,0)</f>
        <v/>
      </c>
      <c r="W71">
        <f>IF(AND(W$4=1,W21=0),1,0)</f>
        <v/>
      </c>
      <c r="X71">
        <f>IF(AND(X$4=1,X21=0),1,0)</f>
        <v/>
      </c>
      <c r="Y71">
        <f>IF(AND(Y$4=1,Y21=0),1,0)</f>
        <v/>
      </c>
      <c r="Z71">
        <f>IF(AND(Z$4=1,Z21=0),1,0)</f>
        <v/>
      </c>
      <c r="AA71">
        <f>IF(AND(AA$4=1,AA21=0),1,0)</f>
        <v/>
      </c>
      <c r="AB71">
        <f>IF(AND(AB$4=1,AB21=0),1,0)</f>
        <v/>
      </c>
      <c r="AC71">
        <f>IF(AND(AC$4=1,AC21=0),1,0)</f>
        <v/>
      </c>
      <c r="AD71">
        <f>IF(AND(AD$4=1,AD21=0),1,0)</f>
        <v/>
      </c>
      <c r="AE71">
        <f>IF(AND(AE$4=1,AE21=0),1,0)</f>
        <v/>
      </c>
      <c r="AF71">
        <f>IF(AND(AF$4=1,AF21=0),1,0)</f>
        <v/>
      </c>
      <c r="AG71">
        <f>IF(AND(AG$4=1,AG21=0),1,0)</f>
        <v/>
      </c>
      <c r="AH71">
        <f>IF(AND(AH$4=1,AH21=0),1,0)</f>
        <v/>
      </c>
      <c r="AI71">
        <f>IF(AND(AI$4=1,AI21=0),1,0)</f>
        <v/>
      </c>
      <c r="AJ71">
        <f>IF(AND(AJ$4=1,AJ21=0),1,0)</f>
        <v/>
      </c>
      <c r="AK71">
        <f>IF(AND(AK$4=1,AK21=0),1,0)</f>
        <v/>
      </c>
      <c r="AL71">
        <f>IF(AND(AL$4=1,AL21=0),1,0)</f>
        <v/>
      </c>
      <c r="AM71">
        <f>IF(AND(AM$4=1,AM21=0),1,0)</f>
        <v/>
      </c>
      <c r="AN71">
        <f>IF(AND(AN$4=1,AN21=0),1,0)</f>
        <v/>
      </c>
      <c r="AO71">
        <f>IF(AND(AO$4=1,AO21=0),1,0)</f>
        <v/>
      </c>
      <c r="AP71">
        <f>IF(AND(AP$4=1,AP21=0),1,0)</f>
        <v/>
      </c>
      <c r="AQ71">
        <f>IF(AND(AQ$4=1,AQ21=0),1,0)</f>
        <v/>
      </c>
      <c r="AR71">
        <f>IF(AND(AR$4=1,AR21=0),1,0)</f>
        <v/>
      </c>
      <c r="AS71">
        <f>IF(AND(AS$4=1,AS21=0),1,0)</f>
        <v/>
      </c>
      <c r="AT71">
        <f>IF(AND(AT$4=1,AT21=0),1,0)</f>
        <v/>
      </c>
      <c r="AU71">
        <f>IF(AND(AU$4=1,AU21=0),1,0)</f>
        <v/>
      </c>
      <c r="AV71">
        <f>IF(AND(AV$4=1,AV21=0),1,0)</f>
        <v/>
      </c>
      <c r="AW71">
        <f>IF(AND(AW$4=1,AW21=0),1,0)</f>
        <v/>
      </c>
      <c r="AX71">
        <f>IF(AND(AX$4=1,AX21=0),1,0)</f>
        <v/>
      </c>
      <c r="AY71">
        <f>IF(AND(AY$4=1,AY21=0),1,0)</f>
        <v/>
      </c>
      <c r="AZ71">
        <f>IF(AND(AZ$4=1,AZ21=0),1,0)</f>
        <v/>
      </c>
      <c r="BA71">
        <f>IF(AND(BA$4=1,BA21=0),1,0)</f>
        <v/>
      </c>
      <c r="BB71">
        <f>IF(AND(BB$4=1,BB21=0),1,0)</f>
        <v/>
      </c>
      <c r="BC71">
        <f>IF(AND(BC$4=1,BC21=0),1,0)</f>
        <v/>
      </c>
      <c r="BD71">
        <f>IF(AND(BD$4=1,BD21=0),1,0)</f>
        <v/>
      </c>
      <c r="BE71">
        <f>IF(AND(BE$4=1,BE21=0),1,0)</f>
        <v/>
      </c>
      <c r="BF71">
        <f>IF(AND(BF$4=1,BF21=0),1,0)</f>
        <v/>
      </c>
      <c r="BG71">
        <f>IF(AND(BG$4=1,BG21=0),1,0)</f>
        <v/>
      </c>
      <c r="BH71">
        <f>IF(AND(BH$4=1,BH21=0),1,0)</f>
        <v/>
      </c>
      <c r="BI71">
        <f>IF(AND(BI$4=1,BI21=0),1,0)</f>
        <v/>
      </c>
      <c r="BJ71">
        <f>IF(AND(BJ$4=1,BJ21=0),1,0)</f>
        <v/>
      </c>
      <c r="BK71">
        <f>IF(AND(BK$4=1,BK21=0),1,0)</f>
        <v/>
      </c>
      <c r="BL71">
        <f>IF(AND(BL$4=1,BL21=0),1,0)</f>
        <v/>
      </c>
      <c r="BM71">
        <f>IF(AND(BM$4=1,BM21=0),1,0)</f>
        <v/>
      </c>
      <c r="BN71">
        <f>IF(AND(BN$4=1,BN21=0),1,0)</f>
        <v/>
      </c>
      <c r="BO71">
        <f>IF(AND(BO$4=1,BO21=0),1,0)</f>
        <v/>
      </c>
      <c r="BP71">
        <f>IF(AND(BP$4=1,BP21=0),1,0)</f>
        <v/>
      </c>
      <c r="BQ71">
        <f>IF(AND(BQ$4=1,BQ21=0),1,0)</f>
        <v/>
      </c>
      <c r="BR71">
        <f>IF(AND(BR$4=1,BR21=0),1,0)</f>
        <v/>
      </c>
      <c r="BS71">
        <f>IF(AND(BS$4=1,BS21=0),1,0)</f>
        <v/>
      </c>
      <c r="BT71">
        <f>IF(AND(BT$4=1,BT21=0),1,0)</f>
        <v/>
      </c>
      <c r="BU71">
        <f>IF(AND(BU$4=1,BU21=0),1,0)</f>
        <v/>
      </c>
      <c r="BV71">
        <f>IF(AND(BV$4=1,BV21=0),1,0)</f>
        <v/>
      </c>
      <c r="BW71">
        <f>IF(AND(BW$4=1,BW21=0),1,0)</f>
        <v/>
      </c>
      <c r="BX71">
        <f>IF(AND(BX$4=1,BX21=0),1,0)</f>
        <v/>
      </c>
      <c r="BY71">
        <f>IF(AND(BY$4=1,BY21=0),1,0)</f>
        <v/>
      </c>
      <c r="BZ71">
        <f>IF(AND(BZ$4=1,BZ21=0),1,0)</f>
        <v/>
      </c>
      <c r="CA71">
        <f>IF(AND(CA$4=1,CA21=0),1,0)</f>
        <v/>
      </c>
      <c r="CB71">
        <f>IF(AND(CB$4=1,CB21=0),1,0)</f>
        <v/>
      </c>
      <c r="CC71">
        <f>IF(AND(CC$4=1,CC21=0),1,0)</f>
        <v/>
      </c>
      <c r="CD71">
        <f>IF(AND(CD$4=1,CD21=0),1,0)</f>
        <v/>
      </c>
      <c r="CE71">
        <f>IF(AND(CE$4=1,CE21=0),1,0)</f>
        <v/>
      </c>
      <c r="CF71">
        <f>IF(AND(CF$4=1,CF21=0),1,0)</f>
        <v/>
      </c>
      <c r="CG71">
        <f>IF(AND(CG$4=1,CG21=0),1,0)</f>
        <v/>
      </c>
      <c r="CH71">
        <f>IF(AND(CH$4=1,CH21=0),1,0)</f>
        <v/>
      </c>
      <c r="CI71">
        <f>IF(AND(CI$4=1,CI21=0),1,0)</f>
        <v/>
      </c>
      <c r="CJ71">
        <f>IF(AND(CJ$4=1,CJ21=0),1,0)</f>
        <v/>
      </c>
      <c r="CK71">
        <f>IF(AND(CK$4=1,CK21=0),1,0)</f>
        <v/>
      </c>
      <c r="CL71">
        <f>IF(AND(CL$4=1,CL21=0),1,0)</f>
        <v/>
      </c>
      <c r="CM71">
        <f>IF(AND(CM$4=1,CM21=0),1,0)</f>
        <v/>
      </c>
      <c r="CN71">
        <f>IF(AND(CN$4=1,CN21=0),1,0)</f>
        <v/>
      </c>
      <c r="CO71">
        <f>IF(AND(CO$4=1,CO21=0),1,0)</f>
        <v/>
      </c>
      <c r="CP71">
        <f>IF(AND(CP$4=1,CP21=0),1,0)</f>
        <v/>
      </c>
      <c r="CQ71">
        <f>IF(AND(CQ$4=1,CQ21=0),1,0)</f>
        <v/>
      </c>
      <c r="CR71">
        <f>IF(AND(CR$4=1,CR21=0),1,0)</f>
        <v/>
      </c>
      <c r="CS71">
        <f>IF(AND(CS$4=1,CS21=0),1,0)</f>
        <v/>
      </c>
      <c r="CT71">
        <f>IF(AND(CT$4=1,CT21=0),1,0)</f>
        <v/>
      </c>
      <c r="CU71">
        <f>IF(AND(CU$4=1,CU21=0),1,0)</f>
        <v/>
      </c>
      <c r="CV71">
        <f>IF(AND(CV$4=1,CV21=0),1,0)</f>
        <v/>
      </c>
      <c r="CW71">
        <f>IF(AND(CW$4=1,CW21=0),1,0)</f>
        <v/>
      </c>
      <c r="CX71">
        <f>IF(AND(CX$4=1,CX21=0),1,0)</f>
        <v/>
      </c>
      <c r="CY71">
        <f>IF(AND(CY$4=1,CY21=0),1,0)</f>
        <v/>
      </c>
      <c r="CZ71">
        <f>IF(AND(CZ$4=1,CZ21=0),1,0)</f>
        <v/>
      </c>
      <c r="DA71">
        <f>IF(AND(DA$4=1,DA21=0),1,0)</f>
        <v/>
      </c>
      <c r="DB71">
        <f>IF(AND(DB$4=1,DB21=0),1,0)</f>
        <v/>
      </c>
      <c r="DC71">
        <f>IF(AND(DC$4=1,DC21=0),1,0)</f>
        <v/>
      </c>
      <c r="DD71">
        <f>IF(AND(DD$4=1,DD21=0),1,0)</f>
        <v/>
      </c>
      <c r="DE71">
        <f>IF(AND(DE$4=1,DE21=0),1,0)</f>
        <v/>
      </c>
      <c r="DF71">
        <f>IF(AND(DF$4=1,DF21=0),1,0)</f>
        <v/>
      </c>
      <c r="DG71">
        <f>IF(AND(DG$4=1,DG21=0),1,0)</f>
        <v/>
      </c>
      <c r="DH71">
        <f>IF(AND(DH$4=1,DH21=0),1,0)</f>
        <v/>
      </c>
      <c r="DI71">
        <f>IF(AND(DI$4=1,DI21=0),1,0)</f>
        <v/>
      </c>
      <c r="DJ71">
        <f>IF(AND(DJ$4=1,DJ21=0),1,0)</f>
        <v/>
      </c>
      <c r="DK71">
        <f>IF(AND(DK$4=1,DK21=0),1,0)</f>
        <v/>
      </c>
      <c r="DL71">
        <f>IF(AND(DL$4=1,DL21=0),1,0)</f>
        <v/>
      </c>
      <c r="DM71">
        <f>IF(AND(DM$4=1,DM21=0),1,0)</f>
        <v/>
      </c>
      <c r="DN71">
        <f>IF(AND(DN$4=1,DN21=0),1,0)</f>
        <v/>
      </c>
      <c r="DO71">
        <f>IF(AND(DO$4=1,DO21=0),1,0)</f>
        <v/>
      </c>
      <c r="DP71">
        <f>IF(AND(DP$4=1,DP21=0),1,0)</f>
        <v/>
      </c>
      <c r="DQ71">
        <f>IF(AND(DQ$4=1,DQ21=0),1,0)</f>
        <v/>
      </c>
      <c r="DR71">
        <f>IF(AND(DR$4=1,DR21=0),1,0)</f>
        <v/>
      </c>
      <c r="DS71">
        <f>IF(AND(DS$4=1,DS21=0),1,0)</f>
        <v/>
      </c>
      <c r="DT71">
        <f>IF(AND(DT$4=1,DT21=0),1,0)</f>
        <v/>
      </c>
      <c r="DU71">
        <f>IF(AND(DU$4=1,DU21=0),1,0)</f>
        <v/>
      </c>
      <c r="DV71">
        <f>IF(AND(DV$4=1,DV21=0),1,0)</f>
        <v/>
      </c>
      <c r="DW71">
        <f>IF(AND(DW$4=1,DW21=0),1,0)</f>
        <v/>
      </c>
      <c r="DX71">
        <f>IF(AND(DX$4=1,DX21=0),1,0)</f>
        <v/>
      </c>
      <c r="DY71">
        <f>IF(AND(DY$4=1,DY21=0),1,0)</f>
        <v/>
      </c>
      <c r="DZ71">
        <f>IF(AND(DZ$4=1,DZ21=0),1,0)</f>
        <v/>
      </c>
      <c r="EA71">
        <f>IF(AND(EA$4=1,EA21=0),1,0)</f>
        <v/>
      </c>
      <c r="EB71">
        <f>IF(AND(EB$4=1,EB21=0),1,0)</f>
        <v/>
      </c>
      <c r="EC71">
        <f>IF(AND(EC$4=1,EC21=0),1,0)</f>
        <v/>
      </c>
      <c r="ED71">
        <f>IF(AND(ED$4=1,ED21=0),1,0)</f>
        <v/>
      </c>
      <c r="EE71">
        <f>IF(AND(EE$4=1,EE21=0),1,0)</f>
        <v/>
      </c>
      <c r="EF71">
        <f>IF(AND(EF$4=1,EF21=0),1,0)</f>
        <v/>
      </c>
      <c r="EG71">
        <f>IF(AND(EG$4=1,EG21=0),1,0)</f>
        <v/>
      </c>
      <c r="EH71">
        <f>IF(AND(EH$4=1,EH21=0),1,0)</f>
        <v/>
      </c>
      <c r="EI71">
        <f>IF(AND(EI$4=1,EI21=0),1,0)</f>
        <v/>
      </c>
      <c r="EJ71">
        <f>IF(AND(EJ$4=1,EJ21=0),1,0)</f>
        <v/>
      </c>
      <c r="EK71">
        <f>IF(AND(EK$4=1,EK21=0),1,0)</f>
        <v/>
      </c>
      <c r="EL71">
        <f>IF(AND(EL$4=1,EL21=0),1,0)</f>
        <v/>
      </c>
      <c r="EM71">
        <f>IF(AND(EM$4=1,EM21=0),1,0)</f>
        <v/>
      </c>
      <c r="EN71">
        <f>IF(AND(EN$4=1,EN21=0),1,0)</f>
        <v/>
      </c>
      <c r="EO71">
        <f>IF(AND(EO$4=1,EO21=0),1,0)</f>
        <v/>
      </c>
      <c r="EP71">
        <f>IF(AND(EP$4=1,EP21=0),1,0)</f>
        <v/>
      </c>
      <c r="EQ71">
        <f>IF(AND(EQ$4=1,EQ21=0),1,0)</f>
        <v/>
      </c>
    </row>
    <row r="72">
      <c r="A72" t="n">
        <v>13</v>
      </c>
      <c r="D72">
        <f>IF(AND(D$4=1,D22=0),1,0)</f>
        <v/>
      </c>
      <c r="E72">
        <f>IF(AND(E$4=1,E22=0),1,0)</f>
        <v/>
      </c>
      <c r="F72">
        <f>IF(AND(F$4=1,F22=0),1,0)</f>
        <v/>
      </c>
      <c r="G72">
        <f>IF(AND(G$4=1,G22=0),1,0)</f>
        <v/>
      </c>
      <c r="H72">
        <f>IF(AND(H$4=1,H22=0),1,0)</f>
        <v/>
      </c>
      <c r="I72">
        <f>IF(AND(I$4=1,I22=0),1,0)</f>
        <v/>
      </c>
      <c r="J72">
        <f>IF(AND(J$4=1,J22=0),1,0)</f>
        <v/>
      </c>
      <c r="K72">
        <f>IF(AND(K$4=1,K22=0),1,0)</f>
        <v/>
      </c>
      <c r="L72">
        <f>IF(AND(L$4=1,L22=0),1,0)</f>
        <v/>
      </c>
      <c r="M72">
        <f>IF(AND(M$4=1,M22=0),1,0)</f>
        <v/>
      </c>
      <c r="N72">
        <f>IF(AND(N$4=1,N22=0),1,0)</f>
        <v/>
      </c>
      <c r="O72">
        <f>IF(AND(O$4=1,O22=0),1,0)</f>
        <v/>
      </c>
      <c r="P72">
        <f>IF(AND(P$4=1,P22=0),1,0)</f>
        <v/>
      </c>
      <c r="Q72">
        <f>IF(AND(Q$4=1,Q22=0),1,0)</f>
        <v/>
      </c>
      <c r="R72">
        <f>IF(AND(R$4=1,R22=0),1,0)</f>
        <v/>
      </c>
      <c r="S72">
        <f>IF(AND(S$4=1,S22=0),1,0)</f>
        <v/>
      </c>
      <c r="T72">
        <f>IF(AND(T$4=1,T22=0),1,0)</f>
        <v/>
      </c>
      <c r="U72">
        <f>IF(AND(U$4=1,U22=0),1,0)</f>
        <v/>
      </c>
      <c r="V72">
        <f>IF(AND(V$4=1,V22=0),1,0)</f>
        <v/>
      </c>
      <c r="W72">
        <f>IF(AND(W$4=1,W22=0),1,0)</f>
        <v/>
      </c>
      <c r="X72">
        <f>IF(AND(X$4=1,X22=0),1,0)</f>
        <v/>
      </c>
      <c r="Y72">
        <f>IF(AND(Y$4=1,Y22=0),1,0)</f>
        <v/>
      </c>
      <c r="Z72">
        <f>IF(AND(Z$4=1,Z22=0),1,0)</f>
        <v/>
      </c>
      <c r="AA72">
        <f>IF(AND(AA$4=1,AA22=0),1,0)</f>
        <v/>
      </c>
      <c r="AB72">
        <f>IF(AND(AB$4=1,AB22=0),1,0)</f>
        <v/>
      </c>
      <c r="AC72">
        <f>IF(AND(AC$4=1,AC22=0),1,0)</f>
        <v/>
      </c>
      <c r="AD72">
        <f>IF(AND(AD$4=1,AD22=0),1,0)</f>
        <v/>
      </c>
      <c r="AE72">
        <f>IF(AND(AE$4=1,AE22=0),1,0)</f>
        <v/>
      </c>
      <c r="AF72">
        <f>IF(AND(AF$4=1,AF22=0),1,0)</f>
        <v/>
      </c>
      <c r="AG72">
        <f>IF(AND(AG$4=1,AG22=0),1,0)</f>
        <v/>
      </c>
      <c r="AH72">
        <f>IF(AND(AH$4=1,AH22=0),1,0)</f>
        <v/>
      </c>
      <c r="AI72">
        <f>IF(AND(AI$4=1,AI22=0),1,0)</f>
        <v/>
      </c>
      <c r="AJ72">
        <f>IF(AND(AJ$4=1,AJ22=0),1,0)</f>
        <v/>
      </c>
      <c r="AK72">
        <f>IF(AND(AK$4=1,AK22=0),1,0)</f>
        <v/>
      </c>
      <c r="AL72">
        <f>IF(AND(AL$4=1,AL22=0),1,0)</f>
        <v/>
      </c>
      <c r="AM72">
        <f>IF(AND(AM$4=1,AM22=0),1,0)</f>
        <v/>
      </c>
      <c r="AN72">
        <f>IF(AND(AN$4=1,AN22=0),1,0)</f>
        <v/>
      </c>
      <c r="AO72">
        <f>IF(AND(AO$4=1,AO22=0),1,0)</f>
        <v/>
      </c>
      <c r="AP72">
        <f>IF(AND(AP$4=1,AP22=0),1,0)</f>
        <v/>
      </c>
      <c r="AQ72">
        <f>IF(AND(AQ$4=1,AQ22=0),1,0)</f>
        <v/>
      </c>
      <c r="AR72">
        <f>IF(AND(AR$4=1,AR22=0),1,0)</f>
        <v/>
      </c>
      <c r="AS72">
        <f>IF(AND(AS$4=1,AS22=0),1,0)</f>
        <v/>
      </c>
      <c r="AT72">
        <f>IF(AND(AT$4=1,AT22=0),1,0)</f>
        <v/>
      </c>
      <c r="AU72">
        <f>IF(AND(AU$4=1,AU22=0),1,0)</f>
        <v/>
      </c>
      <c r="AV72">
        <f>IF(AND(AV$4=1,AV22=0),1,0)</f>
        <v/>
      </c>
      <c r="AW72">
        <f>IF(AND(AW$4=1,AW22=0),1,0)</f>
        <v/>
      </c>
      <c r="AX72">
        <f>IF(AND(AX$4=1,AX22=0),1,0)</f>
        <v/>
      </c>
      <c r="AY72">
        <f>IF(AND(AY$4=1,AY22=0),1,0)</f>
        <v/>
      </c>
      <c r="AZ72">
        <f>IF(AND(AZ$4=1,AZ22=0),1,0)</f>
        <v/>
      </c>
      <c r="BA72">
        <f>IF(AND(BA$4=1,BA22=0),1,0)</f>
        <v/>
      </c>
      <c r="BB72">
        <f>IF(AND(BB$4=1,BB22=0),1,0)</f>
        <v/>
      </c>
      <c r="BC72">
        <f>IF(AND(BC$4=1,BC22=0),1,0)</f>
        <v/>
      </c>
      <c r="BD72">
        <f>IF(AND(BD$4=1,BD22=0),1,0)</f>
        <v/>
      </c>
      <c r="BE72">
        <f>IF(AND(BE$4=1,BE22=0),1,0)</f>
        <v/>
      </c>
      <c r="BF72">
        <f>IF(AND(BF$4=1,BF22=0),1,0)</f>
        <v/>
      </c>
      <c r="BG72">
        <f>IF(AND(BG$4=1,BG22=0),1,0)</f>
        <v/>
      </c>
      <c r="BH72">
        <f>IF(AND(BH$4=1,BH22=0),1,0)</f>
        <v/>
      </c>
      <c r="BI72">
        <f>IF(AND(BI$4=1,BI22=0),1,0)</f>
        <v/>
      </c>
      <c r="BJ72">
        <f>IF(AND(BJ$4=1,BJ22=0),1,0)</f>
        <v/>
      </c>
      <c r="BK72">
        <f>IF(AND(BK$4=1,BK22=0),1,0)</f>
        <v/>
      </c>
      <c r="BL72">
        <f>IF(AND(BL$4=1,BL22=0),1,0)</f>
        <v/>
      </c>
      <c r="BM72">
        <f>IF(AND(BM$4=1,BM22=0),1,0)</f>
        <v/>
      </c>
      <c r="BN72">
        <f>IF(AND(BN$4=1,BN22=0),1,0)</f>
        <v/>
      </c>
      <c r="BO72">
        <f>IF(AND(BO$4=1,BO22=0),1,0)</f>
        <v/>
      </c>
      <c r="BP72">
        <f>IF(AND(BP$4=1,BP22=0),1,0)</f>
        <v/>
      </c>
      <c r="BQ72">
        <f>IF(AND(BQ$4=1,BQ22=0),1,0)</f>
        <v/>
      </c>
      <c r="BR72">
        <f>IF(AND(BR$4=1,BR22=0),1,0)</f>
        <v/>
      </c>
      <c r="BS72">
        <f>IF(AND(BS$4=1,BS22=0),1,0)</f>
        <v/>
      </c>
      <c r="BT72">
        <f>IF(AND(BT$4=1,BT22=0),1,0)</f>
        <v/>
      </c>
      <c r="BU72">
        <f>IF(AND(BU$4=1,BU22=0),1,0)</f>
        <v/>
      </c>
      <c r="BV72">
        <f>IF(AND(BV$4=1,BV22=0),1,0)</f>
        <v/>
      </c>
      <c r="BW72">
        <f>IF(AND(BW$4=1,BW22=0),1,0)</f>
        <v/>
      </c>
      <c r="BX72">
        <f>IF(AND(BX$4=1,BX22=0),1,0)</f>
        <v/>
      </c>
      <c r="BY72">
        <f>IF(AND(BY$4=1,BY22=0),1,0)</f>
        <v/>
      </c>
      <c r="BZ72">
        <f>IF(AND(BZ$4=1,BZ22=0),1,0)</f>
        <v/>
      </c>
      <c r="CA72">
        <f>IF(AND(CA$4=1,CA22=0),1,0)</f>
        <v/>
      </c>
      <c r="CB72">
        <f>IF(AND(CB$4=1,CB22=0),1,0)</f>
        <v/>
      </c>
      <c r="CC72">
        <f>IF(AND(CC$4=1,CC22=0),1,0)</f>
        <v/>
      </c>
      <c r="CD72">
        <f>IF(AND(CD$4=1,CD22=0),1,0)</f>
        <v/>
      </c>
      <c r="CE72">
        <f>IF(AND(CE$4=1,CE22=0),1,0)</f>
        <v/>
      </c>
      <c r="CF72">
        <f>IF(AND(CF$4=1,CF22=0),1,0)</f>
        <v/>
      </c>
      <c r="CG72">
        <f>IF(AND(CG$4=1,CG22=0),1,0)</f>
        <v/>
      </c>
      <c r="CH72">
        <f>IF(AND(CH$4=1,CH22=0),1,0)</f>
        <v/>
      </c>
      <c r="CI72">
        <f>IF(AND(CI$4=1,CI22=0),1,0)</f>
        <v/>
      </c>
      <c r="CJ72">
        <f>IF(AND(CJ$4=1,CJ22=0),1,0)</f>
        <v/>
      </c>
      <c r="CK72">
        <f>IF(AND(CK$4=1,CK22=0),1,0)</f>
        <v/>
      </c>
      <c r="CL72">
        <f>IF(AND(CL$4=1,CL22=0),1,0)</f>
        <v/>
      </c>
      <c r="CM72">
        <f>IF(AND(CM$4=1,CM22=0),1,0)</f>
        <v/>
      </c>
      <c r="CN72">
        <f>IF(AND(CN$4=1,CN22=0),1,0)</f>
        <v/>
      </c>
      <c r="CO72">
        <f>IF(AND(CO$4=1,CO22=0),1,0)</f>
        <v/>
      </c>
      <c r="CP72">
        <f>IF(AND(CP$4=1,CP22=0),1,0)</f>
        <v/>
      </c>
      <c r="CQ72">
        <f>IF(AND(CQ$4=1,CQ22=0),1,0)</f>
        <v/>
      </c>
      <c r="CR72">
        <f>IF(AND(CR$4=1,CR22=0),1,0)</f>
        <v/>
      </c>
      <c r="CS72">
        <f>IF(AND(CS$4=1,CS22=0),1,0)</f>
        <v/>
      </c>
      <c r="CT72">
        <f>IF(AND(CT$4=1,CT22=0),1,0)</f>
        <v/>
      </c>
      <c r="CU72">
        <f>IF(AND(CU$4=1,CU22=0),1,0)</f>
        <v/>
      </c>
      <c r="CV72">
        <f>IF(AND(CV$4=1,CV22=0),1,0)</f>
        <v/>
      </c>
      <c r="CW72">
        <f>IF(AND(CW$4=1,CW22=0),1,0)</f>
        <v/>
      </c>
      <c r="CX72">
        <f>IF(AND(CX$4=1,CX22=0),1,0)</f>
        <v/>
      </c>
      <c r="CY72">
        <f>IF(AND(CY$4=1,CY22=0),1,0)</f>
        <v/>
      </c>
      <c r="CZ72">
        <f>IF(AND(CZ$4=1,CZ22=0),1,0)</f>
        <v/>
      </c>
      <c r="DA72">
        <f>IF(AND(DA$4=1,DA22=0),1,0)</f>
        <v/>
      </c>
      <c r="DB72">
        <f>IF(AND(DB$4=1,DB22=0),1,0)</f>
        <v/>
      </c>
      <c r="DC72">
        <f>IF(AND(DC$4=1,DC22=0),1,0)</f>
        <v/>
      </c>
      <c r="DD72">
        <f>IF(AND(DD$4=1,DD22=0),1,0)</f>
        <v/>
      </c>
      <c r="DE72">
        <f>IF(AND(DE$4=1,DE22=0),1,0)</f>
        <v/>
      </c>
      <c r="DF72">
        <f>IF(AND(DF$4=1,DF22=0),1,0)</f>
        <v/>
      </c>
      <c r="DG72">
        <f>IF(AND(DG$4=1,DG22=0),1,0)</f>
        <v/>
      </c>
      <c r="DH72">
        <f>IF(AND(DH$4=1,DH22=0),1,0)</f>
        <v/>
      </c>
      <c r="DI72">
        <f>IF(AND(DI$4=1,DI22=0),1,0)</f>
        <v/>
      </c>
      <c r="DJ72">
        <f>IF(AND(DJ$4=1,DJ22=0),1,0)</f>
        <v/>
      </c>
      <c r="DK72">
        <f>IF(AND(DK$4=1,DK22=0),1,0)</f>
        <v/>
      </c>
      <c r="DL72">
        <f>IF(AND(DL$4=1,DL22=0),1,0)</f>
        <v/>
      </c>
      <c r="DM72">
        <f>IF(AND(DM$4=1,DM22=0),1,0)</f>
        <v/>
      </c>
      <c r="DN72">
        <f>IF(AND(DN$4=1,DN22=0),1,0)</f>
        <v/>
      </c>
      <c r="DO72">
        <f>IF(AND(DO$4=1,DO22=0),1,0)</f>
        <v/>
      </c>
      <c r="DP72">
        <f>IF(AND(DP$4=1,DP22=0),1,0)</f>
        <v/>
      </c>
      <c r="DQ72">
        <f>IF(AND(DQ$4=1,DQ22=0),1,0)</f>
        <v/>
      </c>
      <c r="DR72">
        <f>IF(AND(DR$4=1,DR22=0),1,0)</f>
        <v/>
      </c>
      <c r="DS72">
        <f>IF(AND(DS$4=1,DS22=0),1,0)</f>
        <v/>
      </c>
      <c r="DT72">
        <f>IF(AND(DT$4=1,DT22=0),1,0)</f>
        <v/>
      </c>
      <c r="DU72">
        <f>IF(AND(DU$4=1,DU22=0),1,0)</f>
        <v/>
      </c>
      <c r="DV72">
        <f>IF(AND(DV$4=1,DV22=0),1,0)</f>
        <v/>
      </c>
      <c r="DW72">
        <f>IF(AND(DW$4=1,DW22=0),1,0)</f>
        <v/>
      </c>
      <c r="DX72">
        <f>IF(AND(DX$4=1,DX22=0),1,0)</f>
        <v/>
      </c>
      <c r="DY72">
        <f>IF(AND(DY$4=1,DY22=0),1,0)</f>
        <v/>
      </c>
      <c r="DZ72">
        <f>IF(AND(DZ$4=1,DZ22=0),1,0)</f>
        <v/>
      </c>
      <c r="EA72">
        <f>IF(AND(EA$4=1,EA22=0),1,0)</f>
        <v/>
      </c>
      <c r="EB72">
        <f>IF(AND(EB$4=1,EB22=0),1,0)</f>
        <v/>
      </c>
      <c r="EC72">
        <f>IF(AND(EC$4=1,EC22=0),1,0)</f>
        <v/>
      </c>
      <c r="ED72">
        <f>IF(AND(ED$4=1,ED22=0),1,0)</f>
        <v/>
      </c>
      <c r="EE72">
        <f>IF(AND(EE$4=1,EE22=0),1,0)</f>
        <v/>
      </c>
      <c r="EF72">
        <f>IF(AND(EF$4=1,EF22=0),1,0)</f>
        <v/>
      </c>
      <c r="EG72">
        <f>IF(AND(EG$4=1,EG22=0),1,0)</f>
        <v/>
      </c>
      <c r="EH72">
        <f>IF(AND(EH$4=1,EH22=0),1,0)</f>
        <v/>
      </c>
      <c r="EI72">
        <f>IF(AND(EI$4=1,EI22=0),1,0)</f>
        <v/>
      </c>
      <c r="EJ72">
        <f>IF(AND(EJ$4=1,EJ22=0),1,0)</f>
        <v/>
      </c>
      <c r="EK72">
        <f>IF(AND(EK$4=1,EK22=0),1,0)</f>
        <v/>
      </c>
      <c r="EL72">
        <f>IF(AND(EL$4=1,EL22=0),1,0)</f>
        <v/>
      </c>
      <c r="EM72">
        <f>IF(AND(EM$4=1,EM22=0),1,0)</f>
        <v/>
      </c>
      <c r="EN72">
        <f>IF(AND(EN$4=1,EN22=0),1,0)</f>
        <v/>
      </c>
      <c r="EO72">
        <f>IF(AND(EO$4=1,EO22=0),1,0)</f>
        <v/>
      </c>
      <c r="EP72">
        <f>IF(AND(EP$4=1,EP22=0),1,0)</f>
        <v/>
      </c>
      <c r="EQ72">
        <f>IF(AND(EQ$4=1,EQ22=0),1,0)</f>
        <v/>
      </c>
    </row>
    <row r="73">
      <c r="A73" t="n">
        <v>14</v>
      </c>
      <c r="D73">
        <f>IF(AND(D$4=1,D23=0),1,0)</f>
        <v/>
      </c>
      <c r="E73">
        <f>IF(AND(E$4=1,E23=0),1,0)</f>
        <v/>
      </c>
      <c r="F73">
        <f>IF(AND(F$4=1,F23=0),1,0)</f>
        <v/>
      </c>
      <c r="G73">
        <f>IF(AND(G$4=1,G23=0),1,0)</f>
        <v/>
      </c>
      <c r="H73">
        <f>IF(AND(H$4=1,H23=0),1,0)</f>
        <v/>
      </c>
      <c r="I73">
        <f>IF(AND(I$4=1,I23=0),1,0)</f>
        <v/>
      </c>
      <c r="J73">
        <f>IF(AND(J$4=1,J23=0),1,0)</f>
        <v/>
      </c>
      <c r="K73">
        <f>IF(AND(K$4=1,K23=0),1,0)</f>
        <v/>
      </c>
      <c r="L73">
        <f>IF(AND(L$4=1,L23=0),1,0)</f>
        <v/>
      </c>
      <c r="M73">
        <f>IF(AND(M$4=1,M23=0),1,0)</f>
        <v/>
      </c>
      <c r="N73">
        <f>IF(AND(N$4=1,N23=0),1,0)</f>
        <v/>
      </c>
      <c r="O73">
        <f>IF(AND(O$4=1,O23=0),1,0)</f>
        <v/>
      </c>
      <c r="P73">
        <f>IF(AND(P$4=1,P23=0),1,0)</f>
        <v/>
      </c>
      <c r="Q73">
        <f>IF(AND(Q$4=1,Q23=0),1,0)</f>
        <v/>
      </c>
      <c r="R73">
        <f>IF(AND(R$4=1,R23=0),1,0)</f>
        <v/>
      </c>
      <c r="S73">
        <f>IF(AND(S$4=1,S23=0),1,0)</f>
        <v/>
      </c>
      <c r="T73">
        <f>IF(AND(T$4=1,T23=0),1,0)</f>
        <v/>
      </c>
      <c r="U73">
        <f>IF(AND(U$4=1,U23=0),1,0)</f>
        <v/>
      </c>
      <c r="V73">
        <f>IF(AND(V$4=1,V23=0),1,0)</f>
        <v/>
      </c>
      <c r="W73">
        <f>IF(AND(W$4=1,W23=0),1,0)</f>
        <v/>
      </c>
      <c r="X73">
        <f>IF(AND(X$4=1,X23=0),1,0)</f>
        <v/>
      </c>
      <c r="Y73">
        <f>IF(AND(Y$4=1,Y23=0),1,0)</f>
        <v/>
      </c>
      <c r="Z73">
        <f>IF(AND(Z$4=1,Z23=0),1,0)</f>
        <v/>
      </c>
      <c r="AA73">
        <f>IF(AND(AA$4=1,AA23=0),1,0)</f>
        <v/>
      </c>
      <c r="AB73">
        <f>IF(AND(AB$4=1,AB23=0),1,0)</f>
        <v/>
      </c>
      <c r="AC73">
        <f>IF(AND(AC$4=1,AC23=0),1,0)</f>
        <v/>
      </c>
      <c r="AD73">
        <f>IF(AND(AD$4=1,AD23=0),1,0)</f>
        <v/>
      </c>
      <c r="AE73">
        <f>IF(AND(AE$4=1,AE23=0),1,0)</f>
        <v/>
      </c>
      <c r="AF73">
        <f>IF(AND(AF$4=1,AF23=0),1,0)</f>
        <v/>
      </c>
      <c r="AG73">
        <f>IF(AND(AG$4=1,AG23=0),1,0)</f>
        <v/>
      </c>
      <c r="AH73">
        <f>IF(AND(AH$4=1,AH23=0),1,0)</f>
        <v/>
      </c>
      <c r="AI73">
        <f>IF(AND(AI$4=1,AI23=0),1,0)</f>
        <v/>
      </c>
      <c r="AJ73">
        <f>IF(AND(AJ$4=1,AJ23=0),1,0)</f>
        <v/>
      </c>
      <c r="AK73">
        <f>IF(AND(AK$4=1,AK23=0),1,0)</f>
        <v/>
      </c>
      <c r="AL73">
        <f>IF(AND(AL$4=1,AL23=0),1,0)</f>
        <v/>
      </c>
      <c r="AM73">
        <f>IF(AND(AM$4=1,AM23=0),1,0)</f>
        <v/>
      </c>
      <c r="AN73">
        <f>IF(AND(AN$4=1,AN23=0),1,0)</f>
        <v/>
      </c>
      <c r="AO73">
        <f>IF(AND(AO$4=1,AO23=0),1,0)</f>
        <v/>
      </c>
      <c r="AP73">
        <f>IF(AND(AP$4=1,AP23=0),1,0)</f>
        <v/>
      </c>
      <c r="AQ73">
        <f>IF(AND(AQ$4=1,AQ23=0),1,0)</f>
        <v/>
      </c>
      <c r="AR73">
        <f>IF(AND(AR$4=1,AR23=0),1,0)</f>
        <v/>
      </c>
      <c r="AS73">
        <f>IF(AND(AS$4=1,AS23=0),1,0)</f>
        <v/>
      </c>
      <c r="AT73">
        <f>IF(AND(AT$4=1,AT23=0),1,0)</f>
        <v/>
      </c>
      <c r="AU73">
        <f>IF(AND(AU$4=1,AU23=0),1,0)</f>
        <v/>
      </c>
      <c r="AV73">
        <f>IF(AND(AV$4=1,AV23=0),1,0)</f>
        <v/>
      </c>
      <c r="AW73">
        <f>IF(AND(AW$4=1,AW23=0),1,0)</f>
        <v/>
      </c>
      <c r="AX73">
        <f>IF(AND(AX$4=1,AX23=0),1,0)</f>
        <v/>
      </c>
      <c r="AY73">
        <f>IF(AND(AY$4=1,AY23=0),1,0)</f>
        <v/>
      </c>
      <c r="AZ73">
        <f>IF(AND(AZ$4=1,AZ23=0),1,0)</f>
        <v/>
      </c>
      <c r="BA73">
        <f>IF(AND(BA$4=1,BA23=0),1,0)</f>
        <v/>
      </c>
      <c r="BB73">
        <f>IF(AND(BB$4=1,BB23=0),1,0)</f>
        <v/>
      </c>
      <c r="BC73">
        <f>IF(AND(BC$4=1,BC23=0),1,0)</f>
        <v/>
      </c>
      <c r="BD73">
        <f>IF(AND(BD$4=1,BD23=0),1,0)</f>
        <v/>
      </c>
      <c r="BE73">
        <f>IF(AND(BE$4=1,BE23=0),1,0)</f>
        <v/>
      </c>
      <c r="BF73">
        <f>IF(AND(BF$4=1,BF23=0),1,0)</f>
        <v/>
      </c>
      <c r="BG73">
        <f>IF(AND(BG$4=1,BG23=0),1,0)</f>
        <v/>
      </c>
      <c r="BH73">
        <f>IF(AND(BH$4=1,BH23=0),1,0)</f>
        <v/>
      </c>
      <c r="BI73">
        <f>IF(AND(BI$4=1,BI23=0),1,0)</f>
        <v/>
      </c>
      <c r="BJ73">
        <f>IF(AND(BJ$4=1,BJ23=0),1,0)</f>
        <v/>
      </c>
      <c r="BK73">
        <f>IF(AND(BK$4=1,BK23=0),1,0)</f>
        <v/>
      </c>
      <c r="BL73">
        <f>IF(AND(BL$4=1,BL23=0),1,0)</f>
        <v/>
      </c>
      <c r="BM73">
        <f>IF(AND(BM$4=1,BM23=0),1,0)</f>
        <v/>
      </c>
      <c r="BN73">
        <f>IF(AND(BN$4=1,BN23=0),1,0)</f>
        <v/>
      </c>
      <c r="BO73">
        <f>IF(AND(BO$4=1,BO23=0),1,0)</f>
        <v/>
      </c>
      <c r="BP73">
        <f>IF(AND(BP$4=1,BP23=0),1,0)</f>
        <v/>
      </c>
      <c r="BQ73">
        <f>IF(AND(BQ$4=1,BQ23=0),1,0)</f>
        <v/>
      </c>
      <c r="BR73">
        <f>IF(AND(BR$4=1,BR23=0),1,0)</f>
        <v/>
      </c>
      <c r="BS73">
        <f>IF(AND(BS$4=1,BS23=0),1,0)</f>
        <v/>
      </c>
      <c r="BT73">
        <f>IF(AND(BT$4=1,BT23=0),1,0)</f>
        <v/>
      </c>
      <c r="BU73">
        <f>IF(AND(BU$4=1,BU23=0),1,0)</f>
        <v/>
      </c>
      <c r="BV73">
        <f>IF(AND(BV$4=1,BV23=0),1,0)</f>
        <v/>
      </c>
      <c r="BW73">
        <f>IF(AND(BW$4=1,BW23=0),1,0)</f>
        <v/>
      </c>
      <c r="BX73">
        <f>IF(AND(BX$4=1,BX23=0),1,0)</f>
        <v/>
      </c>
      <c r="BY73">
        <f>IF(AND(BY$4=1,BY23=0),1,0)</f>
        <v/>
      </c>
      <c r="BZ73">
        <f>IF(AND(BZ$4=1,BZ23=0),1,0)</f>
        <v/>
      </c>
      <c r="CA73">
        <f>IF(AND(CA$4=1,CA23=0),1,0)</f>
        <v/>
      </c>
      <c r="CB73">
        <f>IF(AND(CB$4=1,CB23=0),1,0)</f>
        <v/>
      </c>
      <c r="CC73">
        <f>IF(AND(CC$4=1,CC23=0),1,0)</f>
        <v/>
      </c>
      <c r="CD73">
        <f>IF(AND(CD$4=1,CD23=0),1,0)</f>
        <v/>
      </c>
      <c r="CE73">
        <f>IF(AND(CE$4=1,CE23=0),1,0)</f>
        <v/>
      </c>
      <c r="CF73">
        <f>IF(AND(CF$4=1,CF23=0),1,0)</f>
        <v/>
      </c>
      <c r="CG73">
        <f>IF(AND(CG$4=1,CG23=0),1,0)</f>
        <v/>
      </c>
      <c r="CH73">
        <f>IF(AND(CH$4=1,CH23=0),1,0)</f>
        <v/>
      </c>
      <c r="CI73">
        <f>IF(AND(CI$4=1,CI23=0),1,0)</f>
        <v/>
      </c>
      <c r="CJ73">
        <f>IF(AND(CJ$4=1,CJ23=0),1,0)</f>
        <v/>
      </c>
      <c r="CK73">
        <f>IF(AND(CK$4=1,CK23=0),1,0)</f>
        <v/>
      </c>
      <c r="CL73">
        <f>IF(AND(CL$4=1,CL23=0),1,0)</f>
        <v/>
      </c>
      <c r="CM73">
        <f>IF(AND(CM$4=1,CM23=0),1,0)</f>
        <v/>
      </c>
      <c r="CN73">
        <f>IF(AND(CN$4=1,CN23=0),1,0)</f>
        <v/>
      </c>
      <c r="CO73">
        <f>IF(AND(CO$4=1,CO23=0),1,0)</f>
        <v/>
      </c>
      <c r="CP73">
        <f>IF(AND(CP$4=1,CP23=0),1,0)</f>
        <v/>
      </c>
      <c r="CQ73">
        <f>IF(AND(CQ$4=1,CQ23=0),1,0)</f>
        <v/>
      </c>
      <c r="CR73">
        <f>IF(AND(CR$4=1,CR23=0),1,0)</f>
        <v/>
      </c>
      <c r="CS73">
        <f>IF(AND(CS$4=1,CS23=0),1,0)</f>
        <v/>
      </c>
      <c r="CT73">
        <f>IF(AND(CT$4=1,CT23=0),1,0)</f>
        <v/>
      </c>
      <c r="CU73">
        <f>IF(AND(CU$4=1,CU23=0),1,0)</f>
        <v/>
      </c>
      <c r="CV73">
        <f>IF(AND(CV$4=1,CV23=0),1,0)</f>
        <v/>
      </c>
      <c r="CW73">
        <f>IF(AND(CW$4=1,CW23=0),1,0)</f>
        <v/>
      </c>
      <c r="CX73">
        <f>IF(AND(CX$4=1,CX23=0),1,0)</f>
        <v/>
      </c>
      <c r="CY73">
        <f>IF(AND(CY$4=1,CY23=0),1,0)</f>
        <v/>
      </c>
      <c r="CZ73">
        <f>IF(AND(CZ$4=1,CZ23=0),1,0)</f>
        <v/>
      </c>
      <c r="DA73">
        <f>IF(AND(DA$4=1,DA23=0),1,0)</f>
        <v/>
      </c>
      <c r="DB73">
        <f>IF(AND(DB$4=1,DB23=0),1,0)</f>
        <v/>
      </c>
      <c r="DC73">
        <f>IF(AND(DC$4=1,DC23=0),1,0)</f>
        <v/>
      </c>
      <c r="DD73">
        <f>IF(AND(DD$4=1,DD23=0),1,0)</f>
        <v/>
      </c>
      <c r="DE73">
        <f>IF(AND(DE$4=1,DE23=0),1,0)</f>
        <v/>
      </c>
      <c r="DF73">
        <f>IF(AND(DF$4=1,DF23=0),1,0)</f>
        <v/>
      </c>
      <c r="DG73">
        <f>IF(AND(DG$4=1,DG23=0),1,0)</f>
        <v/>
      </c>
      <c r="DH73">
        <f>IF(AND(DH$4=1,DH23=0),1,0)</f>
        <v/>
      </c>
      <c r="DI73">
        <f>IF(AND(DI$4=1,DI23=0),1,0)</f>
        <v/>
      </c>
      <c r="DJ73">
        <f>IF(AND(DJ$4=1,DJ23=0),1,0)</f>
        <v/>
      </c>
      <c r="DK73">
        <f>IF(AND(DK$4=1,DK23=0),1,0)</f>
        <v/>
      </c>
      <c r="DL73">
        <f>IF(AND(DL$4=1,DL23=0),1,0)</f>
        <v/>
      </c>
      <c r="DM73">
        <f>IF(AND(DM$4=1,DM23=0),1,0)</f>
        <v/>
      </c>
      <c r="DN73">
        <f>IF(AND(DN$4=1,DN23=0),1,0)</f>
        <v/>
      </c>
      <c r="DO73">
        <f>IF(AND(DO$4=1,DO23=0),1,0)</f>
        <v/>
      </c>
      <c r="DP73">
        <f>IF(AND(DP$4=1,DP23=0),1,0)</f>
        <v/>
      </c>
      <c r="DQ73">
        <f>IF(AND(DQ$4=1,DQ23=0),1,0)</f>
        <v/>
      </c>
      <c r="DR73">
        <f>IF(AND(DR$4=1,DR23=0),1,0)</f>
        <v/>
      </c>
      <c r="DS73">
        <f>IF(AND(DS$4=1,DS23=0),1,0)</f>
        <v/>
      </c>
      <c r="DT73">
        <f>IF(AND(DT$4=1,DT23=0),1,0)</f>
        <v/>
      </c>
      <c r="DU73">
        <f>IF(AND(DU$4=1,DU23=0),1,0)</f>
        <v/>
      </c>
      <c r="DV73">
        <f>IF(AND(DV$4=1,DV23=0),1,0)</f>
        <v/>
      </c>
      <c r="DW73">
        <f>IF(AND(DW$4=1,DW23=0),1,0)</f>
        <v/>
      </c>
      <c r="DX73">
        <f>IF(AND(DX$4=1,DX23=0),1,0)</f>
        <v/>
      </c>
      <c r="DY73">
        <f>IF(AND(DY$4=1,DY23=0),1,0)</f>
        <v/>
      </c>
      <c r="DZ73">
        <f>IF(AND(DZ$4=1,DZ23=0),1,0)</f>
        <v/>
      </c>
      <c r="EA73">
        <f>IF(AND(EA$4=1,EA23=0),1,0)</f>
        <v/>
      </c>
      <c r="EB73">
        <f>IF(AND(EB$4=1,EB23=0),1,0)</f>
        <v/>
      </c>
      <c r="EC73">
        <f>IF(AND(EC$4=1,EC23=0),1,0)</f>
        <v/>
      </c>
      <c r="ED73">
        <f>IF(AND(ED$4=1,ED23=0),1,0)</f>
        <v/>
      </c>
      <c r="EE73">
        <f>IF(AND(EE$4=1,EE23=0),1,0)</f>
        <v/>
      </c>
      <c r="EF73">
        <f>IF(AND(EF$4=1,EF23=0),1,0)</f>
        <v/>
      </c>
      <c r="EG73">
        <f>IF(AND(EG$4=1,EG23=0),1,0)</f>
        <v/>
      </c>
      <c r="EH73">
        <f>IF(AND(EH$4=1,EH23=0),1,0)</f>
        <v/>
      </c>
      <c r="EI73">
        <f>IF(AND(EI$4=1,EI23=0),1,0)</f>
        <v/>
      </c>
      <c r="EJ73">
        <f>IF(AND(EJ$4=1,EJ23=0),1,0)</f>
        <v/>
      </c>
      <c r="EK73">
        <f>IF(AND(EK$4=1,EK23=0),1,0)</f>
        <v/>
      </c>
      <c r="EL73">
        <f>IF(AND(EL$4=1,EL23=0),1,0)</f>
        <v/>
      </c>
      <c r="EM73">
        <f>IF(AND(EM$4=1,EM23=0),1,0)</f>
        <v/>
      </c>
      <c r="EN73">
        <f>IF(AND(EN$4=1,EN23=0),1,0)</f>
        <v/>
      </c>
      <c r="EO73">
        <f>IF(AND(EO$4=1,EO23=0),1,0)</f>
        <v/>
      </c>
      <c r="EP73">
        <f>IF(AND(EP$4=1,EP23=0),1,0)</f>
        <v/>
      </c>
      <c r="EQ73">
        <f>IF(AND(EQ$4=1,EQ23=0),1,0)</f>
        <v/>
      </c>
    </row>
    <row r="74">
      <c r="A74" t="n">
        <v>15</v>
      </c>
      <c r="D74">
        <f>IF(AND(D$4=1,D24=0),1,0)</f>
        <v/>
      </c>
      <c r="E74">
        <f>IF(AND(E$4=1,E24=0),1,0)</f>
        <v/>
      </c>
      <c r="F74">
        <f>IF(AND(F$4=1,F24=0),1,0)</f>
        <v/>
      </c>
      <c r="G74">
        <f>IF(AND(G$4=1,G24=0),1,0)</f>
        <v/>
      </c>
      <c r="H74">
        <f>IF(AND(H$4=1,H24=0),1,0)</f>
        <v/>
      </c>
      <c r="I74">
        <f>IF(AND(I$4=1,I24=0),1,0)</f>
        <v/>
      </c>
      <c r="J74">
        <f>IF(AND(J$4=1,J24=0),1,0)</f>
        <v/>
      </c>
      <c r="K74">
        <f>IF(AND(K$4=1,K24=0),1,0)</f>
        <v/>
      </c>
      <c r="L74">
        <f>IF(AND(L$4=1,L24=0),1,0)</f>
        <v/>
      </c>
      <c r="M74">
        <f>IF(AND(M$4=1,M24=0),1,0)</f>
        <v/>
      </c>
      <c r="N74">
        <f>IF(AND(N$4=1,N24=0),1,0)</f>
        <v/>
      </c>
      <c r="O74">
        <f>IF(AND(O$4=1,O24=0),1,0)</f>
        <v/>
      </c>
      <c r="P74">
        <f>IF(AND(P$4=1,P24=0),1,0)</f>
        <v/>
      </c>
      <c r="Q74">
        <f>IF(AND(Q$4=1,Q24=0),1,0)</f>
        <v/>
      </c>
      <c r="R74">
        <f>IF(AND(R$4=1,R24=0),1,0)</f>
        <v/>
      </c>
      <c r="S74">
        <f>IF(AND(S$4=1,S24=0),1,0)</f>
        <v/>
      </c>
      <c r="T74">
        <f>IF(AND(T$4=1,T24=0),1,0)</f>
        <v/>
      </c>
      <c r="U74">
        <f>IF(AND(U$4=1,U24=0),1,0)</f>
        <v/>
      </c>
      <c r="V74">
        <f>IF(AND(V$4=1,V24=0),1,0)</f>
        <v/>
      </c>
      <c r="W74">
        <f>IF(AND(W$4=1,W24=0),1,0)</f>
        <v/>
      </c>
      <c r="X74">
        <f>IF(AND(X$4=1,X24=0),1,0)</f>
        <v/>
      </c>
      <c r="Y74">
        <f>IF(AND(Y$4=1,Y24=0),1,0)</f>
        <v/>
      </c>
      <c r="Z74">
        <f>IF(AND(Z$4=1,Z24=0),1,0)</f>
        <v/>
      </c>
      <c r="AA74">
        <f>IF(AND(AA$4=1,AA24=0),1,0)</f>
        <v/>
      </c>
      <c r="AB74">
        <f>IF(AND(AB$4=1,AB24=0),1,0)</f>
        <v/>
      </c>
      <c r="AC74">
        <f>IF(AND(AC$4=1,AC24=0),1,0)</f>
        <v/>
      </c>
      <c r="AD74">
        <f>IF(AND(AD$4=1,AD24=0),1,0)</f>
        <v/>
      </c>
      <c r="AE74">
        <f>IF(AND(AE$4=1,AE24=0),1,0)</f>
        <v/>
      </c>
      <c r="AF74">
        <f>IF(AND(AF$4=1,AF24=0),1,0)</f>
        <v/>
      </c>
      <c r="AG74">
        <f>IF(AND(AG$4=1,AG24=0),1,0)</f>
        <v/>
      </c>
      <c r="AH74">
        <f>IF(AND(AH$4=1,AH24=0),1,0)</f>
        <v/>
      </c>
      <c r="AI74">
        <f>IF(AND(AI$4=1,AI24=0),1,0)</f>
        <v/>
      </c>
      <c r="AJ74">
        <f>IF(AND(AJ$4=1,AJ24=0),1,0)</f>
        <v/>
      </c>
      <c r="AK74">
        <f>IF(AND(AK$4=1,AK24=0),1,0)</f>
        <v/>
      </c>
      <c r="AL74">
        <f>IF(AND(AL$4=1,AL24=0),1,0)</f>
        <v/>
      </c>
      <c r="AM74">
        <f>IF(AND(AM$4=1,AM24=0),1,0)</f>
        <v/>
      </c>
      <c r="AN74">
        <f>IF(AND(AN$4=1,AN24=0),1,0)</f>
        <v/>
      </c>
      <c r="AO74">
        <f>IF(AND(AO$4=1,AO24=0),1,0)</f>
        <v/>
      </c>
      <c r="AP74">
        <f>IF(AND(AP$4=1,AP24=0),1,0)</f>
        <v/>
      </c>
      <c r="AQ74">
        <f>IF(AND(AQ$4=1,AQ24=0),1,0)</f>
        <v/>
      </c>
      <c r="AR74">
        <f>IF(AND(AR$4=1,AR24=0),1,0)</f>
        <v/>
      </c>
      <c r="AS74">
        <f>IF(AND(AS$4=1,AS24=0),1,0)</f>
        <v/>
      </c>
      <c r="AT74">
        <f>IF(AND(AT$4=1,AT24=0),1,0)</f>
        <v/>
      </c>
      <c r="AU74">
        <f>IF(AND(AU$4=1,AU24=0),1,0)</f>
        <v/>
      </c>
      <c r="AV74">
        <f>IF(AND(AV$4=1,AV24=0),1,0)</f>
        <v/>
      </c>
      <c r="AW74">
        <f>IF(AND(AW$4=1,AW24=0),1,0)</f>
        <v/>
      </c>
      <c r="AX74">
        <f>IF(AND(AX$4=1,AX24=0),1,0)</f>
        <v/>
      </c>
      <c r="AY74">
        <f>IF(AND(AY$4=1,AY24=0),1,0)</f>
        <v/>
      </c>
      <c r="AZ74">
        <f>IF(AND(AZ$4=1,AZ24=0),1,0)</f>
        <v/>
      </c>
      <c r="BA74">
        <f>IF(AND(BA$4=1,BA24=0),1,0)</f>
        <v/>
      </c>
      <c r="BB74">
        <f>IF(AND(BB$4=1,BB24=0),1,0)</f>
        <v/>
      </c>
      <c r="BC74">
        <f>IF(AND(BC$4=1,BC24=0),1,0)</f>
        <v/>
      </c>
      <c r="BD74">
        <f>IF(AND(BD$4=1,BD24=0),1,0)</f>
        <v/>
      </c>
      <c r="BE74">
        <f>IF(AND(BE$4=1,BE24=0),1,0)</f>
        <v/>
      </c>
      <c r="BF74">
        <f>IF(AND(BF$4=1,BF24=0),1,0)</f>
        <v/>
      </c>
      <c r="BG74">
        <f>IF(AND(BG$4=1,BG24=0),1,0)</f>
        <v/>
      </c>
      <c r="BH74">
        <f>IF(AND(BH$4=1,BH24=0),1,0)</f>
        <v/>
      </c>
      <c r="BI74">
        <f>IF(AND(BI$4=1,BI24=0),1,0)</f>
        <v/>
      </c>
      <c r="BJ74">
        <f>IF(AND(BJ$4=1,BJ24=0),1,0)</f>
        <v/>
      </c>
      <c r="BK74">
        <f>IF(AND(BK$4=1,BK24=0),1,0)</f>
        <v/>
      </c>
      <c r="BL74">
        <f>IF(AND(BL$4=1,BL24=0),1,0)</f>
        <v/>
      </c>
      <c r="BM74">
        <f>IF(AND(BM$4=1,BM24=0),1,0)</f>
        <v/>
      </c>
      <c r="BN74">
        <f>IF(AND(BN$4=1,BN24=0),1,0)</f>
        <v/>
      </c>
      <c r="BO74">
        <f>IF(AND(BO$4=1,BO24=0),1,0)</f>
        <v/>
      </c>
      <c r="BP74">
        <f>IF(AND(BP$4=1,BP24=0),1,0)</f>
        <v/>
      </c>
      <c r="BQ74">
        <f>IF(AND(BQ$4=1,BQ24=0),1,0)</f>
        <v/>
      </c>
      <c r="BR74">
        <f>IF(AND(BR$4=1,BR24=0),1,0)</f>
        <v/>
      </c>
      <c r="BS74">
        <f>IF(AND(BS$4=1,BS24=0),1,0)</f>
        <v/>
      </c>
      <c r="BT74">
        <f>IF(AND(BT$4=1,BT24=0),1,0)</f>
        <v/>
      </c>
      <c r="BU74">
        <f>IF(AND(BU$4=1,BU24=0),1,0)</f>
        <v/>
      </c>
      <c r="BV74">
        <f>IF(AND(BV$4=1,BV24=0),1,0)</f>
        <v/>
      </c>
      <c r="BW74">
        <f>IF(AND(BW$4=1,BW24=0),1,0)</f>
        <v/>
      </c>
      <c r="BX74">
        <f>IF(AND(BX$4=1,BX24=0),1,0)</f>
        <v/>
      </c>
      <c r="BY74">
        <f>IF(AND(BY$4=1,BY24=0),1,0)</f>
        <v/>
      </c>
      <c r="BZ74">
        <f>IF(AND(BZ$4=1,BZ24=0),1,0)</f>
        <v/>
      </c>
      <c r="CA74">
        <f>IF(AND(CA$4=1,CA24=0),1,0)</f>
        <v/>
      </c>
      <c r="CB74">
        <f>IF(AND(CB$4=1,CB24=0),1,0)</f>
        <v/>
      </c>
      <c r="CC74">
        <f>IF(AND(CC$4=1,CC24=0),1,0)</f>
        <v/>
      </c>
      <c r="CD74">
        <f>IF(AND(CD$4=1,CD24=0),1,0)</f>
        <v/>
      </c>
      <c r="CE74">
        <f>IF(AND(CE$4=1,CE24=0),1,0)</f>
        <v/>
      </c>
      <c r="CF74">
        <f>IF(AND(CF$4=1,CF24=0),1,0)</f>
        <v/>
      </c>
      <c r="CG74">
        <f>IF(AND(CG$4=1,CG24=0),1,0)</f>
        <v/>
      </c>
      <c r="CH74">
        <f>IF(AND(CH$4=1,CH24=0),1,0)</f>
        <v/>
      </c>
      <c r="CI74">
        <f>IF(AND(CI$4=1,CI24=0),1,0)</f>
        <v/>
      </c>
      <c r="CJ74">
        <f>IF(AND(CJ$4=1,CJ24=0),1,0)</f>
        <v/>
      </c>
      <c r="CK74">
        <f>IF(AND(CK$4=1,CK24=0),1,0)</f>
        <v/>
      </c>
      <c r="CL74">
        <f>IF(AND(CL$4=1,CL24=0),1,0)</f>
        <v/>
      </c>
      <c r="CM74">
        <f>IF(AND(CM$4=1,CM24=0),1,0)</f>
        <v/>
      </c>
      <c r="CN74">
        <f>IF(AND(CN$4=1,CN24=0),1,0)</f>
        <v/>
      </c>
      <c r="CO74">
        <f>IF(AND(CO$4=1,CO24=0),1,0)</f>
        <v/>
      </c>
      <c r="CP74">
        <f>IF(AND(CP$4=1,CP24=0),1,0)</f>
        <v/>
      </c>
      <c r="CQ74">
        <f>IF(AND(CQ$4=1,CQ24=0),1,0)</f>
        <v/>
      </c>
      <c r="CR74">
        <f>IF(AND(CR$4=1,CR24=0),1,0)</f>
        <v/>
      </c>
      <c r="CS74">
        <f>IF(AND(CS$4=1,CS24=0),1,0)</f>
        <v/>
      </c>
      <c r="CT74">
        <f>IF(AND(CT$4=1,CT24=0),1,0)</f>
        <v/>
      </c>
      <c r="CU74">
        <f>IF(AND(CU$4=1,CU24=0),1,0)</f>
        <v/>
      </c>
      <c r="CV74">
        <f>IF(AND(CV$4=1,CV24=0),1,0)</f>
        <v/>
      </c>
      <c r="CW74">
        <f>IF(AND(CW$4=1,CW24=0),1,0)</f>
        <v/>
      </c>
      <c r="CX74">
        <f>IF(AND(CX$4=1,CX24=0),1,0)</f>
        <v/>
      </c>
      <c r="CY74">
        <f>IF(AND(CY$4=1,CY24=0),1,0)</f>
        <v/>
      </c>
      <c r="CZ74">
        <f>IF(AND(CZ$4=1,CZ24=0),1,0)</f>
        <v/>
      </c>
      <c r="DA74">
        <f>IF(AND(DA$4=1,DA24=0),1,0)</f>
        <v/>
      </c>
      <c r="DB74">
        <f>IF(AND(DB$4=1,DB24=0),1,0)</f>
        <v/>
      </c>
      <c r="DC74">
        <f>IF(AND(DC$4=1,DC24=0),1,0)</f>
        <v/>
      </c>
      <c r="DD74">
        <f>IF(AND(DD$4=1,DD24=0),1,0)</f>
        <v/>
      </c>
      <c r="DE74">
        <f>IF(AND(DE$4=1,DE24=0),1,0)</f>
        <v/>
      </c>
      <c r="DF74">
        <f>IF(AND(DF$4=1,DF24=0),1,0)</f>
        <v/>
      </c>
      <c r="DG74">
        <f>IF(AND(DG$4=1,DG24=0),1,0)</f>
        <v/>
      </c>
      <c r="DH74">
        <f>IF(AND(DH$4=1,DH24=0),1,0)</f>
        <v/>
      </c>
      <c r="DI74">
        <f>IF(AND(DI$4=1,DI24=0),1,0)</f>
        <v/>
      </c>
      <c r="DJ74">
        <f>IF(AND(DJ$4=1,DJ24=0),1,0)</f>
        <v/>
      </c>
      <c r="DK74">
        <f>IF(AND(DK$4=1,DK24=0),1,0)</f>
        <v/>
      </c>
      <c r="DL74">
        <f>IF(AND(DL$4=1,DL24=0),1,0)</f>
        <v/>
      </c>
      <c r="DM74">
        <f>IF(AND(DM$4=1,DM24=0),1,0)</f>
        <v/>
      </c>
      <c r="DN74">
        <f>IF(AND(DN$4=1,DN24=0),1,0)</f>
        <v/>
      </c>
      <c r="DO74">
        <f>IF(AND(DO$4=1,DO24=0),1,0)</f>
        <v/>
      </c>
      <c r="DP74">
        <f>IF(AND(DP$4=1,DP24=0),1,0)</f>
        <v/>
      </c>
      <c r="DQ74">
        <f>IF(AND(DQ$4=1,DQ24=0),1,0)</f>
        <v/>
      </c>
      <c r="DR74">
        <f>IF(AND(DR$4=1,DR24=0),1,0)</f>
        <v/>
      </c>
      <c r="DS74">
        <f>IF(AND(DS$4=1,DS24=0),1,0)</f>
        <v/>
      </c>
      <c r="DT74">
        <f>IF(AND(DT$4=1,DT24=0),1,0)</f>
        <v/>
      </c>
      <c r="DU74">
        <f>IF(AND(DU$4=1,DU24=0),1,0)</f>
        <v/>
      </c>
      <c r="DV74">
        <f>IF(AND(DV$4=1,DV24=0),1,0)</f>
        <v/>
      </c>
      <c r="DW74">
        <f>IF(AND(DW$4=1,DW24=0),1,0)</f>
        <v/>
      </c>
      <c r="DX74">
        <f>IF(AND(DX$4=1,DX24=0),1,0)</f>
        <v/>
      </c>
      <c r="DY74">
        <f>IF(AND(DY$4=1,DY24=0),1,0)</f>
        <v/>
      </c>
      <c r="DZ74">
        <f>IF(AND(DZ$4=1,DZ24=0),1,0)</f>
        <v/>
      </c>
      <c r="EA74">
        <f>IF(AND(EA$4=1,EA24=0),1,0)</f>
        <v/>
      </c>
      <c r="EB74">
        <f>IF(AND(EB$4=1,EB24=0),1,0)</f>
        <v/>
      </c>
      <c r="EC74">
        <f>IF(AND(EC$4=1,EC24=0),1,0)</f>
        <v/>
      </c>
      <c r="ED74">
        <f>IF(AND(ED$4=1,ED24=0),1,0)</f>
        <v/>
      </c>
      <c r="EE74">
        <f>IF(AND(EE$4=1,EE24=0),1,0)</f>
        <v/>
      </c>
      <c r="EF74">
        <f>IF(AND(EF$4=1,EF24=0),1,0)</f>
        <v/>
      </c>
      <c r="EG74">
        <f>IF(AND(EG$4=1,EG24=0),1,0)</f>
        <v/>
      </c>
      <c r="EH74">
        <f>IF(AND(EH$4=1,EH24=0),1,0)</f>
        <v/>
      </c>
      <c r="EI74">
        <f>IF(AND(EI$4=1,EI24=0),1,0)</f>
        <v/>
      </c>
      <c r="EJ74">
        <f>IF(AND(EJ$4=1,EJ24=0),1,0)</f>
        <v/>
      </c>
      <c r="EK74">
        <f>IF(AND(EK$4=1,EK24=0),1,0)</f>
        <v/>
      </c>
      <c r="EL74">
        <f>IF(AND(EL$4=1,EL24=0),1,0)</f>
        <v/>
      </c>
      <c r="EM74">
        <f>IF(AND(EM$4=1,EM24=0),1,0)</f>
        <v/>
      </c>
      <c r="EN74">
        <f>IF(AND(EN$4=1,EN24=0),1,0)</f>
        <v/>
      </c>
      <c r="EO74">
        <f>IF(AND(EO$4=1,EO24=0),1,0)</f>
        <v/>
      </c>
      <c r="EP74">
        <f>IF(AND(EP$4=1,EP24=0),1,0)</f>
        <v/>
      </c>
      <c r="EQ74">
        <f>IF(AND(EQ$4=1,EQ24=0),1,0)</f>
        <v/>
      </c>
    </row>
    <row r="75">
      <c r="A75" t="n">
        <v>16</v>
      </c>
      <c r="D75">
        <f>IF(AND(D$4=1,D25=0),1,0)</f>
        <v/>
      </c>
      <c r="E75">
        <f>IF(AND(E$4=1,E25=0),1,0)</f>
        <v/>
      </c>
      <c r="F75">
        <f>IF(AND(F$4=1,F25=0),1,0)</f>
        <v/>
      </c>
      <c r="G75">
        <f>IF(AND(G$4=1,G25=0),1,0)</f>
        <v/>
      </c>
      <c r="H75">
        <f>IF(AND(H$4=1,H25=0),1,0)</f>
        <v/>
      </c>
      <c r="I75">
        <f>IF(AND(I$4=1,I25=0),1,0)</f>
        <v/>
      </c>
      <c r="J75">
        <f>IF(AND(J$4=1,J25=0),1,0)</f>
        <v/>
      </c>
      <c r="K75">
        <f>IF(AND(K$4=1,K25=0),1,0)</f>
        <v/>
      </c>
      <c r="L75">
        <f>IF(AND(L$4=1,L25=0),1,0)</f>
        <v/>
      </c>
      <c r="M75">
        <f>IF(AND(M$4=1,M25=0),1,0)</f>
        <v/>
      </c>
      <c r="N75">
        <f>IF(AND(N$4=1,N25=0),1,0)</f>
        <v/>
      </c>
      <c r="O75">
        <f>IF(AND(O$4=1,O25=0),1,0)</f>
        <v/>
      </c>
      <c r="P75">
        <f>IF(AND(P$4=1,P25=0),1,0)</f>
        <v/>
      </c>
      <c r="Q75">
        <f>IF(AND(Q$4=1,Q25=0),1,0)</f>
        <v/>
      </c>
      <c r="R75">
        <f>IF(AND(R$4=1,R25=0),1,0)</f>
        <v/>
      </c>
      <c r="S75">
        <f>IF(AND(S$4=1,S25=0),1,0)</f>
        <v/>
      </c>
      <c r="T75">
        <f>IF(AND(T$4=1,T25=0),1,0)</f>
        <v/>
      </c>
      <c r="U75">
        <f>IF(AND(U$4=1,U25=0),1,0)</f>
        <v/>
      </c>
      <c r="V75">
        <f>IF(AND(V$4=1,V25=0),1,0)</f>
        <v/>
      </c>
      <c r="W75">
        <f>IF(AND(W$4=1,W25=0),1,0)</f>
        <v/>
      </c>
      <c r="X75">
        <f>IF(AND(X$4=1,X25=0),1,0)</f>
        <v/>
      </c>
      <c r="Y75">
        <f>IF(AND(Y$4=1,Y25=0),1,0)</f>
        <v/>
      </c>
      <c r="Z75">
        <f>IF(AND(Z$4=1,Z25=0),1,0)</f>
        <v/>
      </c>
      <c r="AA75">
        <f>IF(AND(AA$4=1,AA25=0),1,0)</f>
        <v/>
      </c>
      <c r="AB75">
        <f>IF(AND(AB$4=1,AB25=0),1,0)</f>
        <v/>
      </c>
      <c r="AC75">
        <f>IF(AND(AC$4=1,AC25=0),1,0)</f>
        <v/>
      </c>
      <c r="AD75">
        <f>IF(AND(AD$4=1,AD25=0),1,0)</f>
        <v/>
      </c>
      <c r="AE75">
        <f>IF(AND(AE$4=1,AE25=0),1,0)</f>
        <v/>
      </c>
      <c r="AF75">
        <f>IF(AND(AF$4=1,AF25=0),1,0)</f>
        <v/>
      </c>
      <c r="AG75">
        <f>IF(AND(AG$4=1,AG25=0),1,0)</f>
        <v/>
      </c>
      <c r="AH75">
        <f>IF(AND(AH$4=1,AH25=0),1,0)</f>
        <v/>
      </c>
      <c r="AI75">
        <f>IF(AND(AI$4=1,AI25=0),1,0)</f>
        <v/>
      </c>
      <c r="AJ75">
        <f>IF(AND(AJ$4=1,AJ25=0),1,0)</f>
        <v/>
      </c>
      <c r="AK75">
        <f>IF(AND(AK$4=1,AK25=0),1,0)</f>
        <v/>
      </c>
      <c r="AL75">
        <f>IF(AND(AL$4=1,AL25=0),1,0)</f>
        <v/>
      </c>
      <c r="AM75">
        <f>IF(AND(AM$4=1,AM25=0),1,0)</f>
        <v/>
      </c>
      <c r="AN75">
        <f>IF(AND(AN$4=1,AN25=0),1,0)</f>
        <v/>
      </c>
      <c r="AO75">
        <f>IF(AND(AO$4=1,AO25=0),1,0)</f>
        <v/>
      </c>
      <c r="AP75">
        <f>IF(AND(AP$4=1,AP25=0),1,0)</f>
        <v/>
      </c>
      <c r="AQ75">
        <f>IF(AND(AQ$4=1,AQ25=0),1,0)</f>
        <v/>
      </c>
      <c r="AR75">
        <f>IF(AND(AR$4=1,AR25=0),1,0)</f>
        <v/>
      </c>
      <c r="AS75">
        <f>IF(AND(AS$4=1,AS25=0),1,0)</f>
        <v/>
      </c>
      <c r="AT75">
        <f>IF(AND(AT$4=1,AT25=0),1,0)</f>
        <v/>
      </c>
      <c r="AU75">
        <f>IF(AND(AU$4=1,AU25=0),1,0)</f>
        <v/>
      </c>
      <c r="AV75">
        <f>IF(AND(AV$4=1,AV25=0),1,0)</f>
        <v/>
      </c>
      <c r="AW75">
        <f>IF(AND(AW$4=1,AW25=0),1,0)</f>
        <v/>
      </c>
      <c r="AX75">
        <f>IF(AND(AX$4=1,AX25=0),1,0)</f>
        <v/>
      </c>
      <c r="AY75">
        <f>IF(AND(AY$4=1,AY25=0),1,0)</f>
        <v/>
      </c>
      <c r="AZ75">
        <f>IF(AND(AZ$4=1,AZ25=0),1,0)</f>
        <v/>
      </c>
      <c r="BA75">
        <f>IF(AND(BA$4=1,BA25=0),1,0)</f>
        <v/>
      </c>
      <c r="BB75">
        <f>IF(AND(BB$4=1,BB25=0),1,0)</f>
        <v/>
      </c>
      <c r="BC75">
        <f>IF(AND(BC$4=1,BC25=0),1,0)</f>
        <v/>
      </c>
      <c r="BD75">
        <f>IF(AND(BD$4=1,BD25=0),1,0)</f>
        <v/>
      </c>
      <c r="BE75">
        <f>IF(AND(BE$4=1,BE25=0),1,0)</f>
        <v/>
      </c>
      <c r="BF75">
        <f>IF(AND(BF$4=1,BF25=0),1,0)</f>
        <v/>
      </c>
      <c r="BG75">
        <f>IF(AND(BG$4=1,BG25=0),1,0)</f>
        <v/>
      </c>
      <c r="BH75">
        <f>IF(AND(BH$4=1,BH25=0),1,0)</f>
        <v/>
      </c>
      <c r="BI75">
        <f>IF(AND(BI$4=1,BI25=0),1,0)</f>
        <v/>
      </c>
      <c r="BJ75">
        <f>IF(AND(BJ$4=1,BJ25=0),1,0)</f>
        <v/>
      </c>
      <c r="BK75">
        <f>IF(AND(BK$4=1,BK25=0),1,0)</f>
        <v/>
      </c>
      <c r="BL75">
        <f>IF(AND(BL$4=1,BL25=0),1,0)</f>
        <v/>
      </c>
      <c r="BM75">
        <f>IF(AND(BM$4=1,BM25=0),1,0)</f>
        <v/>
      </c>
      <c r="BN75">
        <f>IF(AND(BN$4=1,BN25=0),1,0)</f>
        <v/>
      </c>
      <c r="BO75">
        <f>IF(AND(BO$4=1,BO25=0),1,0)</f>
        <v/>
      </c>
      <c r="BP75">
        <f>IF(AND(BP$4=1,BP25=0),1,0)</f>
        <v/>
      </c>
      <c r="BQ75">
        <f>IF(AND(BQ$4=1,BQ25=0),1,0)</f>
        <v/>
      </c>
      <c r="BR75">
        <f>IF(AND(BR$4=1,BR25=0),1,0)</f>
        <v/>
      </c>
      <c r="BS75">
        <f>IF(AND(BS$4=1,BS25=0),1,0)</f>
        <v/>
      </c>
      <c r="BT75">
        <f>IF(AND(BT$4=1,BT25=0),1,0)</f>
        <v/>
      </c>
      <c r="BU75">
        <f>IF(AND(BU$4=1,BU25=0),1,0)</f>
        <v/>
      </c>
      <c r="BV75">
        <f>IF(AND(BV$4=1,BV25=0),1,0)</f>
        <v/>
      </c>
      <c r="BW75">
        <f>IF(AND(BW$4=1,BW25=0),1,0)</f>
        <v/>
      </c>
      <c r="BX75">
        <f>IF(AND(BX$4=1,BX25=0),1,0)</f>
        <v/>
      </c>
      <c r="BY75">
        <f>IF(AND(BY$4=1,BY25=0),1,0)</f>
        <v/>
      </c>
      <c r="BZ75">
        <f>IF(AND(BZ$4=1,BZ25=0),1,0)</f>
        <v/>
      </c>
      <c r="CA75">
        <f>IF(AND(CA$4=1,CA25=0),1,0)</f>
        <v/>
      </c>
      <c r="CB75">
        <f>IF(AND(CB$4=1,CB25=0),1,0)</f>
        <v/>
      </c>
      <c r="CC75">
        <f>IF(AND(CC$4=1,CC25=0),1,0)</f>
        <v/>
      </c>
      <c r="CD75">
        <f>IF(AND(CD$4=1,CD25=0),1,0)</f>
        <v/>
      </c>
      <c r="CE75">
        <f>IF(AND(CE$4=1,CE25=0),1,0)</f>
        <v/>
      </c>
      <c r="CF75">
        <f>IF(AND(CF$4=1,CF25=0),1,0)</f>
        <v/>
      </c>
      <c r="CG75">
        <f>IF(AND(CG$4=1,CG25=0),1,0)</f>
        <v/>
      </c>
      <c r="CH75">
        <f>IF(AND(CH$4=1,CH25=0),1,0)</f>
        <v/>
      </c>
      <c r="CI75">
        <f>IF(AND(CI$4=1,CI25=0),1,0)</f>
        <v/>
      </c>
      <c r="CJ75">
        <f>IF(AND(CJ$4=1,CJ25=0),1,0)</f>
        <v/>
      </c>
      <c r="CK75">
        <f>IF(AND(CK$4=1,CK25=0),1,0)</f>
        <v/>
      </c>
      <c r="CL75">
        <f>IF(AND(CL$4=1,CL25=0),1,0)</f>
        <v/>
      </c>
      <c r="CM75">
        <f>IF(AND(CM$4=1,CM25=0),1,0)</f>
        <v/>
      </c>
      <c r="CN75">
        <f>IF(AND(CN$4=1,CN25=0),1,0)</f>
        <v/>
      </c>
      <c r="CO75">
        <f>IF(AND(CO$4=1,CO25=0),1,0)</f>
        <v/>
      </c>
      <c r="CP75">
        <f>IF(AND(CP$4=1,CP25=0),1,0)</f>
        <v/>
      </c>
      <c r="CQ75">
        <f>IF(AND(CQ$4=1,CQ25=0),1,0)</f>
        <v/>
      </c>
      <c r="CR75">
        <f>IF(AND(CR$4=1,CR25=0),1,0)</f>
        <v/>
      </c>
      <c r="CS75">
        <f>IF(AND(CS$4=1,CS25=0),1,0)</f>
        <v/>
      </c>
      <c r="CT75">
        <f>IF(AND(CT$4=1,CT25=0),1,0)</f>
        <v/>
      </c>
      <c r="CU75">
        <f>IF(AND(CU$4=1,CU25=0),1,0)</f>
        <v/>
      </c>
      <c r="CV75">
        <f>IF(AND(CV$4=1,CV25=0),1,0)</f>
        <v/>
      </c>
      <c r="CW75">
        <f>IF(AND(CW$4=1,CW25=0),1,0)</f>
        <v/>
      </c>
      <c r="CX75">
        <f>IF(AND(CX$4=1,CX25=0),1,0)</f>
        <v/>
      </c>
      <c r="CY75">
        <f>IF(AND(CY$4=1,CY25=0),1,0)</f>
        <v/>
      </c>
      <c r="CZ75">
        <f>IF(AND(CZ$4=1,CZ25=0),1,0)</f>
        <v/>
      </c>
      <c r="DA75">
        <f>IF(AND(DA$4=1,DA25=0),1,0)</f>
        <v/>
      </c>
      <c r="DB75">
        <f>IF(AND(DB$4=1,DB25=0),1,0)</f>
        <v/>
      </c>
      <c r="DC75">
        <f>IF(AND(DC$4=1,DC25=0),1,0)</f>
        <v/>
      </c>
      <c r="DD75">
        <f>IF(AND(DD$4=1,DD25=0),1,0)</f>
        <v/>
      </c>
      <c r="DE75">
        <f>IF(AND(DE$4=1,DE25=0),1,0)</f>
        <v/>
      </c>
      <c r="DF75">
        <f>IF(AND(DF$4=1,DF25=0),1,0)</f>
        <v/>
      </c>
      <c r="DG75">
        <f>IF(AND(DG$4=1,DG25=0),1,0)</f>
        <v/>
      </c>
      <c r="DH75">
        <f>IF(AND(DH$4=1,DH25=0),1,0)</f>
        <v/>
      </c>
      <c r="DI75">
        <f>IF(AND(DI$4=1,DI25=0),1,0)</f>
        <v/>
      </c>
      <c r="DJ75">
        <f>IF(AND(DJ$4=1,DJ25=0),1,0)</f>
        <v/>
      </c>
      <c r="DK75">
        <f>IF(AND(DK$4=1,DK25=0),1,0)</f>
        <v/>
      </c>
      <c r="DL75">
        <f>IF(AND(DL$4=1,DL25=0),1,0)</f>
        <v/>
      </c>
      <c r="DM75">
        <f>IF(AND(DM$4=1,DM25=0),1,0)</f>
        <v/>
      </c>
      <c r="DN75">
        <f>IF(AND(DN$4=1,DN25=0),1,0)</f>
        <v/>
      </c>
      <c r="DO75">
        <f>IF(AND(DO$4=1,DO25=0),1,0)</f>
        <v/>
      </c>
      <c r="DP75">
        <f>IF(AND(DP$4=1,DP25=0),1,0)</f>
        <v/>
      </c>
      <c r="DQ75">
        <f>IF(AND(DQ$4=1,DQ25=0),1,0)</f>
        <v/>
      </c>
      <c r="DR75">
        <f>IF(AND(DR$4=1,DR25=0),1,0)</f>
        <v/>
      </c>
      <c r="DS75">
        <f>IF(AND(DS$4=1,DS25=0),1,0)</f>
        <v/>
      </c>
      <c r="DT75">
        <f>IF(AND(DT$4=1,DT25=0),1,0)</f>
        <v/>
      </c>
      <c r="DU75">
        <f>IF(AND(DU$4=1,DU25=0),1,0)</f>
        <v/>
      </c>
      <c r="DV75">
        <f>IF(AND(DV$4=1,DV25=0),1,0)</f>
        <v/>
      </c>
      <c r="DW75">
        <f>IF(AND(DW$4=1,DW25=0),1,0)</f>
        <v/>
      </c>
      <c r="DX75">
        <f>IF(AND(DX$4=1,DX25=0),1,0)</f>
        <v/>
      </c>
      <c r="DY75">
        <f>IF(AND(DY$4=1,DY25=0),1,0)</f>
        <v/>
      </c>
      <c r="DZ75">
        <f>IF(AND(DZ$4=1,DZ25=0),1,0)</f>
        <v/>
      </c>
      <c r="EA75">
        <f>IF(AND(EA$4=1,EA25=0),1,0)</f>
        <v/>
      </c>
      <c r="EB75">
        <f>IF(AND(EB$4=1,EB25=0),1,0)</f>
        <v/>
      </c>
      <c r="EC75">
        <f>IF(AND(EC$4=1,EC25=0),1,0)</f>
        <v/>
      </c>
      <c r="ED75">
        <f>IF(AND(ED$4=1,ED25=0),1,0)</f>
        <v/>
      </c>
      <c r="EE75">
        <f>IF(AND(EE$4=1,EE25=0),1,0)</f>
        <v/>
      </c>
      <c r="EF75">
        <f>IF(AND(EF$4=1,EF25=0),1,0)</f>
        <v/>
      </c>
      <c r="EG75">
        <f>IF(AND(EG$4=1,EG25=0),1,0)</f>
        <v/>
      </c>
      <c r="EH75">
        <f>IF(AND(EH$4=1,EH25=0),1,0)</f>
        <v/>
      </c>
      <c r="EI75">
        <f>IF(AND(EI$4=1,EI25=0),1,0)</f>
        <v/>
      </c>
      <c r="EJ75">
        <f>IF(AND(EJ$4=1,EJ25=0),1,0)</f>
        <v/>
      </c>
      <c r="EK75">
        <f>IF(AND(EK$4=1,EK25=0),1,0)</f>
        <v/>
      </c>
      <c r="EL75">
        <f>IF(AND(EL$4=1,EL25=0),1,0)</f>
        <v/>
      </c>
      <c r="EM75">
        <f>IF(AND(EM$4=1,EM25=0),1,0)</f>
        <v/>
      </c>
      <c r="EN75">
        <f>IF(AND(EN$4=1,EN25=0),1,0)</f>
        <v/>
      </c>
      <c r="EO75">
        <f>IF(AND(EO$4=1,EO25=0),1,0)</f>
        <v/>
      </c>
      <c r="EP75">
        <f>IF(AND(EP$4=1,EP25=0),1,0)</f>
        <v/>
      </c>
      <c r="EQ75">
        <f>IF(AND(EQ$4=1,EQ25=0),1,0)</f>
        <v/>
      </c>
    </row>
    <row r="76">
      <c r="A76" t="n">
        <v>17</v>
      </c>
      <c r="D76">
        <f>IF(AND(D$4=1,D26=0),1,0)</f>
        <v/>
      </c>
      <c r="E76">
        <f>IF(AND(E$4=1,E26=0),1,0)</f>
        <v/>
      </c>
      <c r="F76">
        <f>IF(AND(F$4=1,F26=0),1,0)</f>
        <v/>
      </c>
      <c r="G76">
        <f>IF(AND(G$4=1,G26=0),1,0)</f>
        <v/>
      </c>
      <c r="H76">
        <f>IF(AND(H$4=1,H26=0),1,0)</f>
        <v/>
      </c>
      <c r="I76">
        <f>IF(AND(I$4=1,I26=0),1,0)</f>
        <v/>
      </c>
      <c r="J76">
        <f>IF(AND(J$4=1,J26=0),1,0)</f>
        <v/>
      </c>
      <c r="K76">
        <f>IF(AND(K$4=1,K26=0),1,0)</f>
        <v/>
      </c>
      <c r="L76">
        <f>IF(AND(L$4=1,L26=0),1,0)</f>
        <v/>
      </c>
      <c r="M76">
        <f>IF(AND(M$4=1,M26=0),1,0)</f>
        <v/>
      </c>
      <c r="N76">
        <f>IF(AND(N$4=1,N26=0),1,0)</f>
        <v/>
      </c>
      <c r="O76">
        <f>IF(AND(O$4=1,O26=0),1,0)</f>
        <v/>
      </c>
      <c r="P76">
        <f>IF(AND(P$4=1,P26=0),1,0)</f>
        <v/>
      </c>
      <c r="Q76">
        <f>IF(AND(Q$4=1,Q26=0),1,0)</f>
        <v/>
      </c>
      <c r="R76">
        <f>IF(AND(R$4=1,R26=0),1,0)</f>
        <v/>
      </c>
      <c r="S76">
        <f>IF(AND(S$4=1,S26=0),1,0)</f>
        <v/>
      </c>
      <c r="T76">
        <f>IF(AND(T$4=1,T26=0),1,0)</f>
        <v/>
      </c>
      <c r="U76">
        <f>IF(AND(U$4=1,U26=0),1,0)</f>
        <v/>
      </c>
      <c r="V76">
        <f>IF(AND(V$4=1,V26=0),1,0)</f>
        <v/>
      </c>
      <c r="W76">
        <f>IF(AND(W$4=1,W26=0),1,0)</f>
        <v/>
      </c>
      <c r="X76">
        <f>IF(AND(X$4=1,X26=0),1,0)</f>
        <v/>
      </c>
      <c r="Y76">
        <f>IF(AND(Y$4=1,Y26=0),1,0)</f>
        <v/>
      </c>
      <c r="Z76">
        <f>IF(AND(Z$4=1,Z26=0),1,0)</f>
        <v/>
      </c>
      <c r="AA76">
        <f>IF(AND(AA$4=1,AA26=0),1,0)</f>
        <v/>
      </c>
      <c r="AB76">
        <f>IF(AND(AB$4=1,AB26=0),1,0)</f>
        <v/>
      </c>
      <c r="AC76">
        <f>IF(AND(AC$4=1,AC26=0),1,0)</f>
        <v/>
      </c>
      <c r="AD76">
        <f>IF(AND(AD$4=1,AD26=0),1,0)</f>
        <v/>
      </c>
      <c r="AE76">
        <f>IF(AND(AE$4=1,AE26=0),1,0)</f>
        <v/>
      </c>
      <c r="AF76">
        <f>IF(AND(AF$4=1,AF26=0),1,0)</f>
        <v/>
      </c>
      <c r="AG76">
        <f>IF(AND(AG$4=1,AG26=0),1,0)</f>
        <v/>
      </c>
      <c r="AH76">
        <f>IF(AND(AH$4=1,AH26=0),1,0)</f>
        <v/>
      </c>
      <c r="AI76">
        <f>IF(AND(AI$4=1,AI26=0),1,0)</f>
        <v/>
      </c>
      <c r="AJ76">
        <f>IF(AND(AJ$4=1,AJ26=0),1,0)</f>
        <v/>
      </c>
      <c r="AK76">
        <f>IF(AND(AK$4=1,AK26=0),1,0)</f>
        <v/>
      </c>
      <c r="AL76">
        <f>IF(AND(AL$4=1,AL26=0),1,0)</f>
        <v/>
      </c>
      <c r="AM76">
        <f>IF(AND(AM$4=1,AM26=0),1,0)</f>
        <v/>
      </c>
      <c r="AN76">
        <f>IF(AND(AN$4=1,AN26=0),1,0)</f>
        <v/>
      </c>
      <c r="AO76">
        <f>IF(AND(AO$4=1,AO26=0),1,0)</f>
        <v/>
      </c>
      <c r="AP76">
        <f>IF(AND(AP$4=1,AP26=0),1,0)</f>
        <v/>
      </c>
      <c r="AQ76">
        <f>IF(AND(AQ$4=1,AQ26=0),1,0)</f>
        <v/>
      </c>
      <c r="AR76">
        <f>IF(AND(AR$4=1,AR26=0),1,0)</f>
        <v/>
      </c>
      <c r="AS76">
        <f>IF(AND(AS$4=1,AS26=0),1,0)</f>
        <v/>
      </c>
      <c r="AT76">
        <f>IF(AND(AT$4=1,AT26=0),1,0)</f>
        <v/>
      </c>
      <c r="AU76">
        <f>IF(AND(AU$4=1,AU26=0),1,0)</f>
        <v/>
      </c>
      <c r="AV76">
        <f>IF(AND(AV$4=1,AV26=0),1,0)</f>
        <v/>
      </c>
      <c r="AW76">
        <f>IF(AND(AW$4=1,AW26=0),1,0)</f>
        <v/>
      </c>
      <c r="AX76">
        <f>IF(AND(AX$4=1,AX26=0),1,0)</f>
        <v/>
      </c>
      <c r="AY76">
        <f>IF(AND(AY$4=1,AY26=0),1,0)</f>
        <v/>
      </c>
      <c r="AZ76">
        <f>IF(AND(AZ$4=1,AZ26=0),1,0)</f>
        <v/>
      </c>
      <c r="BA76">
        <f>IF(AND(BA$4=1,BA26=0),1,0)</f>
        <v/>
      </c>
      <c r="BB76">
        <f>IF(AND(BB$4=1,BB26=0),1,0)</f>
        <v/>
      </c>
      <c r="BC76">
        <f>IF(AND(BC$4=1,BC26=0),1,0)</f>
        <v/>
      </c>
      <c r="BD76">
        <f>IF(AND(BD$4=1,BD26=0),1,0)</f>
        <v/>
      </c>
      <c r="BE76">
        <f>IF(AND(BE$4=1,BE26=0),1,0)</f>
        <v/>
      </c>
      <c r="BF76">
        <f>IF(AND(BF$4=1,BF26=0),1,0)</f>
        <v/>
      </c>
      <c r="BG76">
        <f>IF(AND(BG$4=1,BG26=0),1,0)</f>
        <v/>
      </c>
      <c r="BH76">
        <f>IF(AND(BH$4=1,BH26=0),1,0)</f>
        <v/>
      </c>
      <c r="BI76">
        <f>IF(AND(BI$4=1,BI26=0),1,0)</f>
        <v/>
      </c>
      <c r="BJ76">
        <f>IF(AND(BJ$4=1,BJ26=0),1,0)</f>
        <v/>
      </c>
      <c r="BK76">
        <f>IF(AND(BK$4=1,BK26=0),1,0)</f>
        <v/>
      </c>
      <c r="BL76">
        <f>IF(AND(BL$4=1,BL26=0),1,0)</f>
        <v/>
      </c>
      <c r="BM76">
        <f>IF(AND(BM$4=1,BM26=0),1,0)</f>
        <v/>
      </c>
      <c r="BN76">
        <f>IF(AND(BN$4=1,BN26=0),1,0)</f>
        <v/>
      </c>
      <c r="BO76">
        <f>IF(AND(BO$4=1,BO26=0),1,0)</f>
        <v/>
      </c>
      <c r="BP76">
        <f>IF(AND(BP$4=1,BP26=0),1,0)</f>
        <v/>
      </c>
      <c r="BQ76">
        <f>IF(AND(BQ$4=1,BQ26=0),1,0)</f>
        <v/>
      </c>
      <c r="BR76">
        <f>IF(AND(BR$4=1,BR26=0),1,0)</f>
        <v/>
      </c>
      <c r="BS76">
        <f>IF(AND(BS$4=1,BS26=0),1,0)</f>
        <v/>
      </c>
      <c r="BT76">
        <f>IF(AND(BT$4=1,BT26=0),1,0)</f>
        <v/>
      </c>
      <c r="BU76">
        <f>IF(AND(BU$4=1,BU26=0),1,0)</f>
        <v/>
      </c>
      <c r="BV76">
        <f>IF(AND(BV$4=1,BV26=0),1,0)</f>
        <v/>
      </c>
      <c r="BW76">
        <f>IF(AND(BW$4=1,BW26=0),1,0)</f>
        <v/>
      </c>
      <c r="BX76">
        <f>IF(AND(BX$4=1,BX26=0),1,0)</f>
        <v/>
      </c>
      <c r="BY76">
        <f>IF(AND(BY$4=1,BY26=0),1,0)</f>
        <v/>
      </c>
      <c r="BZ76">
        <f>IF(AND(BZ$4=1,BZ26=0),1,0)</f>
        <v/>
      </c>
      <c r="CA76">
        <f>IF(AND(CA$4=1,CA26=0),1,0)</f>
        <v/>
      </c>
      <c r="CB76">
        <f>IF(AND(CB$4=1,CB26=0),1,0)</f>
        <v/>
      </c>
      <c r="CC76">
        <f>IF(AND(CC$4=1,CC26=0),1,0)</f>
        <v/>
      </c>
      <c r="CD76">
        <f>IF(AND(CD$4=1,CD26=0),1,0)</f>
        <v/>
      </c>
      <c r="CE76">
        <f>IF(AND(CE$4=1,CE26=0),1,0)</f>
        <v/>
      </c>
      <c r="CF76">
        <f>IF(AND(CF$4=1,CF26=0),1,0)</f>
        <v/>
      </c>
      <c r="CG76">
        <f>IF(AND(CG$4=1,CG26=0),1,0)</f>
        <v/>
      </c>
      <c r="CH76">
        <f>IF(AND(CH$4=1,CH26=0),1,0)</f>
        <v/>
      </c>
      <c r="CI76">
        <f>IF(AND(CI$4=1,CI26=0),1,0)</f>
        <v/>
      </c>
      <c r="CJ76">
        <f>IF(AND(CJ$4=1,CJ26=0),1,0)</f>
        <v/>
      </c>
      <c r="CK76">
        <f>IF(AND(CK$4=1,CK26=0),1,0)</f>
        <v/>
      </c>
      <c r="CL76">
        <f>IF(AND(CL$4=1,CL26=0),1,0)</f>
        <v/>
      </c>
      <c r="CM76">
        <f>IF(AND(CM$4=1,CM26=0),1,0)</f>
        <v/>
      </c>
      <c r="CN76">
        <f>IF(AND(CN$4=1,CN26=0),1,0)</f>
        <v/>
      </c>
      <c r="CO76">
        <f>IF(AND(CO$4=1,CO26=0),1,0)</f>
        <v/>
      </c>
      <c r="CP76">
        <f>IF(AND(CP$4=1,CP26=0),1,0)</f>
        <v/>
      </c>
      <c r="CQ76">
        <f>IF(AND(CQ$4=1,CQ26=0),1,0)</f>
        <v/>
      </c>
      <c r="CR76">
        <f>IF(AND(CR$4=1,CR26=0),1,0)</f>
        <v/>
      </c>
      <c r="CS76">
        <f>IF(AND(CS$4=1,CS26=0),1,0)</f>
        <v/>
      </c>
      <c r="CT76">
        <f>IF(AND(CT$4=1,CT26=0),1,0)</f>
        <v/>
      </c>
      <c r="CU76">
        <f>IF(AND(CU$4=1,CU26=0),1,0)</f>
        <v/>
      </c>
      <c r="CV76">
        <f>IF(AND(CV$4=1,CV26=0),1,0)</f>
        <v/>
      </c>
      <c r="CW76">
        <f>IF(AND(CW$4=1,CW26=0),1,0)</f>
        <v/>
      </c>
      <c r="CX76">
        <f>IF(AND(CX$4=1,CX26=0),1,0)</f>
        <v/>
      </c>
      <c r="CY76">
        <f>IF(AND(CY$4=1,CY26=0),1,0)</f>
        <v/>
      </c>
      <c r="CZ76">
        <f>IF(AND(CZ$4=1,CZ26=0),1,0)</f>
        <v/>
      </c>
      <c r="DA76">
        <f>IF(AND(DA$4=1,DA26=0),1,0)</f>
        <v/>
      </c>
      <c r="DB76">
        <f>IF(AND(DB$4=1,DB26=0),1,0)</f>
        <v/>
      </c>
      <c r="DC76">
        <f>IF(AND(DC$4=1,DC26=0),1,0)</f>
        <v/>
      </c>
      <c r="DD76">
        <f>IF(AND(DD$4=1,DD26=0),1,0)</f>
        <v/>
      </c>
      <c r="DE76">
        <f>IF(AND(DE$4=1,DE26=0),1,0)</f>
        <v/>
      </c>
      <c r="DF76">
        <f>IF(AND(DF$4=1,DF26=0),1,0)</f>
        <v/>
      </c>
      <c r="DG76">
        <f>IF(AND(DG$4=1,DG26=0),1,0)</f>
        <v/>
      </c>
      <c r="DH76">
        <f>IF(AND(DH$4=1,DH26=0),1,0)</f>
        <v/>
      </c>
      <c r="DI76">
        <f>IF(AND(DI$4=1,DI26=0),1,0)</f>
        <v/>
      </c>
      <c r="DJ76">
        <f>IF(AND(DJ$4=1,DJ26=0),1,0)</f>
        <v/>
      </c>
      <c r="DK76">
        <f>IF(AND(DK$4=1,DK26=0),1,0)</f>
        <v/>
      </c>
      <c r="DL76">
        <f>IF(AND(DL$4=1,DL26=0),1,0)</f>
        <v/>
      </c>
      <c r="DM76">
        <f>IF(AND(DM$4=1,DM26=0),1,0)</f>
        <v/>
      </c>
      <c r="DN76">
        <f>IF(AND(DN$4=1,DN26=0),1,0)</f>
        <v/>
      </c>
      <c r="DO76">
        <f>IF(AND(DO$4=1,DO26=0),1,0)</f>
        <v/>
      </c>
      <c r="DP76">
        <f>IF(AND(DP$4=1,DP26=0),1,0)</f>
        <v/>
      </c>
      <c r="DQ76">
        <f>IF(AND(DQ$4=1,DQ26=0),1,0)</f>
        <v/>
      </c>
      <c r="DR76">
        <f>IF(AND(DR$4=1,DR26=0),1,0)</f>
        <v/>
      </c>
      <c r="DS76">
        <f>IF(AND(DS$4=1,DS26=0),1,0)</f>
        <v/>
      </c>
      <c r="DT76">
        <f>IF(AND(DT$4=1,DT26=0),1,0)</f>
        <v/>
      </c>
      <c r="DU76">
        <f>IF(AND(DU$4=1,DU26=0),1,0)</f>
        <v/>
      </c>
      <c r="DV76">
        <f>IF(AND(DV$4=1,DV26=0),1,0)</f>
        <v/>
      </c>
      <c r="DW76">
        <f>IF(AND(DW$4=1,DW26=0),1,0)</f>
        <v/>
      </c>
      <c r="DX76">
        <f>IF(AND(DX$4=1,DX26=0),1,0)</f>
        <v/>
      </c>
      <c r="DY76">
        <f>IF(AND(DY$4=1,DY26=0),1,0)</f>
        <v/>
      </c>
      <c r="DZ76">
        <f>IF(AND(DZ$4=1,DZ26=0),1,0)</f>
        <v/>
      </c>
      <c r="EA76">
        <f>IF(AND(EA$4=1,EA26=0),1,0)</f>
        <v/>
      </c>
      <c r="EB76">
        <f>IF(AND(EB$4=1,EB26=0),1,0)</f>
        <v/>
      </c>
      <c r="EC76">
        <f>IF(AND(EC$4=1,EC26=0),1,0)</f>
        <v/>
      </c>
      <c r="ED76">
        <f>IF(AND(ED$4=1,ED26=0),1,0)</f>
        <v/>
      </c>
      <c r="EE76">
        <f>IF(AND(EE$4=1,EE26=0),1,0)</f>
        <v/>
      </c>
      <c r="EF76">
        <f>IF(AND(EF$4=1,EF26=0),1,0)</f>
        <v/>
      </c>
      <c r="EG76">
        <f>IF(AND(EG$4=1,EG26=0),1,0)</f>
        <v/>
      </c>
      <c r="EH76">
        <f>IF(AND(EH$4=1,EH26=0),1,0)</f>
        <v/>
      </c>
      <c r="EI76">
        <f>IF(AND(EI$4=1,EI26=0),1,0)</f>
        <v/>
      </c>
      <c r="EJ76">
        <f>IF(AND(EJ$4=1,EJ26=0),1,0)</f>
        <v/>
      </c>
      <c r="EK76">
        <f>IF(AND(EK$4=1,EK26=0),1,0)</f>
        <v/>
      </c>
      <c r="EL76">
        <f>IF(AND(EL$4=1,EL26=0),1,0)</f>
        <v/>
      </c>
      <c r="EM76">
        <f>IF(AND(EM$4=1,EM26=0),1,0)</f>
        <v/>
      </c>
      <c r="EN76">
        <f>IF(AND(EN$4=1,EN26=0),1,0)</f>
        <v/>
      </c>
      <c r="EO76">
        <f>IF(AND(EO$4=1,EO26=0),1,0)</f>
        <v/>
      </c>
      <c r="EP76">
        <f>IF(AND(EP$4=1,EP26=0),1,0)</f>
        <v/>
      </c>
      <c r="EQ76">
        <f>IF(AND(EQ$4=1,EQ26=0),1,0)</f>
        <v/>
      </c>
    </row>
    <row r="77">
      <c r="A77" t="n">
        <v>18</v>
      </c>
      <c r="D77">
        <f>IF(AND(D$4=1,D27=0),1,0)</f>
        <v/>
      </c>
      <c r="E77">
        <f>IF(AND(E$4=1,E27=0),1,0)</f>
        <v/>
      </c>
      <c r="F77">
        <f>IF(AND(F$4=1,F27=0),1,0)</f>
        <v/>
      </c>
      <c r="G77">
        <f>IF(AND(G$4=1,G27=0),1,0)</f>
        <v/>
      </c>
      <c r="H77">
        <f>IF(AND(H$4=1,H27=0),1,0)</f>
        <v/>
      </c>
      <c r="I77">
        <f>IF(AND(I$4=1,I27=0),1,0)</f>
        <v/>
      </c>
      <c r="J77">
        <f>IF(AND(J$4=1,J27=0),1,0)</f>
        <v/>
      </c>
      <c r="K77">
        <f>IF(AND(K$4=1,K27=0),1,0)</f>
        <v/>
      </c>
      <c r="L77">
        <f>IF(AND(L$4=1,L27=0),1,0)</f>
        <v/>
      </c>
      <c r="M77">
        <f>IF(AND(M$4=1,M27=0),1,0)</f>
        <v/>
      </c>
      <c r="N77">
        <f>IF(AND(N$4=1,N27=0),1,0)</f>
        <v/>
      </c>
      <c r="O77">
        <f>IF(AND(O$4=1,O27=0),1,0)</f>
        <v/>
      </c>
      <c r="P77">
        <f>IF(AND(P$4=1,P27=0),1,0)</f>
        <v/>
      </c>
      <c r="Q77">
        <f>IF(AND(Q$4=1,Q27=0),1,0)</f>
        <v/>
      </c>
      <c r="R77">
        <f>IF(AND(R$4=1,R27=0),1,0)</f>
        <v/>
      </c>
      <c r="S77">
        <f>IF(AND(S$4=1,S27=0),1,0)</f>
        <v/>
      </c>
      <c r="T77">
        <f>IF(AND(T$4=1,T27=0),1,0)</f>
        <v/>
      </c>
      <c r="U77">
        <f>IF(AND(U$4=1,U27=0),1,0)</f>
        <v/>
      </c>
      <c r="V77">
        <f>IF(AND(V$4=1,V27=0),1,0)</f>
        <v/>
      </c>
      <c r="W77">
        <f>IF(AND(W$4=1,W27=0),1,0)</f>
        <v/>
      </c>
      <c r="X77">
        <f>IF(AND(X$4=1,X27=0),1,0)</f>
        <v/>
      </c>
      <c r="Y77">
        <f>IF(AND(Y$4=1,Y27=0),1,0)</f>
        <v/>
      </c>
      <c r="Z77">
        <f>IF(AND(Z$4=1,Z27=0),1,0)</f>
        <v/>
      </c>
      <c r="AA77">
        <f>IF(AND(AA$4=1,AA27=0),1,0)</f>
        <v/>
      </c>
      <c r="AB77">
        <f>IF(AND(AB$4=1,AB27=0),1,0)</f>
        <v/>
      </c>
      <c r="AC77">
        <f>IF(AND(AC$4=1,AC27=0),1,0)</f>
        <v/>
      </c>
      <c r="AD77">
        <f>IF(AND(AD$4=1,AD27=0),1,0)</f>
        <v/>
      </c>
      <c r="AE77">
        <f>IF(AND(AE$4=1,AE27=0),1,0)</f>
        <v/>
      </c>
      <c r="AF77">
        <f>IF(AND(AF$4=1,AF27=0),1,0)</f>
        <v/>
      </c>
      <c r="AG77">
        <f>IF(AND(AG$4=1,AG27=0),1,0)</f>
        <v/>
      </c>
      <c r="AH77">
        <f>IF(AND(AH$4=1,AH27=0),1,0)</f>
        <v/>
      </c>
      <c r="AI77">
        <f>IF(AND(AI$4=1,AI27=0),1,0)</f>
        <v/>
      </c>
      <c r="AJ77">
        <f>IF(AND(AJ$4=1,AJ27=0),1,0)</f>
        <v/>
      </c>
      <c r="AK77">
        <f>IF(AND(AK$4=1,AK27=0),1,0)</f>
        <v/>
      </c>
      <c r="AL77">
        <f>IF(AND(AL$4=1,AL27=0),1,0)</f>
        <v/>
      </c>
      <c r="AM77">
        <f>IF(AND(AM$4=1,AM27=0),1,0)</f>
        <v/>
      </c>
      <c r="AN77">
        <f>IF(AND(AN$4=1,AN27=0),1,0)</f>
        <v/>
      </c>
      <c r="AO77">
        <f>IF(AND(AO$4=1,AO27=0),1,0)</f>
        <v/>
      </c>
      <c r="AP77">
        <f>IF(AND(AP$4=1,AP27=0),1,0)</f>
        <v/>
      </c>
      <c r="AQ77">
        <f>IF(AND(AQ$4=1,AQ27=0),1,0)</f>
        <v/>
      </c>
      <c r="AR77">
        <f>IF(AND(AR$4=1,AR27=0),1,0)</f>
        <v/>
      </c>
      <c r="AS77">
        <f>IF(AND(AS$4=1,AS27=0),1,0)</f>
        <v/>
      </c>
      <c r="AT77">
        <f>IF(AND(AT$4=1,AT27=0),1,0)</f>
        <v/>
      </c>
      <c r="AU77">
        <f>IF(AND(AU$4=1,AU27=0),1,0)</f>
        <v/>
      </c>
      <c r="AV77">
        <f>IF(AND(AV$4=1,AV27=0),1,0)</f>
        <v/>
      </c>
      <c r="AW77">
        <f>IF(AND(AW$4=1,AW27=0),1,0)</f>
        <v/>
      </c>
      <c r="AX77">
        <f>IF(AND(AX$4=1,AX27=0),1,0)</f>
        <v/>
      </c>
      <c r="AY77">
        <f>IF(AND(AY$4=1,AY27=0),1,0)</f>
        <v/>
      </c>
      <c r="AZ77">
        <f>IF(AND(AZ$4=1,AZ27=0),1,0)</f>
        <v/>
      </c>
      <c r="BA77">
        <f>IF(AND(BA$4=1,BA27=0),1,0)</f>
        <v/>
      </c>
      <c r="BB77">
        <f>IF(AND(BB$4=1,BB27=0),1,0)</f>
        <v/>
      </c>
      <c r="BC77">
        <f>IF(AND(BC$4=1,BC27=0),1,0)</f>
        <v/>
      </c>
      <c r="BD77">
        <f>IF(AND(BD$4=1,BD27=0),1,0)</f>
        <v/>
      </c>
      <c r="BE77">
        <f>IF(AND(BE$4=1,BE27=0),1,0)</f>
        <v/>
      </c>
      <c r="BF77">
        <f>IF(AND(BF$4=1,BF27=0),1,0)</f>
        <v/>
      </c>
      <c r="BG77">
        <f>IF(AND(BG$4=1,BG27=0),1,0)</f>
        <v/>
      </c>
      <c r="BH77">
        <f>IF(AND(BH$4=1,BH27=0),1,0)</f>
        <v/>
      </c>
      <c r="BI77">
        <f>IF(AND(BI$4=1,BI27=0),1,0)</f>
        <v/>
      </c>
      <c r="BJ77">
        <f>IF(AND(BJ$4=1,BJ27=0),1,0)</f>
        <v/>
      </c>
      <c r="BK77">
        <f>IF(AND(BK$4=1,BK27=0),1,0)</f>
        <v/>
      </c>
      <c r="BL77">
        <f>IF(AND(BL$4=1,BL27=0),1,0)</f>
        <v/>
      </c>
      <c r="BM77">
        <f>IF(AND(BM$4=1,BM27=0),1,0)</f>
        <v/>
      </c>
      <c r="BN77">
        <f>IF(AND(BN$4=1,BN27=0),1,0)</f>
        <v/>
      </c>
      <c r="BO77">
        <f>IF(AND(BO$4=1,BO27=0),1,0)</f>
        <v/>
      </c>
      <c r="BP77">
        <f>IF(AND(BP$4=1,BP27=0),1,0)</f>
        <v/>
      </c>
      <c r="BQ77">
        <f>IF(AND(BQ$4=1,BQ27=0),1,0)</f>
        <v/>
      </c>
      <c r="BR77">
        <f>IF(AND(BR$4=1,BR27=0),1,0)</f>
        <v/>
      </c>
      <c r="BS77">
        <f>IF(AND(BS$4=1,BS27=0),1,0)</f>
        <v/>
      </c>
      <c r="BT77">
        <f>IF(AND(BT$4=1,BT27=0),1,0)</f>
        <v/>
      </c>
      <c r="BU77">
        <f>IF(AND(BU$4=1,BU27=0),1,0)</f>
        <v/>
      </c>
      <c r="BV77">
        <f>IF(AND(BV$4=1,BV27=0),1,0)</f>
        <v/>
      </c>
      <c r="BW77">
        <f>IF(AND(BW$4=1,BW27=0),1,0)</f>
        <v/>
      </c>
      <c r="BX77">
        <f>IF(AND(BX$4=1,BX27=0),1,0)</f>
        <v/>
      </c>
      <c r="BY77">
        <f>IF(AND(BY$4=1,BY27=0),1,0)</f>
        <v/>
      </c>
      <c r="BZ77">
        <f>IF(AND(BZ$4=1,BZ27=0),1,0)</f>
        <v/>
      </c>
      <c r="CA77">
        <f>IF(AND(CA$4=1,CA27=0),1,0)</f>
        <v/>
      </c>
      <c r="CB77">
        <f>IF(AND(CB$4=1,CB27=0),1,0)</f>
        <v/>
      </c>
      <c r="CC77">
        <f>IF(AND(CC$4=1,CC27=0),1,0)</f>
        <v/>
      </c>
      <c r="CD77">
        <f>IF(AND(CD$4=1,CD27=0),1,0)</f>
        <v/>
      </c>
      <c r="CE77">
        <f>IF(AND(CE$4=1,CE27=0),1,0)</f>
        <v/>
      </c>
      <c r="CF77">
        <f>IF(AND(CF$4=1,CF27=0),1,0)</f>
        <v/>
      </c>
      <c r="CG77">
        <f>IF(AND(CG$4=1,CG27=0),1,0)</f>
        <v/>
      </c>
      <c r="CH77">
        <f>IF(AND(CH$4=1,CH27=0),1,0)</f>
        <v/>
      </c>
      <c r="CI77">
        <f>IF(AND(CI$4=1,CI27=0),1,0)</f>
        <v/>
      </c>
      <c r="CJ77">
        <f>IF(AND(CJ$4=1,CJ27=0),1,0)</f>
        <v/>
      </c>
      <c r="CK77">
        <f>IF(AND(CK$4=1,CK27=0),1,0)</f>
        <v/>
      </c>
      <c r="CL77">
        <f>IF(AND(CL$4=1,CL27=0),1,0)</f>
        <v/>
      </c>
      <c r="CM77">
        <f>IF(AND(CM$4=1,CM27=0),1,0)</f>
        <v/>
      </c>
      <c r="CN77">
        <f>IF(AND(CN$4=1,CN27=0),1,0)</f>
        <v/>
      </c>
      <c r="CO77">
        <f>IF(AND(CO$4=1,CO27=0),1,0)</f>
        <v/>
      </c>
      <c r="CP77">
        <f>IF(AND(CP$4=1,CP27=0),1,0)</f>
        <v/>
      </c>
      <c r="CQ77">
        <f>IF(AND(CQ$4=1,CQ27=0),1,0)</f>
        <v/>
      </c>
      <c r="CR77">
        <f>IF(AND(CR$4=1,CR27=0),1,0)</f>
        <v/>
      </c>
      <c r="CS77">
        <f>IF(AND(CS$4=1,CS27=0),1,0)</f>
        <v/>
      </c>
      <c r="CT77">
        <f>IF(AND(CT$4=1,CT27=0),1,0)</f>
        <v/>
      </c>
      <c r="CU77">
        <f>IF(AND(CU$4=1,CU27=0),1,0)</f>
        <v/>
      </c>
      <c r="CV77">
        <f>IF(AND(CV$4=1,CV27=0),1,0)</f>
        <v/>
      </c>
      <c r="CW77">
        <f>IF(AND(CW$4=1,CW27=0),1,0)</f>
        <v/>
      </c>
      <c r="CX77">
        <f>IF(AND(CX$4=1,CX27=0),1,0)</f>
        <v/>
      </c>
      <c r="CY77">
        <f>IF(AND(CY$4=1,CY27=0),1,0)</f>
        <v/>
      </c>
      <c r="CZ77">
        <f>IF(AND(CZ$4=1,CZ27=0),1,0)</f>
        <v/>
      </c>
      <c r="DA77">
        <f>IF(AND(DA$4=1,DA27=0),1,0)</f>
        <v/>
      </c>
      <c r="DB77">
        <f>IF(AND(DB$4=1,DB27=0),1,0)</f>
        <v/>
      </c>
      <c r="DC77">
        <f>IF(AND(DC$4=1,DC27=0),1,0)</f>
        <v/>
      </c>
      <c r="DD77">
        <f>IF(AND(DD$4=1,DD27=0),1,0)</f>
        <v/>
      </c>
      <c r="DE77">
        <f>IF(AND(DE$4=1,DE27=0),1,0)</f>
        <v/>
      </c>
      <c r="DF77">
        <f>IF(AND(DF$4=1,DF27=0),1,0)</f>
        <v/>
      </c>
      <c r="DG77">
        <f>IF(AND(DG$4=1,DG27=0),1,0)</f>
        <v/>
      </c>
      <c r="DH77">
        <f>IF(AND(DH$4=1,DH27=0),1,0)</f>
        <v/>
      </c>
      <c r="DI77">
        <f>IF(AND(DI$4=1,DI27=0),1,0)</f>
        <v/>
      </c>
      <c r="DJ77">
        <f>IF(AND(DJ$4=1,DJ27=0),1,0)</f>
        <v/>
      </c>
      <c r="DK77">
        <f>IF(AND(DK$4=1,DK27=0),1,0)</f>
        <v/>
      </c>
      <c r="DL77">
        <f>IF(AND(DL$4=1,DL27=0),1,0)</f>
        <v/>
      </c>
      <c r="DM77">
        <f>IF(AND(DM$4=1,DM27=0),1,0)</f>
        <v/>
      </c>
      <c r="DN77">
        <f>IF(AND(DN$4=1,DN27=0),1,0)</f>
        <v/>
      </c>
      <c r="DO77">
        <f>IF(AND(DO$4=1,DO27=0),1,0)</f>
        <v/>
      </c>
      <c r="DP77">
        <f>IF(AND(DP$4=1,DP27=0),1,0)</f>
        <v/>
      </c>
      <c r="DQ77">
        <f>IF(AND(DQ$4=1,DQ27=0),1,0)</f>
        <v/>
      </c>
      <c r="DR77">
        <f>IF(AND(DR$4=1,DR27=0),1,0)</f>
        <v/>
      </c>
      <c r="DS77">
        <f>IF(AND(DS$4=1,DS27=0),1,0)</f>
        <v/>
      </c>
      <c r="DT77">
        <f>IF(AND(DT$4=1,DT27=0),1,0)</f>
        <v/>
      </c>
      <c r="DU77">
        <f>IF(AND(DU$4=1,DU27=0),1,0)</f>
        <v/>
      </c>
      <c r="DV77">
        <f>IF(AND(DV$4=1,DV27=0),1,0)</f>
        <v/>
      </c>
      <c r="DW77">
        <f>IF(AND(DW$4=1,DW27=0),1,0)</f>
        <v/>
      </c>
      <c r="DX77">
        <f>IF(AND(DX$4=1,DX27=0),1,0)</f>
        <v/>
      </c>
      <c r="DY77">
        <f>IF(AND(DY$4=1,DY27=0),1,0)</f>
        <v/>
      </c>
      <c r="DZ77">
        <f>IF(AND(DZ$4=1,DZ27=0),1,0)</f>
        <v/>
      </c>
      <c r="EA77">
        <f>IF(AND(EA$4=1,EA27=0),1,0)</f>
        <v/>
      </c>
      <c r="EB77">
        <f>IF(AND(EB$4=1,EB27=0),1,0)</f>
        <v/>
      </c>
      <c r="EC77">
        <f>IF(AND(EC$4=1,EC27=0),1,0)</f>
        <v/>
      </c>
      <c r="ED77">
        <f>IF(AND(ED$4=1,ED27=0),1,0)</f>
        <v/>
      </c>
      <c r="EE77">
        <f>IF(AND(EE$4=1,EE27=0),1,0)</f>
        <v/>
      </c>
      <c r="EF77">
        <f>IF(AND(EF$4=1,EF27=0),1,0)</f>
        <v/>
      </c>
      <c r="EG77">
        <f>IF(AND(EG$4=1,EG27=0),1,0)</f>
        <v/>
      </c>
      <c r="EH77">
        <f>IF(AND(EH$4=1,EH27=0),1,0)</f>
        <v/>
      </c>
      <c r="EI77">
        <f>IF(AND(EI$4=1,EI27=0),1,0)</f>
        <v/>
      </c>
      <c r="EJ77">
        <f>IF(AND(EJ$4=1,EJ27=0),1,0)</f>
        <v/>
      </c>
      <c r="EK77">
        <f>IF(AND(EK$4=1,EK27=0),1,0)</f>
        <v/>
      </c>
      <c r="EL77">
        <f>IF(AND(EL$4=1,EL27=0),1,0)</f>
        <v/>
      </c>
      <c r="EM77">
        <f>IF(AND(EM$4=1,EM27=0),1,0)</f>
        <v/>
      </c>
      <c r="EN77">
        <f>IF(AND(EN$4=1,EN27=0),1,0)</f>
        <v/>
      </c>
      <c r="EO77">
        <f>IF(AND(EO$4=1,EO27=0),1,0)</f>
        <v/>
      </c>
      <c r="EP77">
        <f>IF(AND(EP$4=1,EP27=0),1,0)</f>
        <v/>
      </c>
      <c r="EQ77">
        <f>IF(AND(EQ$4=1,EQ27=0),1,0)</f>
        <v/>
      </c>
    </row>
    <row r="78">
      <c r="A78" t="n">
        <v>19</v>
      </c>
      <c r="D78">
        <f>IF(AND(D$4=1,D28=0),1,0)</f>
        <v/>
      </c>
      <c r="E78">
        <f>IF(AND(E$4=1,E28=0),1,0)</f>
        <v/>
      </c>
      <c r="F78">
        <f>IF(AND(F$4=1,F28=0),1,0)</f>
        <v/>
      </c>
      <c r="G78">
        <f>IF(AND(G$4=1,G28=0),1,0)</f>
        <v/>
      </c>
      <c r="H78">
        <f>IF(AND(H$4=1,H28=0),1,0)</f>
        <v/>
      </c>
      <c r="I78">
        <f>IF(AND(I$4=1,I28=0),1,0)</f>
        <v/>
      </c>
      <c r="J78">
        <f>IF(AND(J$4=1,J28=0),1,0)</f>
        <v/>
      </c>
      <c r="K78">
        <f>IF(AND(K$4=1,K28=0),1,0)</f>
        <v/>
      </c>
      <c r="L78">
        <f>IF(AND(L$4=1,L28=0),1,0)</f>
        <v/>
      </c>
      <c r="M78">
        <f>IF(AND(M$4=1,M28=0),1,0)</f>
        <v/>
      </c>
      <c r="N78">
        <f>IF(AND(N$4=1,N28=0),1,0)</f>
        <v/>
      </c>
      <c r="O78">
        <f>IF(AND(O$4=1,O28=0),1,0)</f>
        <v/>
      </c>
      <c r="P78">
        <f>IF(AND(P$4=1,P28=0),1,0)</f>
        <v/>
      </c>
      <c r="Q78">
        <f>IF(AND(Q$4=1,Q28=0),1,0)</f>
        <v/>
      </c>
      <c r="R78">
        <f>IF(AND(R$4=1,R28=0),1,0)</f>
        <v/>
      </c>
      <c r="S78">
        <f>IF(AND(S$4=1,S28=0),1,0)</f>
        <v/>
      </c>
      <c r="T78">
        <f>IF(AND(T$4=1,T28=0),1,0)</f>
        <v/>
      </c>
      <c r="U78">
        <f>IF(AND(U$4=1,U28=0),1,0)</f>
        <v/>
      </c>
      <c r="V78">
        <f>IF(AND(V$4=1,V28=0),1,0)</f>
        <v/>
      </c>
      <c r="W78">
        <f>IF(AND(W$4=1,W28=0),1,0)</f>
        <v/>
      </c>
      <c r="X78">
        <f>IF(AND(X$4=1,X28=0),1,0)</f>
        <v/>
      </c>
      <c r="Y78">
        <f>IF(AND(Y$4=1,Y28=0),1,0)</f>
        <v/>
      </c>
      <c r="Z78">
        <f>IF(AND(Z$4=1,Z28=0),1,0)</f>
        <v/>
      </c>
      <c r="AA78">
        <f>IF(AND(AA$4=1,AA28=0),1,0)</f>
        <v/>
      </c>
      <c r="AB78">
        <f>IF(AND(AB$4=1,AB28=0),1,0)</f>
        <v/>
      </c>
      <c r="AC78">
        <f>IF(AND(AC$4=1,AC28=0),1,0)</f>
        <v/>
      </c>
      <c r="AD78">
        <f>IF(AND(AD$4=1,AD28=0),1,0)</f>
        <v/>
      </c>
      <c r="AE78">
        <f>IF(AND(AE$4=1,AE28=0),1,0)</f>
        <v/>
      </c>
      <c r="AF78">
        <f>IF(AND(AF$4=1,AF28=0),1,0)</f>
        <v/>
      </c>
      <c r="AG78">
        <f>IF(AND(AG$4=1,AG28=0),1,0)</f>
        <v/>
      </c>
      <c r="AH78">
        <f>IF(AND(AH$4=1,AH28=0),1,0)</f>
        <v/>
      </c>
      <c r="AI78">
        <f>IF(AND(AI$4=1,AI28=0),1,0)</f>
        <v/>
      </c>
      <c r="AJ78">
        <f>IF(AND(AJ$4=1,AJ28=0),1,0)</f>
        <v/>
      </c>
      <c r="AK78">
        <f>IF(AND(AK$4=1,AK28=0),1,0)</f>
        <v/>
      </c>
      <c r="AL78">
        <f>IF(AND(AL$4=1,AL28=0),1,0)</f>
        <v/>
      </c>
      <c r="AM78">
        <f>IF(AND(AM$4=1,AM28=0),1,0)</f>
        <v/>
      </c>
      <c r="AN78">
        <f>IF(AND(AN$4=1,AN28=0),1,0)</f>
        <v/>
      </c>
      <c r="AO78">
        <f>IF(AND(AO$4=1,AO28=0),1,0)</f>
        <v/>
      </c>
      <c r="AP78">
        <f>IF(AND(AP$4=1,AP28=0),1,0)</f>
        <v/>
      </c>
      <c r="AQ78">
        <f>IF(AND(AQ$4=1,AQ28=0),1,0)</f>
        <v/>
      </c>
      <c r="AR78">
        <f>IF(AND(AR$4=1,AR28=0),1,0)</f>
        <v/>
      </c>
      <c r="AS78">
        <f>IF(AND(AS$4=1,AS28=0),1,0)</f>
        <v/>
      </c>
      <c r="AT78">
        <f>IF(AND(AT$4=1,AT28=0),1,0)</f>
        <v/>
      </c>
      <c r="AU78">
        <f>IF(AND(AU$4=1,AU28=0),1,0)</f>
        <v/>
      </c>
      <c r="AV78">
        <f>IF(AND(AV$4=1,AV28=0),1,0)</f>
        <v/>
      </c>
      <c r="AW78">
        <f>IF(AND(AW$4=1,AW28=0),1,0)</f>
        <v/>
      </c>
      <c r="AX78">
        <f>IF(AND(AX$4=1,AX28=0),1,0)</f>
        <v/>
      </c>
      <c r="AY78">
        <f>IF(AND(AY$4=1,AY28=0),1,0)</f>
        <v/>
      </c>
      <c r="AZ78">
        <f>IF(AND(AZ$4=1,AZ28=0),1,0)</f>
        <v/>
      </c>
      <c r="BA78">
        <f>IF(AND(BA$4=1,BA28=0),1,0)</f>
        <v/>
      </c>
      <c r="BB78">
        <f>IF(AND(BB$4=1,BB28=0),1,0)</f>
        <v/>
      </c>
      <c r="BC78">
        <f>IF(AND(BC$4=1,BC28=0),1,0)</f>
        <v/>
      </c>
      <c r="BD78">
        <f>IF(AND(BD$4=1,BD28=0),1,0)</f>
        <v/>
      </c>
      <c r="BE78">
        <f>IF(AND(BE$4=1,BE28=0),1,0)</f>
        <v/>
      </c>
      <c r="BF78">
        <f>IF(AND(BF$4=1,BF28=0),1,0)</f>
        <v/>
      </c>
      <c r="BG78">
        <f>IF(AND(BG$4=1,BG28=0),1,0)</f>
        <v/>
      </c>
      <c r="BH78">
        <f>IF(AND(BH$4=1,BH28=0),1,0)</f>
        <v/>
      </c>
      <c r="BI78">
        <f>IF(AND(BI$4=1,BI28=0),1,0)</f>
        <v/>
      </c>
      <c r="BJ78">
        <f>IF(AND(BJ$4=1,BJ28=0),1,0)</f>
        <v/>
      </c>
      <c r="BK78">
        <f>IF(AND(BK$4=1,BK28=0),1,0)</f>
        <v/>
      </c>
      <c r="BL78">
        <f>IF(AND(BL$4=1,BL28=0),1,0)</f>
        <v/>
      </c>
      <c r="BM78">
        <f>IF(AND(BM$4=1,BM28=0),1,0)</f>
        <v/>
      </c>
      <c r="BN78">
        <f>IF(AND(BN$4=1,BN28=0),1,0)</f>
        <v/>
      </c>
      <c r="BO78">
        <f>IF(AND(BO$4=1,BO28=0),1,0)</f>
        <v/>
      </c>
      <c r="BP78">
        <f>IF(AND(BP$4=1,BP28=0),1,0)</f>
        <v/>
      </c>
      <c r="BQ78">
        <f>IF(AND(BQ$4=1,BQ28=0),1,0)</f>
        <v/>
      </c>
      <c r="BR78">
        <f>IF(AND(BR$4=1,BR28=0),1,0)</f>
        <v/>
      </c>
      <c r="BS78">
        <f>IF(AND(BS$4=1,BS28=0),1,0)</f>
        <v/>
      </c>
      <c r="BT78">
        <f>IF(AND(BT$4=1,BT28=0),1,0)</f>
        <v/>
      </c>
      <c r="BU78">
        <f>IF(AND(BU$4=1,BU28=0),1,0)</f>
        <v/>
      </c>
      <c r="BV78">
        <f>IF(AND(BV$4=1,BV28=0),1,0)</f>
        <v/>
      </c>
      <c r="BW78">
        <f>IF(AND(BW$4=1,BW28=0),1,0)</f>
        <v/>
      </c>
      <c r="BX78">
        <f>IF(AND(BX$4=1,BX28=0),1,0)</f>
        <v/>
      </c>
      <c r="BY78">
        <f>IF(AND(BY$4=1,BY28=0),1,0)</f>
        <v/>
      </c>
      <c r="BZ78">
        <f>IF(AND(BZ$4=1,BZ28=0),1,0)</f>
        <v/>
      </c>
      <c r="CA78">
        <f>IF(AND(CA$4=1,CA28=0),1,0)</f>
        <v/>
      </c>
      <c r="CB78">
        <f>IF(AND(CB$4=1,CB28=0),1,0)</f>
        <v/>
      </c>
      <c r="CC78">
        <f>IF(AND(CC$4=1,CC28=0),1,0)</f>
        <v/>
      </c>
      <c r="CD78">
        <f>IF(AND(CD$4=1,CD28=0),1,0)</f>
        <v/>
      </c>
      <c r="CE78">
        <f>IF(AND(CE$4=1,CE28=0),1,0)</f>
        <v/>
      </c>
      <c r="CF78">
        <f>IF(AND(CF$4=1,CF28=0),1,0)</f>
        <v/>
      </c>
      <c r="CG78">
        <f>IF(AND(CG$4=1,CG28=0),1,0)</f>
        <v/>
      </c>
      <c r="CH78">
        <f>IF(AND(CH$4=1,CH28=0),1,0)</f>
        <v/>
      </c>
      <c r="CI78">
        <f>IF(AND(CI$4=1,CI28=0),1,0)</f>
        <v/>
      </c>
      <c r="CJ78">
        <f>IF(AND(CJ$4=1,CJ28=0),1,0)</f>
        <v/>
      </c>
      <c r="CK78">
        <f>IF(AND(CK$4=1,CK28=0),1,0)</f>
        <v/>
      </c>
      <c r="CL78">
        <f>IF(AND(CL$4=1,CL28=0),1,0)</f>
        <v/>
      </c>
      <c r="CM78">
        <f>IF(AND(CM$4=1,CM28=0),1,0)</f>
        <v/>
      </c>
      <c r="CN78">
        <f>IF(AND(CN$4=1,CN28=0),1,0)</f>
        <v/>
      </c>
      <c r="CO78">
        <f>IF(AND(CO$4=1,CO28=0),1,0)</f>
        <v/>
      </c>
      <c r="CP78">
        <f>IF(AND(CP$4=1,CP28=0),1,0)</f>
        <v/>
      </c>
      <c r="CQ78">
        <f>IF(AND(CQ$4=1,CQ28=0),1,0)</f>
        <v/>
      </c>
      <c r="CR78">
        <f>IF(AND(CR$4=1,CR28=0),1,0)</f>
        <v/>
      </c>
      <c r="CS78">
        <f>IF(AND(CS$4=1,CS28=0),1,0)</f>
        <v/>
      </c>
      <c r="CT78">
        <f>IF(AND(CT$4=1,CT28=0),1,0)</f>
        <v/>
      </c>
      <c r="CU78">
        <f>IF(AND(CU$4=1,CU28=0),1,0)</f>
        <v/>
      </c>
      <c r="CV78">
        <f>IF(AND(CV$4=1,CV28=0),1,0)</f>
        <v/>
      </c>
      <c r="CW78">
        <f>IF(AND(CW$4=1,CW28=0),1,0)</f>
        <v/>
      </c>
      <c r="CX78">
        <f>IF(AND(CX$4=1,CX28=0),1,0)</f>
        <v/>
      </c>
      <c r="CY78">
        <f>IF(AND(CY$4=1,CY28=0),1,0)</f>
        <v/>
      </c>
      <c r="CZ78">
        <f>IF(AND(CZ$4=1,CZ28=0),1,0)</f>
        <v/>
      </c>
      <c r="DA78">
        <f>IF(AND(DA$4=1,DA28=0),1,0)</f>
        <v/>
      </c>
      <c r="DB78">
        <f>IF(AND(DB$4=1,DB28=0),1,0)</f>
        <v/>
      </c>
      <c r="DC78">
        <f>IF(AND(DC$4=1,DC28=0),1,0)</f>
        <v/>
      </c>
      <c r="DD78">
        <f>IF(AND(DD$4=1,DD28=0),1,0)</f>
        <v/>
      </c>
      <c r="DE78">
        <f>IF(AND(DE$4=1,DE28=0),1,0)</f>
        <v/>
      </c>
      <c r="DF78">
        <f>IF(AND(DF$4=1,DF28=0),1,0)</f>
        <v/>
      </c>
      <c r="DG78">
        <f>IF(AND(DG$4=1,DG28=0),1,0)</f>
        <v/>
      </c>
      <c r="DH78">
        <f>IF(AND(DH$4=1,DH28=0),1,0)</f>
        <v/>
      </c>
      <c r="DI78">
        <f>IF(AND(DI$4=1,DI28=0),1,0)</f>
        <v/>
      </c>
      <c r="DJ78">
        <f>IF(AND(DJ$4=1,DJ28=0),1,0)</f>
        <v/>
      </c>
      <c r="DK78">
        <f>IF(AND(DK$4=1,DK28=0),1,0)</f>
        <v/>
      </c>
      <c r="DL78">
        <f>IF(AND(DL$4=1,DL28=0),1,0)</f>
        <v/>
      </c>
      <c r="DM78">
        <f>IF(AND(DM$4=1,DM28=0),1,0)</f>
        <v/>
      </c>
      <c r="DN78">
        <f>IF(AND(DN$4=1,DN28=0),1,0)</f>
        <v/>
      </c>
      <c r="DO78">
        <f>IF(AND(DO$4=1,DO28=0),1,0)</f>
        <v/>
      </c>
      <c r="DP78">
        <f>IF(AND(DP$4=1,DP28=0),1,0)</f>
        <v/>
      </c>
      <c r="DQ78">
        <f>IF(AND(DQ$4=1,DQ28=0),1,0)</f>
        <v/>
      </c>
      <c r="DR78">
        <f>IF(AND(DR$4=1,DR28=0),1,0)</f>
        <v/>
      </c>
      <c r="DS78">
        <f>IF(AND(DS$4=1,DS28=0),1,0)</f>
        <v/>
      </c>
      <c r="DT78">
        <f>IF(AND(DT$4=1,DT28=0),1,0)</f>
        <v/>
      </c>
      <c r="DU78">
        <f>IF(AND(DU$4=1,DU28=0),1,0)</f>
        <v/>
      </c>
      <c r="DV78">
        <f>IF(AND(DV$4=1,DV28=0),1,0)</f>
        <v/>
      </c>
      <c r="DW78">
        <f>IF(AND(DW$4=1,DW28=0),1,0)</f>
        <v/>
      </c>
      <c r="DX78">
        <f>IF(AND(DX$4=1,DX28=0),1,0)</f>
        <v/>
      </c>
      <c r="DY78">
        <f>IF(AND(DY$4=1,DY28=0),1,0)</f>
        <v/>
      </c>
      <c r="DZ78">
        <f>IF(AND(DZ$4=1,DZ28=0),1,0)</f>
        <v/>
      </c>
      <c r="EA78">
        <f>IF(AND(EA$4=1,EA28=0),1,0)</f>
        <v/>
      </c>
      <c r="EB78">
        <f>IF(AND(EB$4=1,EB28=0),1,0)</f>
        <v/>
      </c>
      <c r="EC78">
        <f>IF(AND(EC$4=1,EC28=0),1,0)</f>
        <v/>
      </c>
      <c r="ED78">
        <f>IF(AND(ED$4=1,ED28=0),1,0)</f>
        <v/>
      </c>
      <c r="EE78">
        <f>IF(AND(EE$4=1,EE28=0),1,0)</f>
        <v/>
      </c>
      <c r="EF78">
        <f>IF(AND(EF$4=1,EF28=0),1,0)</f>
        <v/>
      </c>
      <c r="EG78">
        <f>IF(AND(EG$4=1,EG28=0),1,0)</f>
        <v/>
      </c>
      <c r="EH78">
        <f>IF(AND(EH$4=1,EH28=0),1,0)</f>
        <v/>
      </c>
      <c r="EI78">
        <f>IF(AND(EI$4=1,EI28=0),1,0)</f>
        <v/>
      </c>
      <c r="EJ78">
        <f>IF(AND(EJ$4=1,EJ28=0),1,0)</f>
        <v/>
      </c>
      <c r="EK78">
        <f>IF(AND(EK$4=1,EK28=0),1,0)</f>
        <v/>
      </c>
      <c r="EL78">
        <f>IF(AND(EL$4=1,EL28=0),1,0)</f>
        <v/>
      </c>
      <c r="EM78">
        <f>IF(AND(EM$4=1,EM28=0),1,0)</f>
        <v/>
      </c>
      <c r="EN78">
        <f>IF(AND(EN$4=1,EN28=0),1,0)</f>
        <v/>
      </c>
      <c r="EO78">
        <f>IF(AND(EO$4=1,EO28=0),1,0)</f>
        <v/>
      </c>
      <c r="EP78">
        <f>IF(AND(EP$4=1,EP28=0),1,0)</f>
        <v/>
      </c>
      <c r="EQ78">
        <f>IF(AND(EQ$4=1,EQ28=0),1,0)</f>
        <v/>
      </c>
    </row>
    <row r="79">
      <c r="A79" t="n">
        <v>20</v>
      </c>
      <c r="D79">
        <f>IF(AND(D$4=1,D29=0),1,0)</f>
        <v/>
      </c>
      <c r="E79">
        <f>IF(AND(E$4=1,E29=0),1,0)</f>
        <v/>
      </c>
      <c r="F79">
        <f>IF(AND(F$4=1,F29=0),1,0)</f>
        <v/>
      </c>
      <c r="G79">
        <f>IF(AND(G$4=1,G29=0),1,0)</f>
        <v/>
      </c>
      <c r="H79">
        <f>IF(AND(H$4=1,H29=0),1,0)</f>
        <v/>
      </c>
      <c r="I79">
        <f>IF(AND(I$4=1,I29=0),1,0)</f>
        <v/>
      </c>
      <c r="J79">
        <f>IF(AND(J$4=1,J29=0),1,0)</f>
        <v/>
      </c>
      <c r="K79">
        <f>IF(AND(K$4=1,K29=0),1,0)</f>
        <v/>
      </c>
      <c r="L79">
        <f>IF(AND(L$4=1,L29=0),1,0)</f>
        <v/>
      </c>
      <c r="M79">
        <f>IF(AND(M$4=1,M29=0),1,0)</f>
        <v/>
      </c>
      <c r="N79">
        <f>IF(AND(N$4=1,N29=0),1,0)</f>
        <v/>
      </c>
      <c r="O79">
        <f>IF(AND(O$4=1,O29=0),1,0)</f>
        <v/>
      </c>
      <c r="P79">
        <f>IF(AND(P$4=1,P29=0),1,0)</f>
        <v/>
      </c>
      <c r="Q79">
        <f>IF(AND(Q$4=1,Q29=0),1,0)</f>
        <v/>
      </c>
      <c r="R79">
        <f>IF(AND(R$4=1,R29=0),1,0)</f>
        <v/>
      </c>
      <c r="S79">
        <f>IF(AND(S$4=1,S29=0),1,0)</f>
        <v/>
      </c>
      <c r="T79">
        <f>IF(AND(T$4=1,T29=0),1,0)</f>
        <v/>
      </c>
      <c r="U79">
        <f>IF(AND(U$4=1,U29=0),1,0)</f>
        <v/>
      </c>
      <c r="V79">
        <f>IF(AND(V$4=1,V29=0),1,0)</f>
        <v/>
      </c>
      <c r="W79">
        <f>IF(AND(W$4=1,W29=0),1,0)</f>
        <v/>
      </c>
      <c r="X79">
        <f>IF(AND(X$4=1,X29=0),1,0)</f>
        <v/>
      </c>
      <c r="Y79">
        <f>IF(AND(Y$4=1,Y29=0),1,0)</f>
        <v/>
      </c>
      <c r="Z79">
        <f>IF(AND(Z$4=1,Z29=0),1,0)</f>
        <v/>
      </c>
      <c r="AA79">
        <f>IF(AND(AA$4=1,AA29=0),1,0)</f>
        <v/>
      </c>
      <c r="AB79">
        <f>IF(AND(AB$4=1,AB29=0),1,0)</f>
        <v/>
      </c>
      <c r="AC79">
        <f>IF(AND(AC$4=1,AC29=0),1,0)</f>
        <v/>
      </c>
      <c r="AD79">
        <f>IF(AND(AD$4=1,AD29=0),1,0)</f>
        <v/>
      </c>
      <c r="AE79">
        <f>IF(AND(AE$4=1,AE29=0),1,0)</f>
        <v/>
      </c>
      <c r="AF79">
        <f>IF(AND(AF$4=1,AF29=0),1,0)</f>
        <v/>
      </c>
      <c r="AG79">
        <f>IF(AND(AG$4=1,AG29=0),1,0)</f>
        <v/>
      </c>
      <c r="AH79">
        <f>IF(AND(AH$4=1,AH29=0),1,0)</f>
        <v/>
      </c>
      <c r="AI79">
        <f>IF(AND(AI$4=1,AI29=0),1,0)</f>
        <v/>
      </c>
      <c r="AJ79">
        <f>IF(AND(AJ$4=1,AJ29=0),1,0)</f>
        <v/>
      </c>
      <c r="AK79">
        <f>IF(AND(AK$4=1,AK29=0),1,0)</f>
        <v/>
      </c>
      <c r="AL79">
        <f>IF(AND(AL$4=1,AL29=0),1,0)</f>
        <v/>
      </c>
      <c r="AM79">
        <f>IF(AND(AM$4=1,AM29=0),1,0)</f>
        <v/>
      </c>
      <c r="AN79">
        <f>IF(AND(AN$4=1,AN29=0),1,0)</f>
        <v/>
      </c>
      <c r="AO79">
        <f>IF(AND(AO$4=1,AO29=0),1,0)</f>
        <v/>
      </c>
      <c r="AP79">
        <f>IF(AND(AP$4=1,AP29=0),1,0)</f>
        <v/>
      </c>
      <c r="AQ79">
        <f>IF(AND(AQ$4=1,AQ29=0),1,0)</f>
        <v/>
      </c>
      <c r="AR79">
        <f>IF(AND(AR$4=1,AR29=0),1,0)</f>
        <v/>
      </c>
      <c r="AS79">
        <f>IF(AND(AS$4=1,AS29=0),1,0)</f>
        <v/>
      </c>
      <c r="AT79">
        <f>IF(AND(AT$4=1,AT29=0),1,0)</f>
        <v/>
      </c>
      <c r="AU79">
        <f>IF(AND(AU$4=1,AU29=0),1,0)</f>
        <v/>
      </c>
      <c r="AV79">
        <f>IF(AND(AV$4=1,AV29=0),1,0)</f>
        <v/>
      </c>
      <c r="AW79">
        <f>IF(AND(AW$4=1,AW29=0),1,0)</f>
        <v/>
      </c>
      <c r="AX79">
        <f>IF(AND(AX$4=1,AX29=0),1,0)</f>
        <v/>
      </c>
      <c r="AY79">
        <f>IF(AND(AY$4=1,AY29=0),1,0)</f>
        <v/>
      </c>
      <c r="AZ79">
        <f>IF(AND(AZ$4=1,AZ29=0),1,0)</f>
        <v/>
      </c>
      <c r="BA79">
        <f>IF(AND(BA$4=1,BA29=0),1,0)</f>
        <v/>
      </c>
      <c r="BB79">
        <f>IF(AND(BB$4=1,BB29=0),1,0)</f>
        <v/>
      </c>
      <c r="BC79">
        <f>IF(AND(BC$4=1,BC29=0),1,0)</f>
        <v/>
      </c>
      <c r="BD79">
        <f>IF(AND(BD$4=1,BD29=0),1,0)</f>
        <v/>
      </c>
      <c r="BE79">
        <f>IF(AND(BE$4=1,BE29=0),1,0)</f>
        <v/>
      </c>
      <c r="BF79">
        <f>IF(AND(BF$4=1,BF29=0),1,0)</f>
        <v/>
      </c>
      <c r="BG79">
        <f>IF(AND(BG$4=1,BG29=0),1,0)</f>
        <v/>
      </c>
      <c r="BH79">
        <f>IF(AND(BH$4=1,BH29=0),1,0)</f>
        <v/>
      </c>
      <c r="BI79">
        <f>IF(AND(BI$4=1,BI29=0),1,0)</f>
        <v/>
      </c>
      <c r="BJ79">
        <f>IF(AND(BJ$4=1,BJ29=0),1,0)</f>
        <v/>
      </c>
      <c r="BK79">
        <f>IF(AND(BK$4=1,BK29=0),1,0)</f>
        <v/>
      </c>
      <c r="BL79">
        <f>IF(AND(BL$4=1,BL29=0),1,0)</f>
        <v/>
      </c>
      <c r="BM79">
        <f>IF(AND(BM$4=1,BM29=0),1,0)</f>
        <v/>
      </c>
      <c r="BN79">
        <f>IF(AND(BN$4=1,BN29=0),1,0)</f>
        <v/>
      </c>
      <c r="BO79">
        <f>IF(AND(BO$4=1,BO29=0),1,0)</f>
        <v/>
      </c>
      <c r="BP79">
        <f>IF(AND(BP$4=1,BP29=0),1,0)</f>
        <v/>
      </c>
      <c r="BQ79">
        <f>IF(AND(BQ$4=1,BQ29=0),1,0)</f>
        <v/>
      </c>
      <c r="BR79">
        <f>IF(AND(BR$4=1,BR29=0),1,0)</f>
        <v/>
      </c>
      <c r="BS79">
        <f>IF(AND(BS$4=1,BS29=0),1,0)</f>
        <v/>
      </c>
      <c r="BT79">
        <f>IF(AND(BT$4=1,BT29=0),1,0)</f>
        <v/>
      </c>
      <c r="BU79">
        <f>IF(AND(BU$4=1,BU29=0),1,0)</f>
        <v/>
      </c>
      <c r="BV79">
        <f>IF(AND(BV$4=1,BV29=0),1,0)</f>
        <v/>
      </c>
      <c r="BW79">
        <f>IF(AND(BW$4=1,BW29=0),1,0)</f>
        <v/>
      </c>
      <c r="BX79">
        <f>IF(AND(BX$4=1,BX29=0),1,0)</f>
        <v/>
      </c>
      <c r="BY79">
        <f>IF(AND(BY$4=1,BY29=0),1,0)</f>
        <v/>
      </c>
      <c r="BZ79">
        <f>IF(AND(BZ$4=1,BZ29=0),1,0)</f>
        <v/>
      </c>
      <c r="CA79">
        <f>IF(AND(CA$4=1,CA29=0),1,0)</f>
        <v/>
      </c>
      <c r="CB79">
        <f>IF(AND(CB$4=1,CB29=0),1,0)</f>
        <v/>
      </c>
      <c r="CC79">
        <f>IF(AND(CC$4=1,CC29=0),1,0)</f>
        <v/>
      </c>
      <c r="CD79">
        <f>IF(AND(CD$4=1,CD29=0),1,0)</f>
        <v/>
      </c>
      <c r="CE79">
        <f>IF(AND(CE$4=1,CE29=0),1,0)</f>
        <v/>
      </c>
      <c r="CF79">
        <f>IF(AND(CF$4=1,CF29=0),1,0)</f>
        <v/>
      </c>
      <c r="CG79">
        <f>IF(AND(CG$4=1,CG29=0),1,0)</f>
        <v/>
      </c>
      <c r="CH79">
        <f>IF(AND(CH$4=1,CH29=0),1,0)</f>
        <v/>
      </c>
      <c r="CI79">
        <f>IF(AND(CI$4=1,CI29=0),1,0)</f>
        <v/>
      </c>
      <c r="CJ79">
        <f>IF(AND(CJ$4=1,CJ29=0),1,0)</f>
        <v/>
      </c>
      <c r="CK79">
        <f>IF(AND(CK$4=1,CK29=0),1,0)</f>
        <v/>
      </c>
      <c r="CL79">
        <f>IF(AND(CL$4=1,CL29=0),1,0)</f>
        <v/>
      </c>
      <c r="CM79">
        <f>IF(AND(CM$4=1,CM29=0),1,0)</f>
        <v/>
      </c>
      <c r="CN79">
        <f>IF(AND(CN$4=1,CN29=0),1,0)</f>
        <v/>
      </c>
      <c r="CO79">
        <f>IF(AND(CO$4=1,CO29=0),1,0)</f>
        <v/>
      </c>
      <c r="CP79">
        <f>IF(AND(CP$4=1,CP29=0),1,0)</f>
        <v/>
      </c>
      <c r="CQ79">
        <f>IF(AND(CQ$4=1,CQ29=0),1,0)</f>
        <v/>
      </c>
      <c r="CR79">
        <f>IF(AND(CR$4=1,CR29=0),1,0)</f>
        <v/>
      </c>
      <c r="CS79">
        <f>IF(AND(CS$4=1,CS29=0),1,0)</f>
        <v/>
      </c>
      <c r="CT79">
        <f>IF(AND(CT$4=1,CT29=0),1,0)</f>
        <v/>
      </c>
      <c r="CU79">
        <f>IF(AND(CU$4=1,CU29=0),1,0)</f>
        <v/>
      </c>
      <c r="CV79">
        <f>IF(AND(CV$4=1,CV29=0),1,0)</f>
        <v/>
      </c>
      <c r="CW79">
        <f>IF(AND(CW$4=1,CW29=0),1,0)</f>
        <v/>
      </c>
      <c r="CX79">
        <f>IF(AND(CX$4=1,CX29=0),1,0)</f>
        <v/>
      </c>
      <c r="CY79">
        <f>IF(AND(CY$4=1,CY29=0),1,0)</f>
        <v/>
      </c>
      <c r="CZ79">
        <f>IF(AND(CZ$4=1,CZ29=0),1,0)</f>
        <v/>
      </c>
      <c r="DA79">
        <f>IF(AND(DA$4=1,DA29=0),1,0)</f>
        <v/>
      </c>
      <c r="DB79">
        <f>IF(AND(DB$4=1,DB29=0),1,0)</f>
        <v/>
      </c>
      <c r="DC79">
        <f>IF(AND(DC$4=1,DC29=0),1,0)</f>
        <v/>
      </c>
      <c r="DD79">
        <f>IF(AND(DD$4=1,DD29=0),1,0)</f>
        <v/>
      </c>
      <c r="DE79">
        <f>IF(AND(DE$4=1,DE29=0),1,0)</f>
        <v/>
      </c>
      <c r="DF79">
        <f>IF(AND(DF$4=1,DF29=0),1,0)</f>
        <v/>
      </c>
      <c r="DG79">
        <f>IF(AND(DG$4=1,DG29=0),1,0)</f>
        <v/>
      </c>
      <c r="DH79">
        <f>IF(AND(DH$4=1,DH29=0),1,0)</f>
        <v/>
      </c>
      <c r="DI79">
        <f>IF(AND(DI$4=1,DI29=0),1,0)</f>
        <v/>
      </c>
      <c r="DJ79">
        <f>IF(AND(DJ$4=1,DJ29=0),1,0)</f>
        <v/>
      </c>
      <c r="DK79">
        <f>IF(AND(DK$4=1,DK29=0),1,0)</f>
        <v/>
      </c>
      <c r="DL79">
        <f>IF(AND(DL$4=1,DL29=0),1,0)</f>
        <v/>
      </c>
      <c r="DM79">
        <f>IF(AND(DM$4=1,DM29=0),1,0)</f>
        <v/>
      </c>
      <c r="DN79">
        <f>IF(AND(DN$4=1,DN29=0),1,0)</f>
        <v/>
      </c>
      <c r="DO79">
        <f>IF(AND(DO$4=1,DO29=0),1,0)</f>
        <v/>
      </c>
      <c r="DP79">
        <f>IF(AND(DP$4=1,DP29=0),1,0)</f>
        <v/>
      </c>
      <c r="DQ79">
        <f>IF(AND(DQ$4=1,DQ29=0),1,0)</f>
        <v/>
      </c>
      <c r="DR79">
        <f>IF(AND(DR$4=1,DR29=0),1,0)</f>
        <v/>
      </c>
      <c r="DS79">
        <f>IF(AND(DS$4=1,DS29=0),1,0)</f>
        <v/>
      </c>
      <c r="DT79">
        <f>IF(AND(DT$4=1,DT29=0),1,0)</f>
        <v/>
      </c>
      <c r="DU79">
        <f>IF(AND(DU$4=1,DU29=0),1,0)</f>
        <v/>
      </c>
      <c r="DV79">
        <f>IF(AND(DV$4=1,DV29=0),1,0)</f>
        <v/>
      </c>
      <c r="DW79">
        <f>IF(AND(DW$4=1,DW29=0),1,0)</f>
        <v/>
      </c>
      <c r="DX79">
        <f>IF(AND(DX$4=1,DX29=0),1,0)</f>
        <v/>
      </c>
      <c r="DY79">
        <f>IF(AND(DY$4=1,DY29=0),1,0)</f>
        <v/>
      </c>
      <c r="DZ79">
        <f>IF(AND(DZ$4=1,DZ29=0),1,0)</f>
        <v/>
      </c>
      <c r="EA79">
        <f>IF(AND(EA$4=1,EA29=0),1,0)</f>
        <v/>
      </c>
      <c r="EB79">
        <f>IF(AND(EB$4=1,EB29=0),1,0)</f>
        <v/>
      </c>
      <c r="EC79">
        <f>IF(AND(EC$4=1,EC29=0),1,0)</f>
        <v/>
      </c>
      <c r="ED79">
        <f>IF(AND(ED$4=1,ED29=0),1,0)</f>
        <v/>
      </c>
      <c r="EE79">
        <f>IF(AND(EE$4=1,EE29=0),1,0)</f>
        <v/>
      </c>
      <c r="EF79">
        <f>IF(AND(EF$4=1,EF29=0),1,0)</f>
        <v/>
      </c>
      <c r="EG79">
        <f>IF(AND(EG$4=1,EG29=0),1,0)</f>
        <v/>
      </c>
      <c r="EH79">
        <f>IF(AND(EH$4=1,EH29=0),1,0)</f>
        <v/>
      </c>
      <c r="EI79">
        <f>IF(AND(EI$4=1,EI29=0),1,0)</f>
        <v/>
      </c>
      <c r="EJ79">
        <f>IF(AND(EJ$4=1,EJ29=0),1,0)</f>
        <v/>
      </c>
      <c r="EK79">
        <f>IF(AND(EK$4=1,EK29=0),1,0)</f>
        <v/>
      </c>
      <c r="EL79">
        <f>IF(AND(EL$4=1,EL29=0),1,0)</f>
        <v/>
      </c>
      <c r="EM79">
        <f>IF(AND(EM$4=1,EM29=0),1,0)</f>
        <v/>
      </c>
      <c r="EN79">
        <f>IF(AND(EN$4=1,EN29=0),1,0)</f>
        <v/>
      </c>
      <c r="EO79">
        <f>IF(AND(EO$4=1,EO29=0),1,0)</f>
        <v/>
      </c>
      <c r="EP79">
        <f>IF(AND(EP$4=1,EP29=0),1,0)</f>
        <v/>
      </c>
      <c r="EQ79">
        <f>IF(AND(EQ$4=1,EQ29=0),1,0)</f>
        <v/>
      </c>
    </row>
    <row r="80">
      <c r="A80" t="n">
        <v>21</v>
      </c>
      <c r="D80">
        <f>IF(AND(D$4=1,D30=0),1,0)</f>
        <v/>
      </c>
      <c r="E80">
        <f>IF(AND(E$4=1,E30=0),1,0)</f>
        <v/>
      </c>
      <c r="F80">
        <f>IF(AND(F$4=1,F30=0),1,0)</f>
        <v/>
      </c>
      <c r="G80">
        <f>IF(AND(G$4=1,G30=0),1,0)</f>
        <v/>
      </c>
      <c r="H80">
        <f>IF(AND(H$4=1,H30=0),1,0)</f>
        <v/>
      </c>
      <c r="I80">
        <f>IF(AND(I$4=1,I30=0),1,0)</f>
        <v/>
      </c>
      <c r="J80">
        <f>IF(AND(J$4=1,J30=0),1,0)</f>
        <v/>
      </c>
      <c r="K80">
        <f>IF(AND(K$4=1,K30=0),1,0)</f>
        <v/>
      </c>
      <c r="L80">
        <f>IF(AND(L$4=1,L30=0),1,0)</f>
        <v/>
      </c>
      <c r="M80">
        <f>IF(AND(M$4=1,M30=0),1,0)</f>
        <v/>
      </c>
      <c r="N80">
        <f>IF(AND(N$4=1,N30=0),1,0)</f>
        <v/>
      </c>
      <c r="O80">
        <f>IF(AND(O$4=1,O30=0),1,0)</f>
        <v/>
      </c>
      <c r="P80">
        <f>IF(AND(P$4=1,P30=0),1,0)</f>
        <v/>
      </c>
      <c r="Q80">
        <f>IF(AND(Q$4=1,Q30=0),1,0)</f>
        <v/>
      </c>
      <c r="R80">
        <f>IF(AND(R$4=1,R30=0),1,0)</f>
        <v/>
      </c>
      <c r="S80">
        <f>IF(AND(S$4=1,S30=0),1,0)</f>
        <v/>
      </c>
      <c r="T80">
        <f>IF(AND(T$4=1,T30=0),1,0)</f>
        <v/>
      </c>
      <c r="U80">
        <f>IF(AND(U$4=1,U30=0),1,0)</f>
        <v/>
      </c>
      <c r="V80">
        <f>IF(AND(V$4=1,V30=0),1,0)</f>
        <v/>
      </c>
      <c r="W80">
        <f>IF(AND(W$4=1,W30=0),1,0)</f>
        <v/>
      </c>
      <c r="X80">
        <f>IF(AND(X$4=1,X30=0),1,0)</f>
        <v/>
      </c>
      <c r="Y80">
        <f>IF(AND(Y$4=1,Y30=0),1,0)</f>
        <v/>
      </c>
      <c r="Z80">
        <f>IF(AND(Z$4=1,Z30=0),1,0)</f>
        <v/>
      </c>
      <c r="AA80">
        <f>IF(AND(AA$4=1,AA30=0),1,0)</f>
        <v/>
      </c>
      <c r="AB80">
        <f>IF(AND(AB$4=1,AB30=0),1,0)</f>
        <v/>
      </c>
      <c r="AC80">
        <f>IF(AND(AC$4=1,AC30=0),1,0)</f>
        <v/>
      </c>
      <c r="AD80">
        <f>IF(AND(AD$4=1,AD30=0),1,0)</f>
        <v/>
      </c>
      <c r="AE80">
        <f>IF(AND(AE$4=1,AE30=0),1,0)</f>
        <v/>
      </c>
      <c r="AF80">
        <f>IF(AND(AF$4=1,AF30=0),1,0)</f>
        <v/>
      </c>
      <c r="AG80">
        <f>IF(AND(AG$4=1,AG30=0),1,0)</f>
        <v/>
      </c>
      <c r="AH80">
        <f>IF(AND(AH$4=1,AH30=0),1,0)</f>
        <v/>
      </c>
      <c r="AI80">
        <f>IF(AND(AI$4=1,AI30=0),1,0)</f>
        <v/>
      </c>
      <c r="AJ80">
        <f>IF(AND(AJ$4=1,AJ30=0),1,0)</f>
        <v/>
      </c>
      <c r="AK80">
        <f>IF(AND(AK$4=1,AK30=0),1,0)</f>
        <v/>
      </c>
      <c r="AL80">
        <f>IF(AND(AL$4=1,AL30=0),1,0)</f>
        <v/>
      </c>
      <c r="AM80">
        <f>IF(AND(AM$4=1,AM30=0),1,0)</f>
        <v/>
      </c>
      <c r="AN80">
        <f>IF(AND(AN$4=1,AN30=0),1,0)</f>
        <v/>
      </c>
      <c r="AO80">
        <f>IF(AND(AO$4=1,AO30=0),1,0)</f>
        <v/>
      </c>
      <c r="AP80">
        <f>IF(AND(AP$4=1,AP30=0),1,0)</f>
        <v/>
      </c>
      <c r="AQ80">
        <f>IF(AND(AQ$4=1,AQ30=0),1,0)</f>
        <v/>
      </c>
      <c r="AR80">
        <f>IF(AND(AR$4=1,AR30=0),1,0)</f>
        <v/>
      </c>
      <c r="AS80">
        <f>IF(AND(AS$4=1,AS30=0),1,0)</f>
        <v/>
      </c>
      <c r="AT80">
        <f>IF(AND(AT$4=1,AT30=0),1,0)</f>
        <v/>
      </c>
      <c r="AU80">
        <f>IF(AND(AU$4=1,AU30=0),1,0)</f>
        <v/>
      </c>
      <c r="AV80">
        <f>IF(AND(AV$4=1,AV30=0),1,0)</f>
        <v/>
      </c>
      <c r="AW80">
        <f>IF(AND(AW$4=1,AW30=0),1,0)</f>
        <v/>
      </c>
      <c r="AX80">
        <f>IF(AND(AX$4=1,AX30=0),1,0)</f>
        <v/>
      </c>
      <c r="AY80">
        <f>IF(AND(AY$4=1,AY30=0),1,0)</f>
        <v/>
      </c>
      <c r="AZ80">
        <f>IF(AND(AZ$4=1,AZ30=0),1,0)</f>
        <v/>
      </c>
      <c r="BA80">
        <f>IF(AND(BA$4=1,BA30=0),1,0)</f>
        <v/>
      </c>
      <c r="BB80">
        <f>IF(AND(BB$4=1,BB30=0),1,0)</f>
        <v/>
      </c>
      <c r="BC80">
        <f>IF(AND(BC$4=1,BC30=0),1,0)</f>
        <v/>
      </c>
      <c r="BD80">
        <f>IF(AND(BD$4=1,BD30=0),1,0)</f>
        <v/>
      </c>
      <c r="BE80">
        <f>IF(AND(BE$4=1,BE30=0),1,0)</f>
        <v/>
      </c>
      <c r="BF80">
        <f>IF(AND(BF$4=1,BF30=0),1,0)</f>
        <v/>
      </c>
      <c r="BG80">
        <f>IF(AND(BG$4=1,BG30=0),1,0)</f>
        <v/>
      </c>
      <c r="BH80">
        <f>IF(AND(BH$4=1,BH30=0),1,0)</f>
        <v/>
      </c>
      <c r="BI80">
        <f>IF(AND(BI$4=1,BI30=0),1,0)</f>
        <v/>
      </c>
      <c r="BJ80">
        <f>IF(AND(BJ$4=1,BJ30=0),1,0)</f>
        <v/>
      </c>
      <c r="BK80">
        <f>IF(AND(BK$4=1,BK30=0),1,0)</f>
        <v/>
      </c>
      <c r="BL80">
        <f>IF(AND(BL$4=1,BL30=0),1,0)</f>
        <v/>
      </c>
      <c r="BM80">
        <f>IF(AND(BM$4=1,BM30=0),1,0)</f>
        <v/>
      </c>
      <c r="BN80">
        <f>IF(AND(BN$4=1,BN30=0),1,0)</f>
        <v/>
      </c>
      <c r="BO80">
        <f>IF(AND(BO$4=1,BO30=0),1,0)</f>
        <v/>
      </c>
      <c r="BP80">
        <f>IF(AND(BP$4=1,BP30=0),1,0)</f>
        <v/>
      </c>
      <c r="BQ80">
        <f>IF(AND(BQ$4=1,BQ30=0),1,0)</f>
        <v/>
      </c>
      <c r="BR80">
        <f>IF(AND(BR$4=1,BR30=0),1,0)</f>
        <v/>
      </c>
      <c r="BS80">
        <f>IF(AND(BS$4=1,BS30=0),1,0)</f>
        <v/>
      </c>
      <c r="BT80">
        <f>IF(AND(BT$4=1,BT30=0),1,0)</f>
        <v/>
      </c>
      <c r="BU80">
        <f>IF(AND(BU$4=1,BU30=0),1,0)</f>
        <v/>
      </c>
      <c r="BV80">
        <f>IF(AND(BV$4=1,BV30=0),1,0)</f>
        <v/>
      </c>
      <c r="BW80">
        <f>IF(AND(BW$4=1,BW30=0),1,0)</f>
        <v/>
      </c>
      <c r="BX80">
        <f>IF(AND(BX$4=1,BX30=0),1,0)</f>
        <v/>
      </c>
      <c r="BY80">
        <f>IF(AND(BY$4=1,BY30=0),1,0)</f>
        <v/>
      </c>
      <c r="BZ80">
        <f>IF(AND(BZ$4=1,BZ30=0),1,0)</f>
        <v/>
      </c>
      <c r="CA80">
        <f>IF(AND(CA$4=1,CA30=0),1,0)</f>
        <v/>
      </c>
      <c r="CB80">
        <f>IF(AND(CB$4=1,CB30=0),1,0)</f>
        <v/>
      </c>
      <c r="CC80">
        <f>IF(AND(CC$4=1,CC30=0),1,0)</f>
        <v/>
      </c>
      <c r="CD80">
        <f>IF(AND(CD$4=1,CD30=0),1,0)</f>
        <v/>
      </c>
      <c r="CE80">
        <f>IF(AND(CE$4=1,CE30=0),1,0)</f>
        <v/>
      </c>
      <c r="CF80">
        <f>IF(AND(CF$4=1,CF30=0),1,0)</f>
        <v/>
      </c>
      <c r="CG80">
        <f>IF(AND(CG$4=1,CG30=0),1,0)</f>
        <v/>
      </c>
      <c r="CH80">
        <f>IF(AND(CH$4=1,CH30=0),1,0)</f>
        <v/>
      </c>
      <c r="CI80">
        <f>IF(AND(CI$4=1,CI30=0),1,0)</f>
        <v/>
      </c>
      <c r="CJ80">
        <f>IF(AND(CJ$4=1,CJ30=0),1,0)</f>
        <v/>
      </c>
      <c r="CK80">
        <f>IF(AND(CK$4=1,CK30=0),1,0)</f>
        <v/>
      </c>
      <c r="CL80">
        <f>IF(AND(CL$4=1,CL30=0),1,0)</f>
        <v/>
      </c>
      <c r="CM80">
        <f>IF(AND(CM$4=1,CM30=0),1,0)</f>
        <v/>
      </c>
      <c r="CN80">
        <f>IF(AND(CN$4=1,CN30=0),1,0)</f>
        <v/>
      </c>
      <c r="CO80">
        <f>IF(AND(CO$4=1,CO30=0),1,0)</f>
        <v/>
      </c>
      <c r="CP80">
        <f>IF(AND(CP$4=1,CP30=0),1,0)</f>
        <v/>
      </c>
      <c r="CQ80">
        <f>IF(AND(CQ$4=1,CQ30=0),1,0)</f>
        <v/>
      </c>
      <c r="CR80">
        <f>IF(AND(CR$4=1,CR30=0),1,0)</f>
        <v/>
      </c>
      <c r="CS80">
        <f>IF(AND(CS$4=1,CS30=0),1,0)</f>
        <v/>
      </c>
      <c r="CT80">
        <f>IF(AND(CT$4=1,CT30=0),1,0)</f>
        <v/>
      </c>
      <c r="CU80">
        <f>IF(AND(CU$4=1,CU30=0),1,0)</f>
        <v/>
      </c>
      <c r="CV80">
        <f>IF(AND(CV$4=1,CV30=0),1,0)</f>
        <v/>
      </c>
      <c r="CW80">
        <f>IF(AND(CW$4=1,CW30=0),1,0)</f>
        <v/>
      </c>
      <c r="CX80">
        <f>IF(AND(CX$4=1,CX30=0),1,0)</f>
        <v/>
      </c>
      <c r="CY80">
        <f>IF(AND(CY$4=1,CY30=0),1,0)</f>
        <v/>
      </c>
      <c r="CZ80">
        <f>IF(AND(CZ$4=1,CZ30=0),1,0)</f>
        <v/>
      </c>
      <c r="DA80">
        <f>IF(AND(DA$4=1,DA30=0),1,0)</f>
        <v/>
      </c>
      <c r="DB80">
        <f>IF(AND(DB$4=1,DB30=0),1,0)</f>
        <v/>
      </c>
      <c r="DC80">
        <f>IF(AND(DC$4=1,DC30=0),1,0)</f>
        <v/>
      </c>
      <c r="DD80">
        <f>IF(AND(DD$4=1,DD30=0),1,0)</f>
        <v/>
      </c>
      <c r="DE80">
        <f>IF(AND(DE$4=1,DE30=0),1,0)</f>
        <v/>
      </c>
      <c r="DF80">
        <f>IF(AND(DF$4=1,DF30=0),1,0)</f>
        <v/>
      </c>
      <c r="DG80">
        <f>IF(AND(DG$4=1,DG30=0),1,0)</f>
        <v/>
      </c>
      <c r="DH80">
        <f>IF(AND(DH$4=1,DH30=0),1,0)</f>
        <v/>
      </c>
      <c r="DI80">
        <f>IF(AND(DI$4=1,DI30=0),1,0)</f>
        <v/>
      </c>
      <c r="DJ80">
        <f>IF(AND(DJ$4=1,DJ30=0),1,0)</f>
        <v/>
      </c>
      <c r="DK80">
        <f>IF(AND(DK$4=1,DK30=0),1,0)</f>
        <v/>
      </c>
      <c r="DL80">
        <f>IF(AND(DL$4=1,DL30=0),1,0)</f>
        <v/>
      </c>
      <c r="DM80">
        <f>IF(AND(DM$4=1,DM30=0),1,0)</f>
        <v/>
      </c>
      <c r="DN80">
        <f>IF(AND(DN$4=1,DN30=0),1,0)</f>
        <v/>
      </c>
      <c r="DO80">
        <f>IF(AND(DO$4=1,DO30=0),1,0)</f>
        <v/>
      </c>
      <c r="DP80">
        <f>IF(AND(DP$4=1,DP30=0),1,0)</f>
        <v/>
      </c>
      <c r="DQ80">
        <f>IF(AND(DQ$4=1,DQ30=0),1,0)</f>
        <v/>
      </c>
      <c r="DR80">
        <f>IF(AND(DR$4=1,DR30=0),1,0)</f>
        <v/>
      </c>
      <c r="DS80">
        <f>IF(AND(DS$4=1,DS30=0),1,0)</f>
        <v/>
      </c>
      <c r="DT80">
        <f>IF(AND(DT$4=1,DT30=0),1,0)</f>
        <v/>
      </c>
      <c r="DU80">
        <f>IF(AND(DU$4=1,DU30=0),1,0)</f>
        <v/>
      </c>
      <c r="DV80">
        <f>IF(AND(DV$4=1,DV30=0),1,0)</f>
        <v/>
      </c>
      <c r="DW80">
        <f>IF(AND(DW$4=1,DW30=0),1,0)</f>
        <v/>
      </c>
      <c r="DX80">
        <f>IF(AND(DX$4=1,DX30=0),1,0)</f>
        <v/>
      </c>
      <c r="DY80">
        <f>IF(AND(DY$4=1,DY30=0),1,0)</f>
        <v/>
      </c>
      <c r="DZ80">
        <f>IF(AND(DZ$4=1,DZ30=0),1,0)</f>
        <v/>
      </c>
      <c r="EA80">
        <f>IF(AND(EA$4=1,EA30=0),1,0)</f>
        <v/>
      </c>
      <c r="EB80">
        <f>IF(AND(EB$4=1,EB30=0),1,0)</f>
        <v/>
      </c>
      <c r="EC80">
        <f>IF(AND(EC$4=1,EC30=0),1,0)</f>
        <v/>
      </c>
      <c r="ED80">
        <f>IF(AND(ED$4=1,ED30=0),1,0)</f>
        <v/>
      </c>
      <c r="EE80">
        <f>IF(AND(EE$4=1,EE30=0),1,0)</f>
        <v/>
      </c>
      <c r="EF80">
        <f>IF(AND(EF$4=1,EF30=0),1,0)</f>
        <v/>
      </c>
      <c r="EG80">
        <f>IF(AND(EG$4=1,EG30=0),1,0)</f>
        <v/>
      </c>
      <c r="EH80">
        <f>IF(AND(EH$4=1,EH30=0),1,0)</f>
        <v/>
      </c>
      <c r="EI80">
        <f>IF(AND(EI$4=1,EI30=0),1,0)</f>
        <v/>
      </c>
      <c r="EJ80">
        <f>IF(AND(EJ$4=1,EJ30=0),1,0)</f>
        <v/>
      </c>
      <c r="EK80">
        <f>IF(AND(EK$4=1,EK30=0),1,0)</f>
        <v/>
      </c>
      <c r="EL80">
        <f>IF(AND(EL$4=1,EL30=0),1,0)</f>
        <v/>
      </c>
      <c r="EM80">
        <f>IF(AND(EM$4=1,EM30=0),1,0)</f>
        <v/>
      </c>
      <c r="EN80">
        <f>IF(AND(EN$4=1,EN30=0),1,0)</f>
        <v/>
      </c>
      <c r="EO80">
        <f>IF(AND(EO$4=1,EO30=0),1,0)</f>
        <v/>
      </c>
      <c r="EP80">
        <f>IF(AND(EP$4=1,EP30=0),1,0)</f>
        <v/>
      </c>
      <c r="EQ80">
        <f>IF(AND(EQ$4=1,EQ30=0),1,0)</f>
        <v/>
      </c>
    </row>
    <row r="81">
      <c r="A81" t="n">
        <v>22</v>
      </c>
      <c r="D81">
        <f>IF(AND(D$4=1,D31=0),1,0)</f>
        <v/>
      </c>
      <c r="E81">
        <f>IF(AND(E$4=1,E31=0),1,0)</f>
        <v/>
      </c>
      <c r="F81">
        <f>IF(AND(F$4=1,F31=0),1,0)</f>
        <v/>
      </c>
      <c r="G81">
        <f>IF(AND(G$4=1,G31=0),1,0)</f>
        <v/>
      </c>
      <c r="H81">
        <f>IF(AND(H$4=1,H31=0),1,0)</f>
        <v/>
      </c>
      <c r="I81">
        <f>IF(AND(I$4=1,I31=0),1,0)</f>
        <v/>
      </c>
      <c r="J81">
        <f>IF(AND(J$4=1,J31=0),1,0)</f>
        <v/>
      </c>
      <c r="K81">
        <f>IF(AND(K$4=1,K31=0),1,0)</f>
        <v/>
      </c>
      <c r="L81">
        <f>IF(AND(L$4=1,L31=0),1,0)</f>
        <v/>
      </c>
      <c r="M81">
        <f>IF(AND(M$4=1,M31=0),1,0)</f>
        <v/>
      </c>
      <c r="N81">
        <f>IF(AND(N$4=1,N31=0),1,0)</f>
        <v/>
      </c>
      <c r="O81">
        <f>IF(AND(O$4=1,O31=0),1,0)</f>
        <v/>
      </c>
      <c r="P81">
        <f>IF(AND(P$4=1,P31=0),1,0)</f>
        <v/>
      </c>
      <c r="Q81">
        <f>IF(AND(Q$4=1,Q31=0),1,0)</f>
        <v/>
      </c>
      <c r="R81">
        <f>IF(AND(R$4=1,R31=0),1,0)</f>
        <v/>
      </c>
      <c r="S81">
        <f>IF(AND(S$4=1,S31=0),1,0)</f>
        <v/>
      </c>
      <c r="T81">
        <f>IF(AND(T$4=1,T31=0),1,0)</f>
        <v/>
      </c>
      <c r="U81">
        <f>IF(AND(U$4=1,U31=0),1,0)</f>
        <v/>
      </c>
      <c r="V81">
        <f>IF(AND(V$4=1,V31=0),1,0)</f>
        <v/>
      </c>
      <c r="W81">
        <f>IF(AND(W$4=1,W31=0),1,0)</f>
        <v/>
      </c>
      <c r="X81">
        <f>IF(AND(X$4=1,X31=0),1,0)</f>
        <v/>
      </c>
      <c r="Y81">
        <f>IF(AND(Y$4=1,Y31=0),1,0)</f>
        <v/>
      </c>
      <c r="Z81">
        <f>IF(AND(Z$4=1,Z31=0),1,0)</f>
        <v/>
      </c>
      <c r="AA81">
        <f>IF(AND(AA$4=1,AA31=0),1,0)</f>
        <v/>
      </c>
      <c r="AB81">
        <f>IF(AND(AB$4=1,AB31=0),1,0)</f>
        <v/>
      </c>
      <c r="AC81">
        <f>IF(AND(AC$4=1,AC31=0),1,0)</f>
        <v/>
      </c>
      <c r="AD81">
        <f>IF(AND(AD$4=1,AD31=0),1,0)</f>
        <v/>
      </c>
      <c r="AE81">
        <f>IF(AND(AE$4=1,AE31=0),1,0)</f>
        <v/>
      </c>
      <c r="AF81">
        <f>IF(AND(AF$4=1,AF31=0),1,0)</f>
        <v/>
      </c>
      <c r="AG81">
        <f>IF(AND(AG$4=1,AG31=0),1,0)</f>
        <v/>
      </c>
      <c r="AH81">
        <f>IF(AND(AH$4=1,AH31=0),1,0)</f>
        <v/>
      </c>
      <c r="AI81">
        <f>IF(AND(AI$4=1,AI31=0),1,0)</f>
        <v/>
      </c>
      <c r="AJ81">
        <f>IF(AND(AJ$4=1,AJ31=0),1,0)</f>
        <v/>
      </c>
      <c r="AK81">
        <f>IF(AND(AK$4=1,AK31=0),1,0)</f>
        <v/>
      </c>
      <c r="AL81">
        <f>IF(AND(AL$4=1,AL31=0),1,0)</f>
        <v/>
      </c>
      <c r="AM81">
        <f>IF(AND(AM$4=1,AM31=0),1,0)</f>
        <v/>
      </c>
      <c r="AN81">
        <f>IF(AND(AN$4=1,AN31=0),1,0)</f>
        <v/>
      </c>
      <c r="AO81">
        <f>IF(AND(AO$4=1,AO31=0),1,0)</f>
        <v/>
      </c>
      <c r="AP81">
        <f>IF(AND(AP$4=1,AP31=0),1,0)</f>
        <v/>
      </c>
      <c r="AQ81">
        <f>IF(AND(AQ$4=1,AQ31=0),1,0)</f>
        <v/>
      </c>
      <c r="AR81">
        <f>IF(AND(AR$4=1,AR31=0),1,0)</f>
        <v/>
      </c>
      <c r="AS81">
        <f>IF(AND(AS$4=1,AS31=0),1,0)</f>
        <v/>
      </c>
      <c r="AT81">
        <f>IF(AND(AT$4=1,AT31=0),1,0)</f>
        <v/>
      </c>
      <c r="AU81">
        <f>IF(AND(AU$4=1,AU31=0),1,0)</f>
        <v/>
      </c>
      <c r="AV81">
        <f>IF(AND(AV$4=1,AV31=0),1,0)</f>
        <v/>
      </c>
      <c r="AW81">
        <f>IF(AND(AW$4=1,AW31=0),1,0)</f>
        <v/>
      </c>
      <c r="AX81">
        <f>IF(AND(AX$4=1,AX31=0),1,0)</f>
        <v/>
      </c>
      <c r="AY81">
        <f>IF(AND(AY$4=1,AY31=0),1,0)</f>
        <v/>
      </c>
      <c r="AZ81">
        <f>IF(AND(AZ$4=1,AZ31=0),1,0)</f>
        <v/>
      </c>
      <c r="BA81">
        <f>IF(AND(BA$4=1,BA31=0),1,0)</f>
        <v/>
      </c>
      <c r="BB81">
        <f>IF(AND(BB$4=1,BB31=0),1,0)</f>
        <v/>
      </c>
      <c r="BC81">
        <f>IF(AND(BC$4=1,BC31=0),1,0)</f>
        <v/>
      </c>
      <c r="BD81">
        <f>IF(AND(BD$4=1,BD31=0),1,0)</f>
        <v/>
      </c>
      <c r="BE81">
        <f>IF(AND(BE$4=1,BE31=0),1,0)</f>
        <v/>
      </c>
      <c r="BF81">
        <f>IF(AND(BF$4=1,BF31=0),1,0)</f>
        <v/>
      </c>
      <c r="BG81">
        <f>IF(AND(BG$4=1,BG31=0),1,0)</f>
        <v/>
      </c>
      <c r="BH81">
        <f>IF(AND(BH$4=1,BH31=0),1,0)</f>
        <v/>
      </c>
      <c r="BI81">
        <f>IF(AND(BI$4=1,BI31=0),1,0)</f>
        <v/>
      </c>
      <c r="BJ81">
        <f>IF(AND(BJ$4=1,BJ31=0),1,0)</f>
        <v/>
      </c>
      <c r="BK81">
        <f>IF(AND(BK$4=1,BK31=0),1,0)</f>
        <v/>
      </c>
      <c r="BL81">
        <f>IF(AND(BL$4=1,BL31=0),1,0)</f>
        <v/>
      </c>
      <c r="BM81">
        <f>IF(AND(BM$4=1,BM31=0),1,0)</f>
        <v/>
      </c>
      <c r="BN81">
        <f>IF(AND(BN$4=1,BN31=0),1,0)</f>
        <v/>
      </c>
      <c r="BO81">
        <f>IF(AND(BO$4=1,BO31=0),1,0)</f>
        <v/>
      </c>
      <c r="BP81">
        <f>IF(AND(BP$4=1,BP31=0),1,0)</f>
        <v/>
      </c>
      <c r="BQ81">
        <f>IF(AND(BQ$4=1,BQ31=0),1,0)</f>
        <v/>
      </c>
      <c r="BR81">
        <f>IF(AND(BR$4=1,BR31=0),1,0)</f>
        <v/>
      </c>
      <c r="BS81">
        <f>IF(AND(BS$4=1,BS31=0),1,0)</f>
        <v/>
      </c>
      <c r="BT81">
        <f>IF(AND(BT$4=1,BT31=0),1,0)</f>
        <v/>
      </c>
      <c r="BU81">
        <f>IF(AND(BU$4=1,BU31=0),1,0)</f>
        <v/>
      </c>
      <c r="BV81">
        <f>IF(AND(BV$4=1,BV31=0),1,0)</f>
        <v/>
      </c>
      <c r="BW81">
        <f>IF(AND(BW$4=1,BW31=0),1,0)</f>
        <v/>
      </c>
      <c r="BX81">
        <f>IF(AND(BX$4=1,BX31=0),1,0)</f>
        <v/>
      </c>
      <c r="BY81">
        <f>IF(AND(BY$4=1,BY31=0),1,0)</f>
        <v/>
      </c>
      <c r="BZ81">
        <f>IF(AND(BZ$4=1,BZ31=0),1,0)</f>
        <v/>
      </c>
      <c r="CA81">
        <f>IF(AND(CA$4=1,CA31=0),1,0)</f>
        <v/>
      </c>
      <c r="CB81">
        <f>IF(AND(CB$4=1,CB31=0),1,0)</f>
        <v/>
      </c>
      <c r="CC81">
        <f>IF(AND(CC$4=1,CC31=0),1,0)</f>
        <v/>
      </c>
      <c r="CD81">
        <f>IF(AND(CD$4=1,CD31=0),1,0)</f>
        <v/>
      </c>
      <c r="CE81">
        <f>IF(AND(CE$4=1,CE31=0),1,0)</f>
        <v/>
      </c>
      <c r="CF81">
        <f>IF(AND(CF$4=1,CF31=0),1,0)</f>
        <v/>
      </c>
      <c r="CG81">
        <f>IF(AND(CG$4=1,CG31=0),1,0)</f>
        <v/>
      </c>
      <c r="CH81">
        <f>IF(AND(CH$4=1,CH31=0),1,0)</f>
        <v/>
      </c>
      <c r="CI81">
        <f>IF(AND(CI$4=1,CI31=0),1,0)</f>
        <v/>
      </c>
      <c r="CJ81">
        <f>IF(AND(CJ$4=1,CJ31=0),1,0)</f>
        <v/>
      </c>
      <c r="CK81">
        <f>IF(AND(CK$4=1,CK31=0),1,0)</f>
        <v/>
      </c>
      <c r="CL81">
        <f>IF(AND(CL$4=1,CL31=0),1,0)</f>
        <v/>
      </c>
      <c r="CM81">
        <f>IF(AND(CM$4=1,CM31=0),1,0)</f>
        <v/>
      </c>
      <c r="CN81">
        <f>IF(AND(CN$4=1,CN31=0),1,0)</f>
        <v/>
      </c>
      <c r="CO81">
        <f>IF(AND(CO$4=1,CO31=0),1,0)</f>
        <v/>
      </c>
      <c r="CP81">
        <f>IF(AND(CP$4=1,CP31=0),1,0)</f>
        <v/>
      </c>
      <c r="CQ81">
        <f>IF(AND(CQ$4=1,CQ31=0),1,0)</f>
        <v/>
      </c>
      <c r="CR81">
        <f>IF(AND(CR$4=1,CR31=0),1,0)</f>
        <v/>
      </c>
      <c r="CS81">
        <f>IF(AND(CS$4=1,CS31=0),1,0)</f>
        <v/>
      </c>
      <c r="CT81">
        <f>IF(AND(CT$4=1,CT31=0),1,0)</f>
        <v/>
      </c>
      <c r="CU81">
        <f>IF(AND(CU$4=1,CU31=0),1,0)</f>
        <v/>
      </c>
      <c r="CV81">
        <f>IF(AND(CV$4=1,CV31=0),1,0)</f>
        <v/>
      </c>
      <c r="CW81">
        <f>IF(AND(CW$4=1,CW31=0),1,0)</f>
        <v/>
      </c>
      <c r="CX81">
        <f>IF(AND(CX$4=1,CX31=0),1,0)</f>
        <v/>
      </c>
      <c r="CY81">
        <f>IF(AND(CY$4=1,CY31=0),1,0)</f>
        <v/>
      </c>
      <c r="CZ81">
        <f>IF(AND(CZ$4=1,CZ31=0),1,0)</f>
        <v/>
      </c>
      <c r="DA81">
        <f>IF(AND(DA$4=1,DA31=0),1,0)</f>
        <v/>
      </c>
      <c r="DB81">
        <f>IF(AND(DB$4=1,DB31=0),1,0)</f>
        <v/>
      </c>
      <c r="DC81">
        <f>IF(AND(DC$4=1,DC31=0),1,0)</f>
        <v/>
      </c>
      <c r="DD81">
        <f>IF(AND(DD$4=1,DD31=0),1,0)</f>
        <v/>
      </c>
      <c r="DE81">
        <f>IF(AND(DE$4=1,DE31=0),1,0)</f>
        <v/>
      </c>
      <c r="DF81">
        <f>IF(AND(DF$4=1,DF31=0),1,0)</f>
        <v/>
      </c>
      <c r="DG81">
        <f>IF(AND(DG$4=1,DG31=0),1,0)</f>
        <v/>
      </c>
      <c r="DH81">
        <f>IF(AND(DH$4=1,DH31=0),1,0)</f>
        <v/>
      </c>
      <c r="DI81">
        <f>IF(AND(DI$4=1,DI31=0),1,0)</f>
        <v/>
      </c>
      <c r="DJ81">
        <f>IF(AND(DJ$4=1,DJ31=0),1,0)</f>
        <v/>
      </c>
      <c r="DK81">
        <f>IF(AND(DK$4=1,DK31=0),1,0)</f>
        <v/>
      </c>
      <c r="DL81">
        <f>IF(AND(DL$4=1,DL31=0),1,0)</f>
        <v/>
      </c>
      <c r="DM81">
        <f>IF(AND(DM$4=1,DM31=0),1,0)</f>
        <v/>
      </c>
      <c r="DN81">
        <f>IF(AND(DN$4=1,DN31=0),1,0)</f>
        <v/>
      </c>
      <c r="DO81">
        <f>IF(AND(DO$4=1,DO31=0),1,0)</f>
        <v/>
      </c>
      <c r="DP81">
        <f>IF(AND(DP$4=1,DP31=0),1,0)</f>
        <v/>
      </c>
      <c r="DQ81">
        <f>IF(AND(DQ$4=1,DQ31=0),1,0)</f>
        <v/>
      </c>
      <c r="DR81">
        <f>IF(AND(DR$4=1,DR31=0),1,0)</f>
        <v/>
      </c>
      <c r="DS81">
        <f>IF(AND(DS$4=1,DS31=0),1,0)</f>
        <v/>
      </c>
      <c r="DT81">
        <f>IF(AND(DT$4=1,DT31=0),1,0)</f>
        <v/>
      </c>
      <c r="DU81">
        <f>IF(AND(DU$4=1,DU31=0),1,0)</f>
        <v/>
      </c>
      <c r="DV81">
        <f>IF(AND(DV$4=1,DV31=0),1,0)</f>
        <v/>
      </c>
      <c r="DW81">
        <f>IF(AND(DW$4=1,DW31=0),1,0)</f>
        <v/>
      </c>
      <c r="DX81">
        <f>IF(AND(DX$4=1,DX31=0),1,0)</f>
        <v/>
      </c>
      <c r="DY81">
        <f>IF(AND(DY$4=1,DY31=0),1,0)</f>
        <v/>
      </c>
      <c r="DZ81">
        <f>IF(AND(DZ$4=1,DZ31=0),1,0)</f>
        <v/>
      </c>
      <c r="EA81">
        <f>IF(AND(EA$4=1,EA31=0),1,0)</f>
        <v/>
      </c>
      <c r="EB81">
        <f>IF(AND(EB$4=1,EB31=0),1,0)</f>
        <v/>
      </c>
      <c r="EC81">
        <f>IF(AND(EC$4=1,EC31=0),1,0)</f>
        <v/>
      </c>
      <c r="ED81">
        <f>IF(AND(ED$4=1,ED31=0),1,0)</f>
        <v/>
      </c>
      <c r="EE81">
        <f>IF(AND(EE$4=1,EE31=0),1,0)</f>
        <v/>
      </c>
      <c r="EF81">
        <f>IF(AND(EF$4=1,EF31=0),1,0)</f>
        <v/>
      </c>
      <c r="EG81">
        <f>IF(AND(EG$4=1,EG31=0),1,0)</f>
        <v/>
      </c>
      <c r="EH81">
        <f>IF(AND(EH$4=1,EH31=0),1,0)</f>
        <v/>
      </c>
      <c r="EI81">
        <f>IF(AND(EI$4=1,EI31=0),1,0)</f>
        <v/>
      </c>
      <c r="EJ81">
        <f>IF(AND(EJ$4=1,EJ31=0),1,0)</f>
        <v/>
      </c>
      <c r="EK81">
        <f>IF(AND(EK$4=1,EK31=0),1,0)</f>
        <v/>
      </c>
      <c r="EL81">
        <f>IF(AND(EL$4=1,EL31=0),1,0)</f>
        <v/>
      </c>
      <c r="EM81">
        <f>IF(AND(EM$4=1,EM31=0),1,0)</f>
        <v/>
      </c>
      <c r="EN81">
        <f>IF(AND(EN$4=1,EN31=0),1,0)</f>
        <v/>
      </c>
      <c r="EO81">
        <f>IF(AND(EO$4=1,EO31=0),1,0)</f>
        <v/>
      </c>
      <c r="EP81">
        <f>IF(AND(EP$4=1,EP31=0),1,0)</f>
        <v/>
      </c>
      <c r="EQ81">
        <f>IF(AND(EQ$4=1,EQ31=0),1,0)</f>
        <v/>
      </c>
    </row>
    <row r="82">
      <c r="A82" t="n">
        <v>23</v>
      </c>
      <c r="D82">
        <f>IF(AND(D$4=1,D32=0),1,0)</f>
        <v/>
      </c>
      <c r="E82">
        <f>IF(AND(E$4=1,E32=0),1,0)</f>
        <v/>
      </c>
      <c r="F82">
        <f>IF(AND(F$4=1,F32=0),1,0)</f>
        <v/>
      </c>
      <c r="G82">
        <f>IF(AND(G$4=1,G32=0),1,0)</f>
        <v/>
      </c>
      <c r="H82">
        <f>IF(AND(H$4=1,H32=0),1,0)</f>
        <v/>
      </c>
      <c r="I82">
        <f>IF(AND(I$4=1,I32=0),1,0)</f>
        <v/>
      </c>
      <c r="J82">
        <f>IF(AND(J$4=1,J32=0),1,0)</f>
        <v/>
      </c>
      <c r="K82">
        <f>IF(AND(K$4=1,K32=0),1,0)</f>
        <v/>
      </c>
      <c r="L82">
        <f>IF(AND(L$4=1,L32=0),1,0)</f>
        <v/>
      </c>
      <c r="M82">
        <f>IF(AND(M$4=1,M32=0),1,0)</f>
        <v/>
      </c>
      <c r="N82">
        <f>IF(AND(N$4=1,N32=0),1,0)</f>
        <v/>
      </c>
      <c r="O82">
        <f>IF(AND(O$4=1,O32=0),1,0)</f>
        <v/>
      </c>
      <c r="P82">
        <f>IF(AND(P$4=1,P32=0),1,0)</f>
        <v/>
      </c>
      <c r="Q82">
        <f>IF(AND(Q$4=1,Q32=0),1,0)</f>
        <v/>
      </c>
      <c r="R82">
        <f>IF(AND(R$4=1,R32=0),1,0)</f>
        <v/>
      </c>
      <c r="S82">
        <f>IF(AND(S$4=1,S32=0),1,0)</f>
        <v/>
      </c>
      <c r="T82">
        <f>IF(AND(T$4=1,T32=0),1,0)</f>
        <v/>
      </c>
      <c r="U82">
        <f>IF(AND(U$4=1,U32=0),1,0)</f>
        <v/>
      </c>
      <c r="V82">
        <f>IF(AND(V$4=1,V32=0),1,0)</f>
        <v/>
      </c>
      <c r="W82">
        <f>IF(AND(W$4=1,W32=0),1,0)</f>
        <v/>
      </c>
      <c r="X82">
        <f>IF(AND(X$4=1,X32=0),1,0)</f>
        <v/>
      </c>
      <c r="Y82">
        <f>IF(AND(Y$4=1,Y32=0),1,0)</f>
        <v/>
      </c>
      <c r="Z82">
        <f>IF(AND(Z$4=1,Z32=0),1,0)</f>
        <v/>
      </c>
      <c r="AA82">
        <f>IF(AND(AA$4=1,AA32=0),1,0)</f>
        <v/>
      </c>
      <c r="AB82">
        <f>IF(AND(AB$4=1,AB32=0),1,0)</f>
        <v/>
      </c>
      <c r="AC82">
        <f>IF(AND(AC$4=1,AC32=0),1,0)</f>
        <v/>
      </c>
      <c r="AD82">
        <f>IF(AND(AD$4=1,AD32=0),1,0)</f>
        <v/>
      </c>
      <c r="AE82">
        <f>IF(AND(AE$4=1,AE32=0),1,0)</f>
        <v/>
      </c>
      <c r="AF82">
        <f>IF(AND(AF$4=1,AF32=0),1,0)</f>
        <v/>
      </c>
      <c r="AG82">
        <f>IF(AND(AG$4=1,AG32=0),1,0)</f>
        <v/>
      </c>
      <c r="AH82">
        <f>IF(AND(AH$4=1,AH32=0),1,0)</f>
        <v/>
      </c>
      <c r="AI82">
        <f>IF(AND(AI$4=1,AI32=0),1,0)</f>
        <v/>
      </c>
      <c r="AJ82">
        <f>IF(AND(AJ$4=1,AJ32=0),1,0)</f>
        <v/>
      </c>
      <c r="AK82">
        <f>IF(AND(AK$4=1,AK32=0),1,0)</f>
        <v/>
      </c>
      <c r="AL82">
        <f>IF(AND(AL$4=1,AL32=0),1,0)</f>
        <v/>
      </c>
      <c r="AM82">
        <f>IF(AND(AM$4=1,AM32=0),1,0)</f>
        <v/>
      </c>
      <c r="AN82">
        <f>IF(AND(AN$4=1,AN32=0),1,0)</f>
        <v/>
      </c>
      <c r="AO82">
        <f>IF(AND(AO$4=1,AO32=0),1,0)</f>
        <v/>
      </c>
      <c r="AP82">
        <f>IF(AND(AP$4=1,AP32=0),1,0)</f>
        <v/>
      </c>
      <c r="AQ82">
        <f>IF(AND(AQ$4=1,AQ32=0),1,0)</f>
        <v/>
      </c>
      <c r="AR82">
        <f>IF(AND(AR$4=1,AR32=0),1,0)</f>
        <v/>
      </c>
      <c r="AS82">
        <f>IF(AND(AS$4=1,AS32=0),1,0)</f>
        <v/>
      </c>
      <c r="AT82">
        <f>IF(AND(AT$4=1,AT32=0),1,0)</f>
        <v/>
      </c>
      <c r="AU82">
        <f>IF(AND(AU$4=1,AU32=0),1,0)</f>
        <v/>
      </c>
      <c r="AV82">
        <f>IF(AND(AV$4=1,AV32=0),1,0)</f>
        <v/>
      </c>
      <c r="AW82">
        <f>IF(AND(AW$4=1,AW32=0),1,0)</f>
        <v/>
      </c>
      <c r="AX82">
        <f>IF(AND(AX$4=1,AX32=0),1,0)</f>
        <v/>
      </c>
      <c r="AY82">
        <f>IF(AND(AY$4=1,AY32=0),1,0)</f>
        <v/>
      </c>
      <c r="AZ82">
        <f>IF(AND(AZ$4=1,AZ32=0),1,0)</f>
        <v/>
      </c>
      <c r="BA82">
        <f>IF(AND(BA$4=1,BA32=0),1,0)</f>
        <v/>
      </c>
      <c r="BB82">
        <f>IF(AND(BB$4=1,BB32=0),1,0)</f>
        <v/>
      </c>
      <c r="BC82">
        <f>IF(AND(BC$4=1,BC32=0),1,0)</f>
        <v/>
      </c>
      <c r="BD82">
        <f>IF(AND(BD$4=1,BD32=0),1,0)</f>
        <v/>
      </c>
      <c r="BE82">
        <f>IF(AND(BE$4=1,BE32=0),1,0)</f>
        <v/>
      </c>
      <c r="BF82">
        <f>IF(AND(BF$4=1,BF32=0),1,0)</f>
        <v/>
      </c>
      <c r="BG82">
        <f>IF(AND(BG$4=1,BG32=0),1,0)</f>
        <v/>
      </c>
      <c r="BH82">
        <f>IF(AND(BH$4=1,BH32=0),1,0)</f>
        <v/>
      </c>
      <c r="BI82">
        <f>IF(AND(BI$4=1,BI32=0),1,0)</f>
        <v/>
      </c>
      <c r="BJ82">
        <f>IF(AND(BJ$4=1,BJ32=0),1,0)</f>
        <v/>
      </c>
      <c r="BK82">
        <f>IF(AND(BK$4=1,BK32=0),1,0)</f>
        <v/>
      </c>
      <c r="BL82">
        <f>IF(AND(BL$4=1,BL32=0),1,0)</f>
        <v/>
      </c>
      <c r="BM82">
        <f>IF(AND(BM$4=1,BM32=0),1,0)</f>
        <v/>
      </c>
      <c r="BN82">
        <f>IF(AND(BN$4=1,BN32=0),1,0)</f>
        <v/>
      </c>
      <c r="BO82">
        <f>IF(AND(BO$4=1,BO32=0),1,0)</f>
        <v/>
      </c>
      <c r="BP82">
        <f>IF(AND(BP$4=1,BP32=0),1,0)</f>
        <v/>
      </c>
      <c r="BQ82">
        <f>IF(AND(BQ$4=1,BQ32=0),1,0)</f>
        <v/>
      </c>
      <c r="BR82">
        <f>IF(AND(BR$4=1,BR32=0),1,0)</f>
        <v/>
      </c>
      <c r="BS82">
        <f>IF(AND(BS$4=1,BS32=0),1,0)</f>
        <v/>
      </c>
      <c r="BT82">
        <f>IF(AND(BT$4=1,BT32=0),1,0)</f>
        <v/>
      </c>
      <c r="BU82">
        <f>IF(AND(BU$4=1,BU32=0),1,0)</f>
        <v/>
      </c>
      <c r="BV82">
        <f>IF(AND(BV$4=1,BV32=0),1,0)</f>
        <v/>
      </c>
      <c r="BW82">
        <f>IF(AND(BW$4=1,BW32=0),1,0)</f>
        <v/>
      </c>
      <c r="BX82">
        <f>IF(AND(BX$4=1,BX32=0),1,0)</f>
        <v/>
      </c>
      <c r="BY82">
        <f>IF(AND(BY$4=1,BY32=0),1,0)</f>
        <v/>
      </c>
      <c r="BZ82">
        <f>IF(AND(BZ$4=1,BZ32=0),1,0)</f>
        <v/>
      </c>
      <c r="CA82">
        <f>IF(AND(CA$4=1,CA32=0),1,0)</f>
        <v/>
      </c>
      <c r="CB82">
        <f>IF(AND(CB$4=1,CB32=0),1,0)</f>
        <v/>
      </c>
      <c r="CC82">
        <f>IF(AND(CC$4=1,CC32=0),1,0)</f>
        <v/>
      </c>
      <c r="CD82">
        <f>IF(AND(CD$4=1,CD32=0),1,0)</f>
        <v/>
      </c>
      <c r="CE82">
        <f>IF(AND(CE$4=1,CE32=0),1,0)</f>
        <v/>
      </c>
      <c r="CF82">
        <f>IF(AND(CF$4=1,CF32=0),1,0)</f>
        <v/>
      </c>
      <c r="CG82">
        <f>IF(AND(CG$4=1,CG32=0),1,0)</f>
        <v/>
      </c>
      <c r="CH82">
        <f>IF(AND(CH$4=1,CH32=0),1,0)</f>
        <v/>
      </c>
      <c r="CI82">
        <f>IF(AND(CI$4=1,CI32=0),1,0)</f>
        <v/>
      </c>
      <c r="CJ82">
        <f>IF(AND(CJ$4=1,CJ32=0),1,0)</f>
        <v/>
      </c>
      <c r="CK82">
        <f>IF(AND(CK$4=1,CK32=0),1,0)</f>
        <v/>
      </c>
      <c r="CL82">
        <f>IF(AND(CL$4=1,CL32=0),1,0)</f>
        <v/>
      </c>
      <c r="CM82">
        <f>IF(AND(CM$4=1,CM32=0),1,0)</f>
        <v/>
      </c>
      <c r="CN82">
        <f>IF(AND(CN$4=1,CN32=0),1,0)</f>
        <v/>
      </c>
      <c r="CO82">
        <f>IF(AND(CO$4=1,CO32=0),1,0)</f>
        <v/>
      </c>
      <c r="CP82">
        <f>IF(AND(CP$4=1,CP32=0),1,0)</f>
        <v/>
      </c>
      <c r="CQ82">
        <f>IF(AND(CQ$4=1,CQ32=0),1,0)</f>
        <v/>
      </c>
      <c r="CR82">
        <f>IF(AND(CR$4=1,CR32=0),1,0)</f>
        <v/>
      </c>
      <c r="CS82">
        <f>IF(AND(CS$4=1,CS32=0),1,0)</f>
        <v/>
      </c>
      <c r="CT82">
        <f>IF(AND(CT$4=1,CT32=0),1,0)</f>
        <v/>
      </c>
      <c r="CU82">
        <f>IF(AND(CU$4=1,CU32=0),1,0)</f>
        <v/>
      </c>
      <c r="CV82">
        <f>IF(AND(CV$4=1,CV32=0),1,0)</f>
        <v/>
      </c>
      <c r="CW82">
        <f>IF(AND(CW$4=1,CW32=0),1,0)</f>
        <v/>
      </c>
      <c r="CX82">
        <f>IF(AND(CX$4=1,CX32=0),1,0)</f>
        <v/>
      </c>
      <c r="CY82">
        <f>IF(AND(CY$4=1,CY32=0),1,0)</f>
        <v/>
      </c>
      <c r="CZ82">
        <f>IF(AND(CZ$4=1,CZ32=0),1,0)</f>
        <v/>
      </c>
      <c r="DA82">
        <f>IF(AND(DA$4=1,DA32=0),1,0)</f>
        <v/>
      </c>
      <c r="DB82">
        <f>IF(AND(DB$4=1,DB32=0),1,0)</f>
        <v/>
      </c>
      <c r="DC82">
        <f>IF(AND(DC$4=1,DC32=0),1,0)</f>
        <v/>
      </c>
      <c r="DD82">
        <f>IF(AND(DD$4=1,DD32=0),1,0)</f>
        <v/>
      </c>
      <c r="DE82">
        <f>IF(AND(DE$4=1,DE32=0),1,0)</f>
        <v/>
      </c>
      <c r="DF82">
        <f>IF(AND(DF$4=1,DF32=0),1,0)</f>
        <v/>
      </c>
      <c r="DG82">
        <f>IF(AND(DG$4=1,DG32=0),1,0)</f>
        <v/>
      </c>
      <c r="DH82">
        <f>IF(AND(DH$4=1,DH32=0),1,0)</f>
        <v/>
      </c>
      <c r="DI82">
        <f>IF(AND(DI$4=1,DI32=0),1,0)</f>
        <v/>
      </c>
      <c r="DJ82">
        <f>IF(AND(DJ$4=1,DJ32=0),1,0)</f>
        <v/>
      </c>
      <c r="DK82">
        <f>IF(AND(DK$4=1,DK32=0),1,0)</f>
        <v/>
      </c>
      <c r="DL82">
        <f>IF(AND(DL$4=1,DL32=0),1,0)</f>
        <v/>
      </c>
      <c r="DM82">
        <f>IF(AND(DM$4=1,DM32=0),1,0)</f>
        <v/>
      </c>
      <c r="DN82">
        <f>IF(AND(DN$4=1,DN32=0),1,0)</f>
        <v/>
      </c>
      <c r="DO82">
        <f>IF(AND(DO$4=1,DO32=0),1,0)</f>
        <v/>
      </c>
      <c r="DP82">
        <f>IF(AND(DP$4=1,DP32=0),1,0)</f>
        <v/>
      </c>
      <c r="DQ82">
        <f>IF(AND(DQ$4=1,DQ32=0),1,0)</f>
        <v/>
      </c>
      <c r="DR82">
        <f>IF(AND(DR$4=1,DR32=0),1,0)</f>
        <v/>
      </c>
      <c r="DS82">
        <f>IF(AND(DS$4=1,DS32=0),1,0)</f>
        <v/>
      </c>
      <c r="DT82">
        <f>IF(AND(DT$4=1,DT32=0),1,0)</f>
        <v/>
      </c>
      <c r="DU82">
        <f>IF(AND(DU$4=1,DU32=0),1,0)</f>
        <v/>
      </c>
      <c r="DV82">
        <f>IF(AND(DV$4=1,DV32=0),1,0)</f>
        <v/>
      </c>
      <c r="DW82">
        <f>IF(AND(DW$4=1,DW32=0),1,0)</f>
        <v/>
      </c>
      <c r="DX82">
        <f>IF(AND(DX$4=1,DX32=0),1,0)</f>
        <v/>
      </c>
      <c r="DY82">
        <f>IF(AND(DY$4=1,DY32=0),1,0)</f>
        <v/>
      </c>
      <c r="DZ82">
        <f>IF(AND(DZ$4=1,DZ32=0),1,0)</f>
        <v/>
      </c>
      <c r="EA82">
        <f>IF(AND(EA$4=1,EA32=0),1,0)</f>
        <v/>
      </c>
      <c r="EB82">
        <f>IF(AND(EB$4=1,EB32=0),1,0)</f>
        <v/>
      </c>
      <c r="EC82">
        <f>IF(AND(EC$4=1,EC32=0),1,0)</f>
        <v/>
      </c>
      <c r="ED82">
        <f>IF(AND(ED$4=1,ED32=0),1,0)</f>
        <v/>
      </c>
      <c r="EE82">
        <f>IF(AND(EE$4=1,EE32=0),1,0)</f>
        <v/>
      </c>
      <c r="EF82">
        <f>IF(AND(EF$4=1,EF32=0),1,0)</f>
        <v/>
      </c>
      <c r="EG82">
        <f>IF(AND(EG$4=1,EG32=0),1,0)</f>
        <v/>
      </c>
      <c r="EH82">
        <f>IF(AND(EH$4=1,EH32=0),1,0)</f>
        <v/>
      </c>
      <c r="EI82">
        <f>IF(AND(EI$4=1,EI32=0),1,0)</f>
        <v/>
      </c>
      <c r="EJ82">
        <f>IF(AND(EJ$4=1,EJ32=0),1,0)</f>
        <v/>
      </c>
      <c r="EK82">
        <f>IF(AND(EK$4=1,EK32=0),1,0)</f>
        <v/>
      </c>
      <c r="EL82">
        <f>IF(AND(EL$4=1,EL32=0),1,0)</f>
        <v/>
      </c>
      <c r="EM82">
        <f>IF(AND(EM$4=1,EM32=0),1,0)</f>
        <v/>
      </c>
      <c r="EN82">
        <f>IF(AND(EN$4=1,EN32=0),1,0)</f>
        <v/>
      </c>
      <c r="EO82">
        <f>IF(AND(EO$4=1,EO32=0),1,0)</f>
        <v/>
      </c>
      <c r="EP82">
        <f>IF(AND(EP$4=1,EP32=0),1,0)</f>
        <v/>
      </c>
      <c r="EQ82">
        <f>IF(AND(EQ$4=1,EQ32=0),1,0)</f>
        <v/>
      </c>
    </row>
    <row r="83">
      <c r="A83" t="n">
        <v>24</v>
      </c>
      <c r="D83">
        <f>IF(AND(D$4=1,D33=0),1,0)</f>
        <v/>
      </c>
      <c r="E83">
        <f>IF(AND(E$4=1,E33=0),1,0)</f>
        <v/>
      </c>
      <c r="F83">
        <f>IF(AND(F$4=1,F33=0),1,0)</f>
        <v/>
      </c>
      <c r="G83">
        <f>IF(AND(G$4=1,G33=0),1,0)</f>
        <v/>
      </c>
      <c r="H83">
        <f>IF(AND(H$4=1,H33=0),1,0)</f>
        <v/>
      </c>
      <c r="I83">
        <f>IF(AND(I$4=1,I33=0),1,0)</f>
        <v/>
      </c>
      <c r="J83">
        <f>IF(AND(J$4=1,J33=0),1,0)</f>
        <v/>
      </c>
      <c r="K83">
        <f>IF(AND(K$4=1,K33=0),1,0)</f>
        <v/>
      </c>
      <c r="L83">
        <f>IF(AND(L$4=1,L33=0),1,0)</f>
        <v/>
      </c>
      <c r="M83">
        <f>IF(AND(M$4=1,M33=0),1,0)</f>
        <v/>
      </c>
      <c r="N83">
        <f>IF(AND(N$4=1,N33=0),1,0)</f>
        <v/>
      </c>
      <c r="O83">
        <f>IF(AND(O$4=1,O33=0),1,0)</f>
        <v/>
      </c>
      <c r="P83">
        <f>IF(AND(P$4=1,P33=0),1,0)</f>
        <v/>
      </c>
      <c r="Q83">
        <f>IF(AND(Q$4=1,Q33=0),1,0)</f>
        <v/>
      </c>
      <c r="R83">
        <f>IF(AND(R$4=1,R33=0),1,0)</f>
        <v/>
      </c>
      <c r="S83">
        <f>IF(AND(S$4=1,S33=0),1,0)</f>
        <v/>
      </c>
      <c r="T83">
        <f>IF(AND(T$4=1,T33=0),1,0)</f>
        <v/>
      </c>
      <c r="U83">
        <f>IF(AND(U$4=1,U33=0),1,0)</f>
        <v/>
      </c>
      <c r="V83">
        <f>IF(AND(V$4=1,V33=0),1,0)</f>
        <v/>
      </c>
      <c r="W83">
        <f>IF(AND(W$4=1,W33=0),1,0)</f>
        <v/>
      </c>
      <c r="X83">
        <f>IF(AND(X$4=1,X33=0),1,0)</f>
        <v/>
      </c>
      <c r="Y83">
        <f>IF(AND(Y$4=1,Y33=0),1,0)</f>
        <v/>
      </c>
      <c r="Z83">
        <f>IF(AND(Z$4=1,Z33=0),1,0)</f>
        <v/>
      </c>
      <c r="AA83">
        <f>IF(AND(AA$4=1,AA33=0),1,0)</f>
        <v/>
      </c>
      <c r="AB83">
        <f>IF(AND(AB$4=1,AB33=0),1,0)</f>
        <v/>
      </c>
      <c r="AC83">
        <f>IF(AND(AC$4=1,AC33=0),1,0)</f>
        <v/>
      </c>
      <c r="AD83">
        <f>IF(AND(AD$4=1,AD33=0),1,0)</f>
        <v/>
      </c>
      <c r="AE83">
        <f>IF(AND(AE$4=1,AE33=0),1,0)</f>
        <v/>
      </c>
      <c r="AF83">
        <f>IF(AND(AF$4=1,AF33=0),1,0)</f>
        <v/>
      </c>
      <c r="AG83">
        <f>IF(AND(AG$4=1,AG33=0),1,0)</f>
        <v/>
      </c>
      <c r="AH83">
        <f>IF(AND(AH$4=1,AH33=0),1,0)</f>
        <v/>
      </c>
      <c r="AI83">
        <f>IF(AND(AI$4=1,AI33=0),1,0)</f>
        <v/>
      </c>
      <c r="AJ83">
        <f>IF(AND(AJ$4=1,AJ33=0),1,0)</f>
        <v/>
      </c>
      <c r="AK83">
        <f>IF(AND(AK$4=1,AK33=0),1,0)</f>
        <v/>
      </c>
      <c r="AL83">
        <f>IF(AND(AL$4=1,AL33=0),1,0)</f>
        <v/>
      </c>
      <c r="AM83">
        <f>IF(AND(AM$4=1,AM33=0),1,0)</f>
        <v/>
      </c>
      <c r="AN83">
        <f>IF(AND(AN$4=1,AN33=0),1,0)</f>
        <v/>
      </c>
      <c r="AO83">
        <f>IF(AND(AO$4=1,AO33=0),1,0)</f>
        <v/>
      </c>
      <c r="AP83">
        <f>IF(AND(AP$4=1,AP33=0),1,0)</f>
        <v/>
      </c>
      <c r="AQ83">
        <f>IF(AND(AQ$4=1,AQ33=0),1,0)</f>
        <v/>
      </c>
      <c r="AR83">
        <f>IF(AND(AR$4=1,AR33=0),1,0)</f>
        <v/>
      </c>
      <c r="AS83">
        <f>IF(AND(AS$4=1,AS33=0),1,0)</f>
        <v/>
      </c>
      <c r="AT83">
        <f>IF(AND(AT$4=1,AT33=0),1,0)</f>
        <v/>
      </c>
      <c r="AU83">
        <f>IF(AND(AU$4=1,AU33=0),1,0)</f>
        <v/>
      </c>
      <c r="AV83">
        <f>IF(AND(AV$4=1,AV33=0),1,0)</f>
        <v/>
      </c>
      <c r="AW83">
        <f>IF(AND(AW$4=1,AW33=0),1,0)</f>
        <v/>
      </c>
      <c r="AX83">
        <f>IF(AND(AX$4=1,AX33=0),1,0)</f>
        <v/>
      </c>
      <c r="AY83">
        <f>IF(AND(AY$4=1,AY33=0),1,0)</f>
        <v/>
      </c>
      <c r="AZ83">
        <f>IF(AND(AZ$4=1,AZ33=0),1,0)</f>
        <v/>
      </c>
      <c r="BA83">
        <f>IF(AND(BA$4=1,BA33=0),1,0)</f>
        <v/>
      </c>
      <c r="BB83">
        <f>IF(AND(BB$4=1,BB33=0),1,0)</f>
        <v/>
      </c>
      <c r="BC83">
        <f>IF(AND(BC$4=1,BC33=0),1,0)</f>
        <v/>
      </c>
      <c r="BD83">
        <f>IF(AND(BD$4=1,BD33=0),1,0)</f>
        <v/>
      </c>
      <c r="BE83">
        <f>IF(AND(BE$4=1,BE33=0),1,0)</f>
        <v/>
      </c>
      <c r="BF83">
        <f>IF(AND(BF$4=1,BF33=0),1,0)</f>
        <v/>
      </c>
      <c r="BG83">
        <f>IF(AND(BG$4=1,BG33=0),1,0)</f>
        <v/>
      </c>
      <c r="BH83">
        <f>IF(AND(BH$4=1,BH33=0),1,0)</f>
        <v/>
      </c>
      <c r="BI83">
        <f>IF(AND(BI$4=1,BI33=0),1,0)</f>
        <v/>
      </c>
      <c r="BJ83">
        <f>IF(AND(BJ$4=1,BJ33=0),1,0)</f>
        <v/>
      </c>
      <c r="BK83">
        <f>IF(AND(BK$4=1,BK33=0),1,0)</f>
        <v/>
      </c>
      <c r="BL83">
        <f>IF(AND(BL$4=1,BL33=0),1,0)</f>
        <v/>
      </c>
      <c r="BM83">
        <f>IF(AND(BM$4=1,BM33=0),1,0)</f>
        <v/>
      </c>
      <c r="BN83">
        <f>IF(AND(BN$4=1,BN33=0),1,0)</f>
        <v/>
      </c>
      <c r="BO83">
        <f>IF(AND(BO$4=1,BO33=0),1,0)</f>
        <v/>
      </c>
      <c r="BP83">
        <f>IF(AND(BP$4=1,BP33=0),1,0)</f>
        <v/>
      </c>
      <c r="BQ83">
        <f>IF(AND(BQ$4=1,BQ33=0),1,0)</f>
        <v/>
      </c>
      <c r="BR83">
        <f>IF(AND(BR$4=1,BR33=0),1,0)</f>
        <v/>
      </c>
      <c r="BS83">
        <f>IF(AND(BS$4=1,BS33=0),1,0)</f>
        <v/>
      </c>
      <c r="BT83">
        <f>IF(AND(BT$4=1,BT33=0),1,0)</f>
        <v/>
      </c>
      <c r="BU83">
        <f>IF(AND(BU$4=1,BU33=0),1,0)</f>
        <v/>
      </c>
      <c r="BV83">
        <f>IF(AND(BV$4=1,BV33=0),1,0)</f>
        <v/>
      </c>
      <c r="BW83">
        <f>IF(AND(BW$4=1,BW33=0),1,0)</f>
        <v/>
      </c>
      <c r="BX83">
        <f>IF(AND(BX$4=1,BX33=0),1,0)</f>
        <v/>
      </c>
      <c r="BY83">
        <f>IF(AND(BY$4=1,BY33=0),1,0)</f>
        <v/>
      </c>
      <c r="BZ83">
        <f>IF(AND(BZ$4=1,BZ33=0),1,0)</f>
        <v/>
      </c>
      <c r="CA83">
        <f>IF(AND(CA$4=1,CA33=0),1,0)</f>
        <v/>
      </c>
      <c r="CB83">
        <f>IF(AND(CB$4=1,CB33=0),1,0)</f>
        <v/>
      </c>
      <c r="CC83">
        <f>IF(AND(CC$4=1,CC33=0),1,0)</f>
        <v/>
      </c>
      <c r="CD83">
        <f>IF(AND(CD$4=1,CD33=0),1,0)</f>
        <v/>
      </c>
      <c r="CE83">
        <f>IF(AND(CE$4=1,CE33=0),1,0)</f>
        <v/>
      </c>
      <c r="CF83">
        <f>IF(AND(CF$4=1,CF33=0),1,0)</f>
        <v/>
      </c>
      <c r="CG83">
        <f>IF(AND(CG$4=1,CG33=0),1,0)</f>
        <v/>
      </c>
      <c r="CH83">
        <f>IF(AND(CH$4=1,CH33=0),1,0)</f>
        <v/>
      </c>
      <c r="CI83">
        <f>IF(AND(CI$4=1,CI33=0),1,0)</f>
        <v/>
      </c>
      <c r="CJ83">
        <f>IF(AND(CJ$4=1,CJ33=0),1,0)</f>
        <v/>
      </c>
      <c r="CK83">
        <f>IF(AND(CK$4=1,CK33=0),1,0)</f>
        <v/>
      </c>
      <c r="CL83">
        <f>IF(AND(CL$4=1,CL33=0),1,0)</f>
        <v/>
      </c>
      <c r="CM83">
        <f>IF(AND(CM$4=1,CM33=0),1,0)</f>
        <v/>
      </c>
      <c r="CN83">
        <f>IF(AND(CN$4=1,CN33=0),1,0)</f>
        <v/>
      </c>
      <c r="CO83">
        <f>IF(AND(CO$4=1,CO33=0),1,0)</f>
        <v/>
      </c>
      <c r="CP83">
        <f>IF(AND(CP$4=1,CP33=0),1,0)</f>
        <v/>
      </c>
      <c r="CQ83">
        <f>IF(AND(CQ$4=1,CQ33=0),1,0)</f>
        <v/>
      </c>
      <c r="CR83">
        <f>IF(AND(CR$4=1,CR33=0),1,0)</f>
        <v/>
      </c>
      <c r="CS83">
        <f>IF(AND(CS$4=1,CS33=0),1,0)</f>
        <v/>
      </c>
      <c r="CT83">
        <f>IF(AND(CT$4=1,CT33=0),1,0)</f>
        <v/>
      </c>
      <c r="CU83">
        <f>IF(AND(CU$4=1,CU33=0),1,0)</f>
        <v/>
      </c>
      <c r="CV83">
        <f>IF(AND(CV$4=1,CV33=0),1,0)</f>
        <v/>
      </c>
      <c r="CW83">
        <f>IF(AND(CW$4=1,CW33=0),1,0)</f>
        <v/>
      </c>
      <c r="CX83">
        <f>IF(AND(CX$4=1,CX33=0),1,0)</f>
        <v/>
      </c>
      <c r="CY83">
        <f>IF(AND(CY$4=1,CY33=0),1,0)</f>
        <v/>
      </c>
      <c r="CZ83">
        <f>IF(AND(CZ$4=1,CZ33=0),1,0)</f>
        <v/>
      </c>
      <c r="DA83">
        <f>IF(AND(DA$4=1,DA33=0),1,0)</f>
        <v/>
      </c>
      <c r="DB83">
        <f>IF(AND(DB$4=1,DB33=0),1,0)</f>
        <v/>
      </c>
      <c r="DC83">
        <f>IF(AND(DC$4=1,DC33=0),1,0)</f>
        <v/>
      </c>
      <c r="DD83">
        <f>IF(AND(DD$4=1,DD33=0),1,0)</f>
        <v/>
      </c>
      <c r="DE83">
        <f>IF(AND(DE$4=1,DE33=0),1,0)</f>
        <v/>
      </c>
      <c r="DF83">
        <f>IF(AND(DF$4=1,DF33=0),1,0)</f>
        <v/>
      </c>
      <c r="DG83">
        <f>IF(AND(DG$4=1,DG33=0),1,0)</f>
        <v/>
      </c>
      <c r="DH83">
        <f>IF(AND(DH$4=1,DH33=0),1,0)</f>
        <v/>
      </c>
      <c r="DI83">
        <f>IF(AND(DI$4=1,DI33=0),1,0)</f>
        <v/>
      </c>
      <c r="DJ83">
        <f>IF(AND(DJ$4=1,DJ33=0),1,0)</f>
        <v/>
      </c>
      <c r="DK83">
        <f>IF(AND(DK$4=1,DK33=0),1,0)</f>
        <v/>
      </c>
      <c r="DL83">
        <f>IF(AND(DL$4=1,DL33=0),1,0)</f>
        <v/>
      </c>
      <c r="DM83">
        <f>IF(AND(DM$4=1,DM33=0),1,0)</f>
        <v/>
      </c>
      <c r="DN83">
        <f>IF(AND(DN$4=1,DN33=0),1,0)</f>
        <v/>
      </c>
      <c r="DO83">
        <f>IF(AND(DO$4=1,DO33=0),1,0)</f>
        <v/>
      </c>
      <c r="DP83">
        <f>IF(AND(DP$4=1,DP33=0),1,0)</f>
        <v/>
      </c>
      <c r="DQ83">
        <f>IF(AND(DQ$4=1,DQ33=0),1,0)</f>
        <v/>
      </c>
      <c r="DR83">
        <f>IF(AND(DR$4=1,DR33=0),1,0)</f>
        <v/>
      </c>
      <c r="DS83">
        <f>IF(AND(DS$4=1,DS33=0),1,0)</f>
        <v/>
      </c>
      <c r="DT83">
        <f>IF(AND(DT$4=1,DT33=0),1,0)</f>
        <v/>
      </c>
      <c r="DU83">
        <f>IF(AND(DU$4=1,DU33=0),1,0)</f>
        <v/>
      </c>
      <c r="DV83">
        <f>IF(AND(DV$4=1,DV33=0),1,0)</f>
        <v/>
      </c>
      <c r="DW83">
        <f>IF(AND(DW$4=1,DW33=0),1,0)</f>
        <v/>
      </c>
      <c r="DX83">
        <f>IF(AND(DX$4=1,DX33=0),1,0)</f>
        <v/>
      </c>
      <c r="DY83">
        <f>IF(AND(DY$4=1,DY33=0),1,0)</f>
        <v/>
      </c>
      <c r="DZ83">
        <f>IF(AND(DZ$4=1,DZ33=0),1,0)</f>
        <v/>
      </c>
      <c r="EA83">
        <f>IF(AND(EA$4=1,EA33=0),1,0)</f>
        <v/>
      </c>
      <c r="EB83">
        <f>IF(AND(EB$4=1,EB33=0),1,0)</f>
        <v/>
      </c>
      <c r="EC83">
        <f>IF(AND(EC$4=1,EC33=0),1,0)</f>
        <v/>
      </c>
      <c r="ED83">
        <f>IF(AND(ED$4=1,ED33=0),1,0)</f>
        <v/>
      </c>
      <c r="EE83">
        <f>IF(AND(EE$4=1,EE33=0),1,0)</f>
        <v/>
      </c>
      <c r="EF83">
        <f>IF(AND(EF$4=1,EF33=0),1,0)</f>
        <v/>
      </c>
      <c r="EG83">
        <f>IF(AND(EG$4=1,EG33=0),1,0)</f>
        <v/>
      </c>
      <c r="EH83">
        <f>IF(AND(EH$4=1,EH33=0),1,0)</f>
        <v/>
      </c>
      <c r="EI83">
        <f>IF(AND(EI$4=1,EI33=0),1,0)</f>
        <v/>
      </c>
      <c r="EJ83">
        <f>IF(AND(EJ$4=1,EJ33=0),1,0)</f>
        <v/>
      </c>
      <c r="EK83">
        <f>IF(AND(EK$4=1,EK33=0),1,0)</f>
        <v/>
      </c>
      <c r="EL83">
        <f>IF(AND(EL$4=1,EL33=0),1,0)</f>
        <v/>
      </c>
      <c r="EM83">
        <f>IF(AND(EM$4=1,EM33=0),1,0)</f>
        <v/>
      </c>
      <c r="EN83">
        <f>IF(AND(EN$4=1,EN33=0),1,0)</f>
        <v/>
      </c>
      <c r="EO83">
        <f>IF(AND(EO$4=1,EO33=0),1,0)</f>
        <v/>
      </c>
      <c r="EP83">
        <f>IF(AND(EP$4=1,EP33=0),1,0)</f>
        <v/>
      </c>
      <c r="EQ83">
        <f>IF(AND(EQ$4=1,EQ33=0),1,0)</f>
        <v/>
      </c>
    </row>
    <row r="84">
      <c r="A84" t="n">
        <v>25</v>
      </c>
      <c r="D84">
        <f>IF(AND(D$4=1,D34=0),1,0)</f>
        <v/>
      </c>
      <c r="E84">
        <f>IF(AND(E$4=1,E34=0),1,0)</f>
        <v/>
      </c>
      <c r="F84">
        <f>IF(AND(F$4=1,F34=0),1,0)</f>
        <v/>
      </c>
      <c r="G84">
        <f>IF(AND(G$4=1,G34=0),1,0)</f>
        <v/>
      </c>
      <c r="H84">
        <f>IF(AND(H$4=1,H34=0),1,0)</f>
        <v/>
      </c>
      <c r="I84">
        <f>IF(AND(I$4=1,I34=0),1,0)</f>
        <v/>
      </c>
      <c r="J84">
        <f>IF(AND(J$4=1,J34=0),1,0)</f>
        <v/>
      </c>
      <c r="K84">
        <f>IF(AND(K$4=1,K34=0),1,0)</f>
        <v/>
      </c>
      <c r="L84">
        <f>IF(AND(L$4=1,L34=0),1,0)</f>
        <v/>
      </c>
      <c r="M84">
        <f>IF(AND(M$4=1,M34=0),1,0)</f>
        <v/>
      </c>
      <c r="N84">
        <f>IF(AND(N$4=1,N34=0),1,0)</f>
        <v/>
      </c>
      <c r="O84">
        <f>IF(AND(O$4=1,O34=0),1,0)</f>
        <v/>
      </c>
      <c r="P84">
        <f>IF(AND(P$4=1,P34=0),1,0)</f>
        <v/>
      </c>
      <c r="Q84">
        <f>IF(AND(Q$4=1,Q34=0),1,0)</f>
        <v/>
      </c>
      <c r="R84">
        <f>IF(AND(R$4=1,R34=0),1,0)</f>
        <v/>
      </c>
      <c r="S84">
        <f>IF(AND(S$4=1,S34=0),1,0)</f>
        <v/>
      </c>
      <c r="T84">
        <f>IF(AND(T$4=1,T34=0),1,0)</f>
        <v/>
      </c>
      <c r="U84">
        <f>IF(AND(U$4=1,U34=0),1,0)</f>
        <v/>
      </c>
      <c r="V84">
        <f>IF(AND(V$4=1,V34=0),1,0)</f>
        <v/>
      </c>
      <c r="W84">
        <f>IF(AND(W$4=1,W34=0),1,0)</f>
        <v/>
      </c>
      <c r="X84">
        <f>IF(AND(X$4=1,X34=0),1,0)</f>
        <v/>
      </c>
      <c r="Y84">
        <f>IF(AND(Y$4=1,Y34=0),1,0)</f>
        <v/>
      </c>
      <c r="Z84">
        <f>IF(AND(Z$4=1,Z34=0),1,0)</f>
        <v/>
      </c>
      <c r="AA84">
        <f>IF(AND(AA$4=1,AA34=0),1,0)</f>
        <v/>
      </c>
      <c r="AB84">
        <f>IF(AND(AB$4=1,AB34=0),1,0)</f>
        <v/>
      </c>
      <c r="AC84">
        <f>IF(AND(AC$4=1,AC34=0),1,0)</f>
        <v/>
      </c>
      <c r="AD84">
        <f>IF(AND(AD$4=1,AD34=0),1,0)</f>
        <v/>
      </c>
      <c r="AE84">
        <f>IF(AND(AE$4=1,AE34=0),1,0)</f>
        <v/>
      </c>
      <c r="AF84">
        <f>IF(AND(AF$4=1,AF34=0),1,0)</f>
        <v/>
      </c>
      <c r="AG84">
        <f>IF(AND(AG$4=1,AG34=0),1,0)</f>
        <v/>
      </c>
      <c r="AH84">
        <f>IF(AND(AH$4=1,AH34=0),1,0)</f>
        <v/>
      </c>
      <c r="AI84">
        <f>IF(AND(AI$4=1,AI34=0),1,0)</f>
        <v/>
      </c>
      <c r="AJ84">
        <f>IF(AND(AJ$4=1,AJ34=0),1,0)</f>
        <v/>
      </c>
      <c r="AK84">
        <f>IF(AND(AK$4=1,AK34=0),1,0)</f>
        <v/>
      </c>
      <c r="AL84">
        <f>IF(AND(AL$4=1,AL34=0),1,0)</f>
        <v/>
      </c>
      <c r="AM84">
        <f>IF(AND(AM$4=1,AM34=0),1,0)</f>
        <v/>
      </c>
      <c r="AN84">
        <f>IF(AND(AN$4=1,AN34=0),1,0)</f>
        <v/>
      </c>
      <c r="AO84">
        <f>IF(AND(AO$4=1,AO34=0),1,0)</f>
        <v/>
      </c>
      <c r="AP84">
        <f>IF(AND(AP$4=1,AP34=0),1,0)</f>
        <v/>
      </c>
      <c r="AQ84">
        <f>IF(AND(AQ$4=1,AQ34=0),1,0)</f>
        <v/>
      </c>
      <c r="AR84">
        <f>IF(AND(AR$4=1,AR34=0),1,0)</f>
        <v/>
      </c>
      <c r="AS84">
        <f>IF(AND(AS$4=1,AS34=0),1,0)</f>
        <v/>
      </c>
      <c r="AT84">
        <f>IF(AND(AT$4=1,AT34=0),1,0)</f>
        <v/>
      </c>
      <c r="AU84">
        <f>IF(AND(AU$4=1,AU34=0),1,0)</f>
        <v/>
      </c>
      <c r="AV84">
        <f>IF(AND(AV$4=1,AV34=0),1,0)</f>
        <v/>
      </c>
      <c r="AW84">
        <f>IF(AND(AW$4=1,AW34=0),1,0)</f>
        <v/>
      </c>
      <c r="AX84">
        <f>IF(AND(AX$4=1,AX34=0),1,0)</f>
        <v/>
      </c>
      <c r="AY84">
        <f>IF(AND(AY$4=1,AY34=0),1,0)</f>
        <v/>
      </c>
      <c r="AZ84">
        <f>IF(AND(AZ$4=1,AZ34=0),1,0)</f>
        <v/>
      </c>
      <c r="BA84">
        <f>IF(AND(BA$4=1,BA34=0),1,0)</f>
        <v/>
      </c>
      <c r="BB84">
        <f>IF(AND(BB$4=1,BB34=0),1,0)</f>
        <v/>
      </c>
      <c r="BC84">
        <f>IF(AND(BC$4=1,BC34=0),1,0)</f>
        <v/>
      </c>
      <c r="BD84">
        <f>IF(AND(BD$4=1,BD34=0),1,0)</f>
        <v/>
      </c>
      <c r="BE84">
        <f>IF(AND(BE$4=1,BE34=0),1,0)</f>
        <v/>
      </c>
      <c r="BF84">
        <f>IF(AND(BF$4=1,BF34=0),1,0)</f>
        <v/>
      </c>
      <c r="BG84">
        <f>IF(AND(BG$4=1,BG34=0),1,0)</f>
        <v/>
      </c>
      <c r="BH84">
        <f>IF(AND(BH$4=1,BH34=0),1,0)</f>
        <v/>
      </c>
      <c r="BI84">
        <f>IF(AND(BI$4=1,BI34=0),1,0)</f>
        <v/>
      </c>
      <c r="BJ84">
        <f>IF(AND(BJ$4=1,BJ34=0),1,0)</f>
        <v/>
      </c>
      <c r="BK84">
        <f>IF(AND(BK$4=1,BK34=0),1,0)</f>
        <v/>
      </c>
      <c r="BL84">
        <f>IF(AND(BL$4=1,BL34=0),1,0)</f>
        <v/>
      </c>
      <c r="BM84">
        <f>IF(AND(BM$4=1,BM34=0),1,0)</f>
        <v/>
      </c>
      <c r="BN84">
        <f>IF(AND(BN$4=1,BN34=0),1,0)</f>
        <v/>
      </c>
      <c r="BO84">
        <f>IF(AND(BO$4=1,BO34=0),1,0)</f>
        <v/>
      </c>
      <c r="BP84">
        <f>IF(AND(BP$4=1,BP34=0),1,0)</f>
        <v/>
      </c>
      <c r="BQ84">
        <f>IF(AND(BQ$4=1,BQ34=0),1,0)</f>
        <v/>
      </c>
      <c r="BR84">
        <f>IF(AND(BR$4=1,BR34=0),1,0)</f>
        <v/>
      </c>
      <c r="BS84">
        <f>IF(AND(BS$4=1,BS34=0),1,0)</f>
        <v/>
      </c>
      <c r="BT84">
        <f>IF(AND(BT$4=1,BT34=0),1,0)</f>
        <v/>
      </c>
      <c r="BU84">
        <f>IF(AND(BU$4=1,BU34=0),1,0)</f>
        <v/>
      </c>
      <c r="BV84">
        <f>IF(AND(BV$4=1,BV34=0),1,0)</f>
        <v/>
      </c>
      <c r="BW84">
        <f>IF(AND(BW$4=1,BW34=0),1,0)</f>
        <v/>
      </c>
      <c r="BX84">
        <f>IF(AND(BX$4=1,BX34=0),1,0)</f>
        <v/>
      </c>
      <c r="BY84">
        <f>IF(AND(BY$4=1,BY34=0),1,0)</f>
        <v/>
      </c>
      <c r="BZ84">
        <f>IF(AND(BZ$4=1,BZ34=0),1,0)</f>
        <v/>
      </c>
      <c r="CA84">
        <f>IF(AND(CA$4=1,CA34=0),1,0)</f>
        <v/>
      </c>
      <c r="CB84">
        <f>IF(AND(CB$4=1,CB34=0),1,0)</f>
        <v/>
      </c>
      <c r="CC84">
        <f>IF(AND(CC$4=1,CC34=0),1,0)</f>
        <v/>
      </c>
      <c r="CD84">
        <f>IF(AND(CD$4=1,CD34=0),1,0)</f>
        <v/>
      </c>
      <c r="CE84">
        <f>IF(AND(CE$4=1,CE34=0),1,0)</f>
        <v/>
      </c>
      <c r="CF84">
        <f>IF(AND(CF$4=1,CF34=0),1,0)</f>
        <v/>
      </c>
      <c r="CG84">
        <f>IF(AND(CG$4=1,CG34=0),1,0)</f>
        <v/>
      </c>
      <c r="CH84">
        <f>IF(AND(CH$4=1,CH34=0),1,0)</f>
        <v/>
      </c>
      <c r="CI84">
        <f>IF(AND(CI$4=1,CI34=0),1,0)</f>
        <v/>
      </c>
      <c r="CJ84">
        <f>IF(AND(CJ$4=1,CJ34=0),1,0)</f>
        <v/>
      </c>
      <c r="CK84">
        <f>IF(AND(CK$4=1,CK34=0),1,0)</f>
        <v/>
      </c>
      <c r="CL84">
        <f>IF(AND(CL$4=1,CL34=0),1,0)</f>
        <v/>
      </c>
      <c r="CM84">
        <f>IF(AND(CM$4=1,CM34=0),1,0)</f>
        <v/>
      </c>
      <c r="CN84">
        <f>IF(AND(CN$4=1,CN34=0),1,0)</f>
        <v/>
      </c>
      <c r="CO84">
        <f>IF(AND(CO$4=1,CO34=0),1,0)</f>
        <v/>
      </c>
      <c r="CP84">
        <f>IF(AND(CP$4=1,CP34=0),1,0)</f>
        <v/>
      </c>
      <c r="CQ84">
        <f>IF(AND(CQ$4=1,CQ34=0),1,0)</f>
        <v/>
      </c>
      <c r="CR84">
        <f>IF(AND(CR$4=1,CR34=0),1,0)</f>
        <v/>
      </c>
      <c r="CS84">
        <f>IF(AND(CS$4=1,CS34=0),1,0)</f>
        <v/>
      </c>
      <c r="CT84">
        <f>IF(AND(CT$4=1,CT34=0),1,0)</f>
        <v/>
      </c>
      <c r="CU84">
        <f>IF(AND(CU$4=1,CU34=0),1,0)</f>
        <v/>
      </c>
      <c r="CV84">
        <f>IF(AND(CV$4=1,CV34=0),1,0)</f>
        <v/>
      </c>
      <c r="CW84">
        <f>IF(AND(CW$4=1,CW34=0),1,0)</f>
        <v/>
      </c>
      <c r="CX84">
        <f>IF(AND(CX$4=1,CX34=0),1,0)</f>
        <v/>
      </c>
      <c r="CY84">
        <f>IF(AND(CY$4=1,CY34=0),1,0)</f>
        <v/>
      </c>
      <c r="CZ84">
        <f>IF(AND(CZ$4=1,CZ34=0),1,0)</f>
        <v/>
      </c>
      <c r="DA84">
        <f>IF(AND(DA$4=1,DA34=0),1,0)</f>
        <v/>
      </c>
      <c r="DB84">
        <f>IF(AND(DB$4=1,DB34=0),1,0)</f>
        <v/>
      </c>
      <c r="DC84">
        <f>IF(AND(DC$4=1,DC34=0),1,0)</f>
        <v/>
      </c>
      <c r="DD84">
        <f>IF(AND(DD$4=1,DD34=0),1,0)</f>
        <v/>
      </c>
      <c r="DE84">
        <f>IF(AND(DE$4=1,DE34=0),1,0)</f>
        <v/>
      </c>
      <c r="DF84">
        <f>IF(AND(DF$4=1,DF34=0),1,0)</f>
        <v/>
      </c>
      <c r="DG84">
        <f>IF(AND(DG$4=1,DG34=0),1,0)</f>
        <v/>
      </c>
      <c r="DH84">
        <f>IF(AND(DH$4=1,DH34=0),1,0)</f>
        <v/>
      </c>
      <c r="DI84">
        <f>IF(AND(DI$4=1,DI34=0),1,0)</f>
        <v/>
      </c>
      <c r="DJ84">
        <f>IF(AND(DJ$4=1,DJ34=0),1,0)</f>
        <v/>
      </c>
      <c r="DK84">
        <f>IF(AND(DK$4=1,DK34=0),1,0)</f>
        <v/>
      </c>
      <c r="DL84">
        <f>IF(AND(DL$4=1,DL34=0),1,0)</f>
        <v/>
      </c>
      <c r="DM84">
        <f>IF(AND(DM$4=1,DM34=0),1,0)</f>
        <v/>
      </c>
      <c r="DN84">
        <f>IF(AND(DN$4=1,DN34=0),1,0)</f>
        <v/>
      </c>
      <c r="DO84">
        <f>IF(AND(DO$4=1,DO34=0),1,0)</f>
        <v/>
      </c>
      <c r="DP84">
        <f>IF(AND(DP$4=1,DP34=0),1,0)</f>
        <v/>
      </c>
      <c r="DQ84">
        <f>IF(AND(DQ$4=1,DQ34=0),1,0)</f>
        <v/>
      </c>
      <c r="DR84">
        <f>IF(AND(DR$4=1,DR34=0),1,0)</f>
        <v/>
      </c>
      <c r="DS84">
        <f>IF(AND(DS$4=1,DS34=0),1,0)</f>
        <v/>
      </c>
      <c r="DT84">
        <f>IF(AND(DT$4=1,DT34=0),1,0)</f>
        <v/>
      </c>
      <c r="DU84">
        <f>IF(AND(DU$4=1,DU34=0),1,0)</f>
        <v/>
      </c>
      <c r="DV84">
        <f>IF(AND(DV$4=1,DV34=0),1,0)</f>
        <v/>
      </c>
      <c r="DW84">
        <f>IF(AND(DW$4=1,DW34=0),1,0)</f>
        <v/>
      </c>
      <c r="DX84">
        <f>IF(AND(DX$4=1,DX34=0),1,0)</f>
        <v/>
      </c>
      <c r="DY84">
        <f>IF(AND(DY$4=1,DY34=0),1,0)</f>
        <v/>
      </c>
      <c r="DZ84">
        <f>IF(AND(DZ$4=1,DZ34=0),1,0)</f>
        <v/>
      </c>
      <c r="EA84">
        <f>IF(AND(EA$4=1,EA34=0),1,0)</f>
        <v/>
      </c>
      <c r="EB84">
        <f>IF(AND(EB$4=1,EB34=0),1,0)</f>
        <v/>
      </c>
      <c r="EC84">
        <f>IF(AND(EC$4=1,EC34=0),1,0)</f>
        <v/>
      </c>
      <c r="ED84">
        <f>IF(AND(ED$4=1,ED34=0),1,0)</f>
        <v/>
      </c>
      <c r="EE84">
        <f>IF(AND(EE$4=1,EE34=0),1,0)</f>
        <v/>
      </c>
      <c r="EF84">
        <f>IF(AND(EF$4=1,EF34=0),1,0)</f>
        <v/>
      </c>
      <c r="EG84">
        <f>IF(AND(EG$4=1,EG34=0),1,0)</f>
        <v/>
      </c>
      <c r="EH84">
        <f>IF(AND(EH$4=1,EH34=0),1,0)</f>
        <v/>
      </c>
      <c r="EI84">
        <f>IF(AND(EI$4=1,EI34=0),1,0)</f>
        <v/>
      </c>
      <c r="EJ84">
        <f>IF(AND(EJ$4=1,EJ34=0),1,0)</f>
        <v/>
      </c>
      <c r="EK84">
        <f>IF(AND(EK$4=1,EK34=0),1,0)</f>
        <v/>
      </c>
      <c r="EL84">
        <f>IF(AND(EL$4=1,EL34=0),1,0)</f>
        <v/>
      </c>
      <c r="EM84">
        <f>IF(AND(EM$4=1,EM34=0),1,0)</f>
        <v/>
      </c>
      <c r="EN84">
        <f>IF(AND(EN$4=1,EN34=0),1,0)</f>
        <v/>
      </c>
      <c r="EO84">
        <f>IF(AND(EO$4=1,EO34=0),1,0)</f>
        <v/>
      </c>
      <c r="EP84">
        <f>IF(AND(EP$4=1,EP34=0),1,0)</f>
        <v/>
      </c>
      <c r="EQ84">
        <f>IF(AND(EQ$4=1,EQ34=0),1,0)</f>
        <v/>
      </c>
    </row>
    <row r="85">
      <c r="A85" t="n">
        <v>26</v>
      </c>
      <c r="D85">
        <f>IF(AND(D$4=1,D35=0),1,0)</f>
        <v/>
      </c>
      <c r="E85">
        <f>IF(AND(E$4=1,E35=0),1,0)</f>
        <v/>
      </c>
      <c r="F85">
        <f>IF(AND(F$4=1,F35=0),1,0)</f>
        <v/>
      </c>
      <c r="G85">
        <f>IF(AND(G$4=1,G35=0),1,0)</f>
        <v/>
      </c>
      <c r="H85">
        <f>IF(AND(H$4=1,H35=0),1,0)</f>
        <v/>
      </c>
      <c r="I85">
        <f>IF(AND(I$4=1,I35=0),1,0)</f>
        <v/>
      </c>
      <c r="J85">
        <f>IF(AND(J$4=1,J35=0),1,0)</f>
        <v/>
      </c>
      <c r="K85">
        <f>IF(AND(K$4=1,K35=0),1,0)</f>
        <v/>
      </c>
      <c r="L85">
        <f>IF(AND(L$4=1,L35=0),1,0)</f>
        <v/>
      </c>
      <c r="M85">
        <f>IF(AND(M$4=1,M35=0),1,0)</f>
        <v/>
      </c>
      <c r="N85">
        <f>IF(AND(N$4=1,N35=0),1,0)</f>
        <v/>
      </c>
      <c r="O85">
        <f>IF(AND(O$4=1,O35=0),1,0)</f>
        <v/>
      </c>
      <c r="P85">
        <f>IF(AND(P$4=1,P35=0),1,0)</f>
        <v/>
      </c>
      <c r="Q85">
        <f>IF(AND(Q$4=1,Q35=0),1,0)</f>
        <v/>
      </c>
      <c r="R85">
        <f>IF(AND(R$4=1,R35=0),1,0)</f>
        <v/>
      </c>
      <c r="S85">
        <f>IF(AND(S$4=1,S35=0),1,0)</f>
        <v/>
      </c>
      <c r="T85">
        <f>IF(AND(T$4=1,T35=0),1,0)</f>
        <v/>
      </c>
      <c r="U85">
        <f>IF(AND(U$4=1,U35=0),1,0)</f>
        <v/>
      </c>
      <c r="V85">
        <f>IF(AND(V$4=1,V35=0),1,0)</f>
        <v/>
      </c>
      <c r="W85">
        <f>IF(AND(W$4=1,W35=0),1,0)</f>
        <v/>
      </c>
      <c r="X85">
        <f>IF(AND(X$4=1,X35=0),1,0)</f>
        <v/>
      </c>
      <c r="Y85">
        <f>IF(AND(Y$4=1,Y35=0),1,0)</f>
        <v/>
      </c>
      <c r="Z85">
        <f>IF(AND(Z$4=1,Z35=0),1,0)</f>
        <v/>
      </c>
      <c r="AA85">
        <f>IF(AND(AA$4=1,AA35=0),1,0)</f>
        <v/>
      </c>
      <c r="AB85">
        <f>IF(AND(AB$4=1,AB35=0),1,0)</f>
        <v/>
      </c>
      <c r="AC85">
        <f>IF(AND(AC$4=1,AC35=0),1,0)</f>
        <v/>
      </c>
      <c r="AD85">
        <f>IF(AND(AD$4=1,AD35=0),1,0)</f>
        <v/>
      </c>
      <c r="AE85">
        <f>IF(AND(AE$4=1,AE35=0),1,0)</f>
        <v/>
      </c>
      <c r="AF85">
        <f>IF(AND(AF$4=1,AF35=0),1,0)</f>
        <v/>
      </c>
      <c r="AG85">
        <f>IF(AND(AG$4=1,AG35=0),1,0)</f>
        <v/>
      </c>
      <c r="AH85">
        <f>IF(AND(AH$4=1,AH35=0),1,0)</f>
        <v/>
      </c>
      <c r="AI85">
        <f>IF(AND(AI$4=1,AI35=0),1,0)</f>
        <v/>
      </c>
      <c r="AJ85">
        <f>IF(AND(AJ$4=1,AJ35=0),1,0)</f>
        <v/>
      </c>
      <c r="AK85">
        <f>IF(AND(AK$4=1,AK35=0),1,0)</f>
        <v/>
      </c>
      <c r="AL85">
        <f>IF(AND(AL$4=1,AL35=0),1,0)</f>
        <v/>
      </c>
      <c r="AM85">
        <f>IF(AND(AM$4=1,AM35=0),1,0)</f>
        <v/>
      </c>
      <c r="AN85">
        <f>IF(AND(AN$4=1,AN35=0),1,0)</f>
        <v/>
      </c>
      <c r="AO85">
        <f>IF(AND(AO$4=1,AO35=0),1,0)</f>
        <v/>
      </c>
      <c r="AP85">
        <f>IF(AND(AP$4=1,AP35=0),1,0)</f>
        <v/>
      </c>
      <c r="AQ85">
        <f>IF(AND(AQ$4=1,AQ35=0),1,0)</f>
        <v/>
      </c>
      <c r="AR85">
        <f>IF(AND(AR$4=1,AR35=0),1,0)</f>
        <v/>
      </c>
      <c r="AS85">
        <f>IF(AND(AS$4=1,AS35=0),1,0)</f>
        <v/>
      </c>
      <c r="AT85">
        <f>IF(AND(AT$4=1,AT35=0),1,0)</f>
        <v/>
      </c>
      <c r="AU85">
        <f>IF(AND(AU$4=1,AU35=0),1,0)</f>
        <v/>
      </c>
      <c r="AV85">
        <f>IF(AND(AV$4=1,AV35=0),1,0)</f>
        <v/>
      </c>
      <c r="AW85">
        <f>IF(AND(AW$4=1,AW35=0),1,0)</f>
        <v/>
      </c>
      <c r="AX85">
        <f>IF(AND(AX$4=1,AX35=0),1,0)</f>
        <v/>
      </c>
      <c r="AY85">
        <f>IF(AND(AY$4=1,AY35=0),1,0)</f>
        <v/>
      </c>
      <c r="AZ85">
        <f>IF(AND(AZ$4=1,AZ35=0),1,0)</f>
        <v/>
      </c>
      <c r="BA85">
        <f>IF(AND(BA$4=1,BA35=0),1,0)</f>
        <v/>
      </c>
      <c r="BB85">
        <f>IF(AND(BB$4=1,BB35=0),1,0)</f>
        <v/>
      </c>
      <c r="BC85">
        <f>IF(AND(BC$4=1,BC35=0),1,0)</f>
        <v/>
      </c>
      <c r="BD85">
        <f>IF(AND(BD$4=1,BD35=0),1,0)</f>
        <v/>
      </c>
      <c r="BE85">
        <f>IF(AND(BE$4=1,BE35=0),1,0)</f>
        <v/>
      </c>
      <c r="BF85">
        <f>IF(AND(BF$4=1,BF35=0),1,0)</f>
        <v/>
      </c>
      <c r="BG85">
        <f>IF(AND(BG$4=1,BG35=0),1,0)</f>
        <v/>
      </c>
      <c r="BH85">
        <f>IF(AND(BH$4=1,BH35=0),1,0)</f>
        <v/>
      </c>
      <c r="BI85">
        <f>IF(AND(BI$4=1,BI35=0),1,0)</f>
        <v/>
      </c>
      <c r="BJ85">
        <f>IF(AND(BJ$4=1,BJ35=0),1,0)</f>
        <v/>
      </c>
      <c r="BK85">
        <f>IF(AND(BK$4=1,BK35=0),1,0)</f>
        <v/>
      </c>
      <c r="BL85">
        <f>IF(AND(BL$4=1,BL35=0),1,0)</f>
        <v/>
      </c>
      <c r="BM85">
        <f>IF(AND(BM$4=1,BM35=0),1,0)</f>
        <v/>
      </c>
      <c r="BN85">
        <f>IF(AND(BN$4=1,BN35=0),1,0)</f>
        <v/>
      </c>
      <c r="BO85">
        <f>IF(AND(BO$4=1,BO35=0),1,0)</f>
        <v/>
      </c>
      <c r="BP85">
        <f>IF(AND(BP$4=1,BP35=0),1,0)</f>
        <v/>
      </c>
      <c r="BQ85">
        <f>IF(AND(BQ$4=1,BQ35=0),1,0)</f>
        <v/>
      </c>
      <c r="BR85">
        <f>IF(AND(BR$4=1,BR35=0),1,0)</f>
        <v/>
      </c>
      <c r="BS85">
        <f>IF(AND(BS$4=1,BS35=0),1,0)</f>
        <v/>
      </c>
      <c r="BT85">
        <f>IF(AND(BT$4=1,BT35=0),1,0)</f>
        <v/>
      </c>
      <c r="BU85">
        <f>IF(AND(BU$4=1,BU35=0),1,0)</f>
        <v/>
      </c>
      <c r="BV85">
        <f>IF(AND(BV$4=1,BV35=0),1,0)</f>
        <v/>
      </c>
      <c r="BW85">
        <f>IF(AND(BW$4=1,BW35=0),1,0)</f>
        <v/>
      </c>
      <c r="BX85">
        <f>IF(AND(BX$4=1,BX35=0),1,0)</f>
        <v/>
      </c>
      <c r="BY85">
        <f>IF(AND(BY$4=1,BY35=0),1,0)</f>
        <v/>
      </c>
      <c r="BZ85">
        <f>IF(AND(BZ$4=1,BZ35=0),1,0)</f>
        <v/>
      </c>
      <c r="CA85">
        <f>IF(AND(CA$4=1,CA35=0),1,0)</f>
        <v/>
      </c>
      <c r="CB85">
        <f>IF(AND(CB$4=1,CB35=0),1,0)</f>
        <v/>
      </c>
      <c r="CC85">
        <f>IF(AND(CC$4=1,CC35=0),1,0)</f>
        <v/>
      </c>
      <c r="CD85">
        <f>IF(AND(CD$4=1,CD35=0),1,0)</f>
        <v/>
      </c>
      <c r="CE85">
        <f>IF(AND(CE$4=1,CE35=0),1,0)</f>
        <v/>
      </c>
      <c r="CF85">
        <f>IF(AND(CF$4=1,CF35=0),1,0)</f>
        <v/>
      </c>
      <c r="CG85">
        <f>IF(AND(CG$4=1,CG35=0),1,0)</f>
        <v/>
      </c>
      <c r="CH85">
        <f>IF(AND(CH$4=1,CH35=0),1,0)</f>
        <v/>
      </c>
      <c r="CI85">
        <f>IF(AND(CI$4=1,CI35=0),1,0)</f>
        <v/>
      </c>
      <c r="CJ85">
        <f>IF(AND(CJ$4=1,CJ35=0),1,0)</f>
        <v/>
      </c>
      <c r="CK85">
        <f>IF(AND(CK$4=1,CK35=0),1,0)</f>
        <v/>
      </c>
      <c r="CL85">
        <f>IF(AND(CL$4=1,CL35=0),1,0)</f>
        <v/>
      </c>
      <c r="CM85">
        <f>IF(AND(CM$4=1,CM35=0),1,0)</f>
        <v/>
      </c>
      <c r="CN85">
        <f>IF(AND(CN$4=1,CN35=0),1,0)</f>
        <v/>
      </c>
      <c r="CO85">
        <f>IF(AND(CO$4=1,CO35=0),1,0)</f>
        <v/>
      </c>
      <c r="CP85">
        <f>IF(AND(CP$4=1,CP35=0),1,0)</f>
        <v/>
      </c>
      <c r="CQ85">
        <f>IF(AND(CQ$4=1,CQ35=0),1,0)</f>
        <v/>
      </c>
      <c r="CR85">
        <f>IF(AND(CR$4=1,CR35=0),1,0)</f>
        <v/>
      </c>
      <c r="CS85">
        <f>IF(AND(CS$4=1,CS35=0),1,0)</f>
        <v/>
      </c>
      <c r="CT85">
        <f>IF(AND(CT$4=1,CT35=0),1,0)</f>
        <v/>
      </c>
      <c r="CU85">
        <f>IF(AND(CU$4=1,CU35=0),1,0)</f>
        <v/>
      </c>
      <c r="CV85">
        <f>IF(AND(CV$4=1,CV35=0),1,0)</f>
        <v/>
      </c>
      <c r="CW85">
        <f>IF(AND(CW$4=1,CW35=0),1,0)</f>
        <v/>
      </c>
      <c r="CX85">
        <f>IF(AND(CX$4=1,CX35=0),1,0)</f>
        <v/>
      </c>
      <c r="CY85">
        <f>IF(AND(CY$4=1,CY35=0),1,0)</f>
        <v/>
      </c>
      <c r="CZ85">
        <f>IF(AND(CZ$4=1,CZ35=0),1,0)</f>
        <v/>
      </c>
      <c r="DA85">
        <f>IF(AND(DA$4=1,DA35=0),1,0)</f>
        <v/>
      </c>
      <c r="DB85">
        <f>IF(AND(DB$4=1,DB35=0),1,0)</f>
        <v/>
      </c>
      <c r="DC85">
        <f>IF(AND(DC$4=1,DC35=0),1,0)</f>
        <v/>
      </c>
      <c r="DD85">
        <f>IF(AND(DD$4=1,DD35=0),1,0)</f>
        <v/>
      </c>
      <c r="DE85">
        <f>IF(AND(DE$4=1,DE35=0),1,0)</f>
        <v/>
      </c>
      <c r="DF85">
        <f>IF(AND(DF$4=1,DF35=0),1,0)</f>
        <v/>
      </c>
      <c r="DG85">
        <f>IF(AND(DG$4=1,DG35=0),1,0)</f>
        <v/>
      </c>
      <c r="DH85">
        <f>IF(AND(DH$4=1,DH35=0),1,0)</f>
        <v/>
      </c>
      <c r="DI85">
        <f>IF(AND(DI$4=1,DI35=0),1,0)</f>
        <v/>
      </c>
      <c r="DJ85">
        <f>IF(AND(DJ$4=1,DJ35=0),1,0)</f>
        <v/>
      </c>
      <c r="DK85">
        <f>IF(AND(DK$4=1,DK35=0),1,0)</f>
        <v/>
      </c>
      <c r="DL85">
        <f>IF(AND(DL$4=1,DL35=0),1,0)</f>
        <v/>
      </c>
      <c r="DM85">
        <f>IF(AND(DM$4=1,DM35=0),1,0)</f>
        <v/>
      </c>
      <c r="DN85">
        <f>IF(AND(DN$4=1,DN35=0),1,0)</f>
        <v/>
      </c>
      <c r="DO85">
        <f>IF(AND(DO$4=1,DO35=0),1,0)</f>
        <v/>
      </c>
      <c r="DP85">
        <f>IF(AND(DP$4=1,DP35=0),1,0)</f>
        <v/>
      </c>
      <c r="DQ85">
        <f>IF(AND(DQ$4=1,DQ35=0),1,0)</f>
        <v/>
      </c>
      <c r="DR85">
        <f>IF(AND(DR$4=1,DR35=0),1,0)</f>
        <v/>
      </c>
      <c r="DS85">
        <f>IF(AND(DS$4=1,DS35=0),1,0)</f>
        <v/>
      </c>
      <c r="DT85">
        <f>IF(AND(DT$4=1,DT35=0),1,0)</f>
        <v/>
      </c>
      <c r="DU85">
        <f>IF(AND(DU$4=1,DU35=0),1,0)</f>
        <v/>
      </c>
      <c r="DV85">
        <f>IF(AND(DV$4=1,DV35=0),1,0)</f>
        <v/>
      </c>
      <c r="DW85">
        <f>IF(AND(DW$4=1,DW35=0),1,0)</f>
        <v/>
      </c>
      <c r="DX85">
        <f>IF(AND(DX$4=1,DX35=0),1,0)</f>
        <v/>
      </c>
      <c r="DY85">
        <f>IF(AND(DY$4=1,DY35=0),1,0)</f>
        <v/>
      </c>
      <c r="DZ85">
        <f>IF(AND(DZ$4=1,DZ35=0),1,0)</f>
        <v/>
      </c>
      <c r="EA85">
        <f>IF(AND(EA$4=1,EA35=0),1,0)</f>
        <v/>
      </c>
      <c r="EB85">
        <f>IF(AND(EB$4=1,EB35=0),1,0)</f>
        <v/>
      </c>
      <c r="EC85">
        <f>IF(AND(EC$4=1,EC35=0),1,0)</f>
        <v/>
      </c>
      <c r="ED85">
        <f>IF(AND(ED$4=1,ED35=0),1,0)</f>
        <v/>
      </c>
      <c r="EE85">
        <f>IF(AND(EE$4=1,EE35=0),1,0)</f>
        <v/>
      </c>
      <c r="EF85">
        <f>IF(AND(EF$4=1,EF35=0),1,0)</f>
        <v/>
      </c>
      <c r="EG85">
        <f>IF(AND(EG$4=1,EG35=0),1,0)</f>
        <v/>
      </c>
      <c r="EH85">
        <f>IF(AND(EH$4=1,EH35=0),1,0)</f>
        <v/>
      </c>
      <c r="EI85">
        <f>IF(AND(EI$4=1,EI35=0),1,0)</f>
        <v/>
      </c>
      <c r="EJ85">
        <f>IF(AND(EJ$4=1,EJ35=0),1,0)</f>
        <v/>
      </c>
      <c r="EK85">
        <f>IF(AND(EK$4=1,EK35=0),1,0)</f>
        <v/>
      </c>
      <c r="EL85">
        <f>IF(AND(EL$4=1,EL35=0),1,0)</f>
        <v/>
      </c>
      <c r="EM85">
        <f>IF(AND(EM$4=1,EM35=0),1,0)</f>
        <v/>
      </c>
      <c r="EN85">
        <f>IF(AND(EN$4=1,EN35=0),1,0)</f>
        <v/>
      </c>
      <c r="EO85">
        <f>IF(AND(EO$4=1,EO35=0),1,0)</f>
        <v/>
      </c>
      <c r="EP85">
        <f>IF(AND(EP$4=1,EP35=0),1,0)</f>
        <v/>
      </c>
      <c r="EQ85">
        <f>IF(AND(EQ$4=1,EQ35=0),1,0)</f>
        <v/>
      </c>
    </row>
    <row r="86">
      <c r="A86" t="n">
        <v>27</v>
      </c>
      <c r="D86">
        <f>IF(AND(D$4=1,D36=0),1,0)</f>
        <v/>
      </c>
      <c r="E86">
        <f>IF(AND(E$4=1,E36=0),1,0)</f>
        <v/>
      </c>
      <c r="F86">
        <f>IF(AND(F$4=1,F36=0),1,0)</f>
        <v/>
      </c>
      <c r="G86">
        <f>IF(AND(G$4=1,G36=0),1,0)</f>
        <v/>
      </c>
      <c r="H86">
        <f>IF(AND(H$4=1,H36=0),1,0)</f>
        <v/>
      </c>
      <c r="I86">
        <f>IF(AND(I$4=1,I36=0),1,0)</f>
        <v/>
      </c>
      <c r="J86">
        <f>IF(AND(J$4=1,J36=0),1,0)</f>
        <v/>
      </c>
      <c r="K86">
        <f>IF(AND(K$4=1,K36=0),1,0)</f>
        <v/>
      </c>
      <c r="L86">
        <f>IF(AND(L$4=1,L36=0),1,0)</f>
        <v/>
      </c>
      <c r="M86">
        <f>IF(AND(M$4=1,M36=0),1,0)</f>
        <v/>
      </c>
      <c r="N86">
        <f>IF(AND(N$4=1,N36=0),1,0)</f>
        <v/>
      </c>
      <c r="O86">
        <f>IF(AND(O$4=1,O36=0),1,0)</f>
        <v/>
      </c>
      <c r="P86">
        <f>IF(AND(P$4=1,P36=0),1,0)</f>
        <v/>
      </c>
      <c r="Q86">
        <f>IF(AND(Q$4=1,Q36=0),1,0)</f>
        <v/>
      </c>
      <c r="R86">
        <f>IF(AND(R$4=1,R36=0),1,0)</f>
        <v/>
      </c>
      <c r="S86">
        <f>IF(AND(S$4=1,S36=0),1,0)</f>
        <v/>
      </c>
      <c r="T86">
        <f>IF(AND(T$4=1,T36=0),1,0)</f>
        <v/>
      </c>
      <c r="U86">
        <f>IF(AND(U$4=1,U36=0),1,0)</f>
        <v/>
      </c>
      <c r="V86">
        <f>IF(AND(V$4=1,V36=0),1,0)</f>
        <v/>
      </c>
      <c r="W86">
        <f>IF(AND(W$4=1,W36=0),1,0)</f>
        <v/>
      </c>
      <c r="X86">
        <f>IF(AND(X$4=1,X36=0),1,0)</f>
        <v/>
      </c>
      <c r="Y86">
        <f>IF(AND(Y$4=1,Y36=0),1,0)</f>
        <v/>
      </c>
      <c r="Z86">
        <f>IF(AND(Z$4=1,Z36=0),1,0)</f>
        <v/>
      </c>
      <c r="AA86">
        <f>IF(AND(AA$4=1,AA36=0),1,0)</f>
        <v/>
      </c>
      <c r="AB86">
        <f>IF(AND(AB$4=1,AB36=0),1,0)</f>
        <v/>
      </c>
      <c r="AC86">
        <f>IF(AND(AC$4=1,AC36=0),1,0)</f>
        <v/>
      </c>
      <c r="AD86">
        <f>IF(AND(AD$4=1,AD36=0),1,0)</f>
        <v/>
      </c>
      <c r="AE86">
        <f>IF(AND(AE$4=1,AE36=0),1,0)</f>
        <v/>
      </c>
      <c r="AF86">
        <f>IF(AND(AF$4=1,AF36=0),1,0)</f>
        <v/>
      </c>
      <c r="AG86">
        <f>IF(AND(AG$4=1,AG36=0),1,0)</f>
        <v/>
      </c>
      <c r="AH86">
        <f>IF(AND(AH$4=1,AH36=0),1,0)</f>
        <v/>
      </c>
      <c r="AI86">
        <f>IF(AND(AI$4=1,AI36=0),1,0)</f>
        <v/>
      </c>
      <c r="AJ86">
        <f>IF(AND(AJ$4=1,AJ36=0),1,0)</f>
        <v/>
      </c>
      <c r="AK86">
        <f>IF(AND(AK$4=1,AK36=0),1,0)</f>
        <v/>
      </c>
      <c r="AL86">
        <f>IF(AND(AL$4=1,AL36=0),1,0)</f>
        <v/>
      </c>
      <c r="AM86">
        <f>IF(AND(AM$4=1,AM36=0),1,0)</f>
        <v/>
      </c>
      <c r="AN86">
        <f>IF(AND(AN$4=1,AN36=0),1,0)</f>
        <v/>
      </c>
      <c r="AO86">
        <f>IF(AND(AO$4=1,AO36=0),1,0)</f>
        <v/>
      </c>
      <c r="AP86">
        <f>IF(AND(AP$4=1,AP36=0),1,0)</f>
        <v/>
      </c>
      <c r="AQ86">
        <f>IF(AND(AQ$4=1,AQ36=0),1,0)</f>
        <v/>
      </c>
      <c r="AR86">
        <f>IF(AND(AR$4=1,AR36=0),1,0)</f>
        <v/>
      </c>
      <c r="AS86">
        <f>IF(AND(AS$4=1,AS36=0),1,0)</f>
        <v/>
      </c>
      <c r="AT86">
        <f>IF(AND(AT$4=1,AT36=0),1,0)</f>
        <v/>
      </c>
      <c r="AU86">
        <f>IF(AND(AU$4=1,AU36=0),1,0)</f>
        <v/>
      </c>
      <c r="AV86">
        <f>IF(AND(AV$4=1,AV36=0),1,0)</f>
        <v/>
      </c>
      <c r="AW86">
        <f>IF(AND(AW$4=1,AW36=0),1,0)</f>
        <v/>
      </c>
      <c r="AX86">
        <f>IF(AND(AX$4=1,AX36=0),1,0)</f>
        <v/>
      </c>
      <c r="AY86">
        <f>IF(AND(AY$4=1,AY36=0),1,0)</f>
        <v/>
      </c>
      <c r="AZ86">
        <f>IF(AND(AZ$4=1,AZ36=0),1,0)</f>
        <v/>
      </c>
      <c r="BA86">
        <f>IF(AND(BA$4=1,BA36=0),1,0)</f>
        <v/>
      </c>
      <c r="BB86">
        <f>IF(AND(BB$4=1,BB36=0),1,0)</f>
        <v/>
      </c>
      <c r="BC86">
        <f>IF(AND(BC$4=1,BC36=0),1,0)</f>
        <v/>
      </c>
      <c r="BD86">
        <f>IF(AND(BD$4=1,BD36=0),1,0)</f>
        <v/>
      </c>
      <c r="BE86">
        <f>IF(AND(BE$4=1,BE36=0),1,0)</f>
        <v/>
      </c>
      <c r="BF86">
        <f>IF(AND(BF$4=1,BF36=0),1,0)</f>
        <v/>
      </c>
      <c r="BG86">
        <f>IF(AND(BG$4=1,BG36=0),1,0)</f>
        <v/>
      </c>
      <c r="BH86">
        <f>IF(AND(BH$4=1,BH36=0),1,0)</f>
        <v/>
      </c>
      <c r="BI86">
        <f>IF(AND(BI$4=1,BI36=0),1,0)</f>
        <v/>
      </c>
      <c r="BJ86">
        <f>IF(AND(BJ$4=1,BJ36=0),1,0)</f>
        <v/>
      </c>
      <c r="BK86">
        <f>IF(AND(BK$4=1,BK36=0),1,0)</f>
        <v/>
      </c>
      <c r="BL86">
        <f>IF(AND(BL$4=1,BL36=0),1,0)</f>
        <v/>
      </c>
      <c r="BM86">
        <f>IF(AND(BM$4=1,BM36=0),1,0)</f>
        <v/>
      </c>
      <c r="BN86">
        <f>IF(AND(BN$4=1,BN36=0),1,0)</f>
        <v/>
      </c>
      <c r="BO86">
        <f>IF(AND(BO$4=1,BO36=0),1,0)</f>
        <v/>
      </c>
      <c r="BP86">
        <f>IF(AND(BP$4=1,BP36=0),1,0)</f>
        <v/>
      </c>
      <c r="BQ86">
        <f>IF(AND(BQ$4=1,BQ36=0),1,0)</f>
        <v/>
      </c>
      <c r="BR86">
        <f>IF(AND(BR$4=1,BR36=0),1,0)</f>
        <v/>
      </c>
      <c r="BS86">
        <f>IF(AND(BS$4=1,BS36=0),1,0)</f>
        <v/>
      </c>
      <c r="BT86">
        <f>IF(AND(BT$4=1,BT36=0),1,0)</f>
        <v/>
      </c>
      <c r="BU86">
        <f>IF(AND(BU$4=1,BU36=0),1,0)</f>
        <v/>
      </c>
      <c r="BV86">
        <f>IF(AND(BV$4=1,BV36=0),1,0)</f>
        <v/>
      </c>
      <c r="BW86">
        <f>IF(AND(BW$4=1,BW36=0),1,0)</f>
        <v/>
      </c>
      <c r="BX86">
        <f>IF(AND(BX$4=1,BX36=0),1,0)</f>
        <v/>
      </c>
      <c r="BY86">
        <f>IF(AND(BY$4=1,BY36=0),1,0)</f>
        <v/>
      </c>
      <c r="BZ86">
        <f>IF(AND(BZ$4=1,BZ36=0),1,0)</f>
        <v/>
      </c>
      <c r="CA86">
        <f>IF(AND(CA$4=1,CA36=0),1,0)</f>
        <v/>
      </c>
      <c r="CB86">
        <f>IF(AND(CB$4=1,CB36=0),1,0)</f>
        <v/>
      </c>
      <c r="CC86">
        <f>IF(AND(CC$4=1,CC36=0),1,0)</f>
        <v/>
      </c>
      <c r="CD86">
        <f>IF(AND(CD$4=1,CD36=0),1,0)</f>
        <v/>
      </c>
      <c r="CE86">
        <f>IF(AND(CE$4=1,CE36=0),1,0)</f>
        <v/>
      </c>
      <c r="CF86">
        <f>IF(AND(CF$4=1,CF36=0),1,0)</f>
        <v/>
      </c>
      <c r="CG86">
        <f>IF(AND(CG$4=1,CG36=0),1,0)</f>
        <v/>
      </c>
      <c r="CH86">
        <f>IF(AND(CH$4=1,CH36=0),1,0)</f>
        <v/>
      </c>
      <c r="CI86">
        <f>IF(AND(CI$4=1,CI36=0),1,0)</f>
        <v/>
      </c>
      <c r="CJ86">
        <f>IF(AND(CJ$4=1,CJ36=0),1,0)</f>
        <v/>
      </c>
      <c r="CK86">
        <f>IF(AND(CK$4=1,CK36=0),1,0)</f>
        <v/>
      </c>
      <c r="CL86">
        <f>IF(AND(CL$4=1,CL36=0),1,0)</f>
        <v/>
      </c>
      <c r="CM86">
        <f>IF(AND(CM$4=1,CM36=0),1,0)</f>
        <v/>
      </c>
      <c r="CN86">
        <f>IF(AND(CN$4=1,CN36=0),1,0)</f>
        <v/>
      </c>
      <c r="CO86">
        <f>IF(AND(CO$4=1,CO36=0),1,0)</f>
        <v/>
      </c>
      <c r="CP86">
        <f>IF(AND(CP$4=1,CP36=0),1,0)</f>
        <v/>
      </c>
      <c r="CQ86">
        <f>IF(AND(CQ$4=1,CQ36=0),1,0)</f>
        <v/>
      </c>
      <c r="CR86">
        <f>IF(AND(CR$4=1,CR36=0),1,0)</f>
        <v/>
      </c>
      <c r="CS86">
        <f>IF(AND(CS$4=1,CS36=0),1,0)</f>
        <v/>
      </c>
      <c r="CT86">
        <f>IF(AND(CT$4=1,CT36=0),1,0)</f>
        <v/>
      </c>
      <c r="CU86">
        <f>IF(AND(CU$4=1,CU36=0),1,0)</f>
        <v/>
      </c>
      <c r="CV86">
        <f>IF(AND(CV$4=1,CV36=0),1,0)</f>
        <v/>
      </c>
      <c r="CW86">
        <f>IF(AND(CW$4=1,CW36=0),1,0)</f>
        <v/>
      </c>
      <c r="CX86">
        <f>IF(AND(CX$4=1,CX36=0),1,0)</f>
        <v/>
      </c>
      <c r="CY86">
        <f>IF(AND(CY$4=1,CY36=0),1,0)</f>
        <v/>
      </c>
      <c r="CZ86">
        <f>IF(AND(CZ$4=1,CZ36=0),1,0)</f>
        <v/>
      </c>
      <c r="DA86">
        <f>IF(AND(DA$4=1,DA36=0),1,0)</f>
        <v/>
      </c>
      <c r="DB86">
        <f>IF(AND(DB$4=1,DB36=0),1,0)</f>
        <v/>
      </c>
      <c r="DC86">
        <f>IF(AND(DC$4=1,DC36=0),1,0)</f>
        <v/>
      </c>
      <c r="DD86">
        <f>IF(AND(DD$4=1,DD36=0),1,0)</f>
        <v/>
      </c>
      <c r="DE86">
        <f>IF(AND(DE$4=1,DE36=0),1,0)</f>
        <v/>
      </c>
      <c r="DF86">
        <f>IF(AND(DF$4=1,DF36=0),1,0)</f>
        <v/>
      </c>
      <c r="DG86">
        <f>IF(AND(DG$4=1,DG36=0),1,0)</f>
        <v/>
      </c>
      <c r="DH86">
        <f>IF(AND(DH$4=1,DH36=0),1,0)</f>
        <v/>
      </c>
      <c r="DI86">
        <f>IF(AND(DI$4=1,DI36=0),1,0)</f>
        <v/>
      </c>
      <c r="DJ86">
        <f>IF(AND(DJ$4=1,DJ36=0),1,0)</f>
        <v/>
      </c>
      <c r="DK86">
        <f>IF(AND(DK$4=1,DK36=0),1,0)</f>
        <v/>
      </c>
      <c r="DL86">
        <f>IF(AND(DL$4=1,DL36=0),1,0)</f>
        <v/>
      </c>
      <c r="DM86">
        <f>IF(AND(DM$4=1,DM36=0),1,0)</f>
        <v/>
      </c>
      <c r="DN86">
        <f>IF(AND(DN$4=1,DN36=0),1,0)</f>
        <v/>
      </c>
      <c r="DO86">
        <f>IF(AND(DO$4=1,DO36=0),1,0)</f>
        <v/>
      </c>
      <c r="DP86">
        <f>IF(AND(DP$4=1,DP36=0),1,0)</f>
        <v/>
      </c>
      <c r="DQ86">
        <f>IF(AND(DQ$4=1,DQ36=0),1,0)</f>
        <v/>
      </c>
      <c r="DR86">
        <f>IF(AND(DR$4=1,DR36=0),1,0)</f>
        <v/>
      </c>
      <c r="DS86">
        <f>IF(AND(DS$4=1,DS36=0),1,0)</f>
        <v/>
      </c>
      <c r="DT86">
        <f>IF(AND(DT$4=1,DT36=0),1,0)</f>
        <v/>
      </c>
      <c r="DU86">
        <f>IF(AND(DU$4=1,DU36=0),1,0)</f>
        <v/>
      </c>
      <c r="DV86">
        <f>IF(AND(DV$4=1,DV36=0),1,0)</f>
        <v/>
      </c>
      <c r="DW86">
        <f>IF(AND(DW$4=1,DW36=0),1,0)</f>
        <v/>
      </c>
      <c r="DX86">
        <f>IF(AND(DX$4=1,DX36=0),1,0)</f>
        <v/>
      </c>
      <c r="DY86">
        <f>IF(AND(DY$4=1,DY36=0),1,0)</f>
        <v/>
      </c>
      <c r="DZ86">
        <f>IF(AND(DZ$4=1,DZ36=0),1,0)</f>
        <v/>
      </c>
      <c r="EA86">
        <f>IF(AND(EA$4=1,EA36=0),1,0)</f>
        <v/>
      </c>
      <c r="EB86">
        <f>IF(AND(EB$4=1,EB36=0),1,0)</f>
        <v/>
      </c>
      <c r="EC86">
        <f>IF(AND(EC$4=1,EC36=0),1,0)</f>
        <v/>
      </c>
      <c r="ED86">
        <f>IF(AND(ED$4=1,ED36=0),1,0)</f>
        <v/>
      </c>
      <c r="EE86">
        <f>IF(AND(EE$4=1,EE36=0),1,0)</f>
        <v/>
      </c>
      <c r="EF86">
        <f>IF(AND(EF$4=1,EF36=0),1,0)</f>
        <v/>
      </c>
      <c r="EG86">
        <f>IF(AND(EG$4=1,EG36=0),1,0)</f>
        <v/>
      </c>
      <c r="EH86">
        <f>IF(AND(EH$4=1,EH36=0),1,0)</f>
        <v/>
      </c>
      <c r="EI86">
        <f>IF(AND(EI$4=1,EI36=0),1,0)</f>
        <v/>
      </c>
      <c r="EJ86">
        <f>IF(AND(EJ$4=1,EJ36=0),1,0)</f>
        <v/>
      </c>
      <c r="EK86">
        <f>IF(AND(EK$4=1,EK36=0),1,0)</f>
        <v/>
      </c>
      <c r="EL86">
        <f>IF(AND(EL$4=1,EL36=0),1,0)</f>
        <v/>
      </c>
      <c r="EM86">
        <f>IF(AND(EM$4=1,EM36=0),1,0)</f>
        <v/>
      </c>
      <c r="EN86">
        <f>IF(AND(EN$4=1,EN36=0),1,0)</f>
        <v/>
      </c>
      <c r="EO86">
        <f>IF(AND(EO$4=1,EO36=0),1,0)</f>
        <v/>
      </c>
      <c r="EP86">
        <f>IF(AND(EP$4=1,EP36=0),1,0)</f>
        <v/>
      </c>
      <c r="EQ86">
        <f>IF(AND(EQ$4=1,EQ36=0),1,0)</f>
        <v/>
      </c>
    </row>
    <row r="87">
      <c r="A87" t="n">
        <v>28</v>
      </c>
      <c r="D87">
        <f>IF(AND(D$4=1,D37=0),1,0)</f>
        <v/>
      </c>
      <c r="E87">
        <f>IF(AND(E$4=1,E37=0),1,0)</f>
        <v/>
      </c>
      <c r="F87">
        <f>IF(AND(F$4=1,F37=0),1,0)</f>
        <v/>
      </c>
      <c r="G87">
        <f>IF(AND(G$4=1,G37=0),1,0)</f>
        <v/>
      </c>
      <c r="H87">
        <f>IF(AND(H$4=1,H37=0),1,0)</f>
        <v/>
      </c>
      <c r="I87">
        <f>IF(AND(I$4=1,I37=0),1,0)</f>
        <v/>
      </c>
      <c r="J87">
        <f>IF(AND(J$4=1,J37=0),1,0)</f>
        <v/>
      </c>
      <c r="K87">
        <f>IF(AND(K$4=1,K37=0),1,0)</f>
        <v/>
      </c>
      <c r="L87">
        <f>IF(AND(L$4=1,L37=0),1,0)</f>
        <v/>
      </c>
      <c r="M87">
        <f>IF(AND(M$4=1,M37=0),1,0)</f>
        <v/>
      </c>
      <c r="N87">
        <f>IF(AND(N$4=1,N37=0),1,0)</f>
        <v/>
      </c>
      <c r="O87">
        <f>IF(AND(O$4=1,O37=0),1,0)</f>
        <v/>
      </c>
      <c r="P87">
        <f>IF(AND(P$4=1,P37=0),1,0)</f>
        <v/>
      </c>
      <c r="Q87">
        <f>IF(AND(Q$4=1,Q37=0),1,0)</f>
        <v/>
      </c>
      <c r="R87">
        <f>IF(AND(R$4=1,R37=0),1,0)</f>
        <v/>
      </c>
      <c r="S87">
        <f>IF(AND(S$4=1,S37=0),1,0)</f>
        <v/>
      </c>
      <c r="T87">
        <f>IF(AND(T$4=1,T37=0),1,0)</f>
        <v/>
      </c>
      <c r="U87">
        <f>IF(AND(U$4=1,U37=0),1,0)</f>
        <v/>
      </c>
      <c r="V87">
        <f>IF(AND(V$4=1,V37=0),1,0)</f>
        <v/>
      </c>
      <c r="W87">
        <f>IF(AND(W$4=1,W37=0),1,0)</f>
        <v/>
      </c>
      <c r="X87">
        <f>IF(AND(X$4=1,X37=0),1,0)</f>
        <v/>
      </c>
      <c r="Y87">
        <f>IF(AND(Y$4=1,Y37=0),1,0)</f>
        <v/>
      </c>
      <c r="Z87">
        <f>IF(AND(Z$4=1,Z37=0),1,0)</f>
        <v/>
      </c>
      <c r="AA87">
        <f>IF(AND(AA$4=1,AA37=0),1,0)</f>
        <v/>
      </c>
      <c r="AB87">
        <f>IF(AND(AB$4=1,AB37=0),1,0)</f>
        <v/>
      </c>
      <c r="AC87">
        <f>IF(AND(AC$4=1,AC37=0),1,0)</f>
        <v/>
      </c>
      <c r="AD87">
        <f>IF(AND(AD$4=1,AD37=0),1,0)</f>
        <v/>
      </c>
      <c r="AE87">
        <f>IF(AND(AE$4=1,AE37=0),1,0)</f>
        <v/>
      </c>
      <c r="AF87">
        <f>IF(AND(AF$4=1,AF37=0),1,0)</f>
        <v/>
      </c>
      <c r="AG87">
        <f>IF(AND(AG$4=1,AG37=0),1,0)</f>
        <v/>
      </c>
      <c r="AH87">
        <f>IF(AND(AH$4=1,AH37=0),1,0)</f>
        <v/>
      </c>
      <c r="AI87">
        <f>IF(AND(AI$4=1,AI37=0),1,0)</f>
        <v/>
      </c>
      <c r="AJ87">
        <f>IF(AND(AJ$4=1,AJ37=0),1,0)</f>
        <v/>
      </c>
      <c r="AK87">
        <f>IF(AND(AK$4=1,AK37=0),1,0)</f>
        <v/>
      </c>
      <c r="AL87">
        <f>IF(AND(AL$4=1,AL37=0),1,0)</f>
        <v/>
      </c>
      <c r="AM87">
        <f>IF(AND(AM$4=1,AM37=0),1,0)</f>
        <v/>
      </c>
      <c r="AN87">
        <f>IF(AND(AN$4=1,AN37=0),1,0)</f>
        <v/>
      </c>
      <c r="AO87">
        <f>IF(AND(AO$4=1,AO37=0),1,0)</f>
        <v/>
      </c>
      <c r="AP87">
        <f>IF(AND(AP$4=1,AP37=0),1,0)</f>
        <v/>
      </c>
      <c r="AQ87">
        <f>IF(AND(AQ$4=1,AQ37=0),1,0)</f>
        <v/>
      </c>
      <c r="AR87">
        <f>IF(AND(AR$4=1,AR37=0),1,0)</f>
        <v/>
      </c>
      <c r="AS87">
        <f>IF(AND(AS$4=1,AS37=0),1,0)</f>
        <v/>
      </c>
      <c r="AT87">
        <f>IF(AND(AT$4=1,AT37=0),1,0)</f>
        <v/>
      </c>
      <c r="AU87">
        <f>IF(AND(AU$4=1,AU37=0),1,0)</f>
        <v/>
      </c>
      <c r="AV87">
        <f>IF(AND(AV$4=1,AV37=0),1,0)</f>
        <v/>
      </c>
      <c r="AW87">
        <f>IF(AND(AW$4=1,AW37=0),1,0)</f>
        <v/>
      </c>
      <c r="AX87">
        <f>IF(AND(AX$4=1,AX37=0),1,0)</f>
        <v/>
      </c>
      <c r="AY87">
        <f>IF(AND(AY$4=1,AY37=0),1,0)</f>
        <v/>
      </c>
      <c r="AZ87">
        <f>IF(AND(AZ$4=1,AZ37=0),1,0)</f>
        <v/>
      </c>
      <c r="BA87">
        <f>IF(AND(BA$4=1,BA37=0),1,0)</f>
        <v/>
      </c>
      <c r="BB87">
        <f>IF(AND(BB$4=1,BB37=0),1,0)</f>
        <v/>
      </c>
      <c r="BC87">
        <f>IF(AND(BC$4=1,BC37=0),1,0)</f>
        <v/>
      </c>
      <c r="BD87">
        <f>IF(AND(BD$4=1,BD37=0),1,0)</f>
        <v/>
      </c>
      <c r="BE87">
        <f>IF(AND(BE$4=1,BE37=0),1,0)</f>
        <v/>
      </c>
      <c r="BF87">
        <f>IF(AND(BF$4=1,BF37=0),1,0)</f>
        <v/>
      </c>
      <c r="BG87">
        <f>IF(AND(BG$4=1,BG37=0),1,0)</f>
        <v/>
      </c>
      <c r="BH87">
        <f>IF(AND(BH$4=1,BH37=0),1,0)</f>
        <v/>
      </c>
      <c r="BI87">
        <f>IF(AND(BI$4=1,BI37=0),1,0)</f>
        <v/>
      </c>
      <c r="BJ87">
        <f>IF(AND(BJ$4=1,BJ37=0),1,0)</f>
        <v/>
      </c>
      <c r="BK87">
        <f>IF(AND(BK$4=1,BK37=0),1,0)</f>
        <v/>
      </c>
      <c r="BL87">
        <f>IF(AND(BL$4=1,BL37=0),1,0)</f>
        <v/>
      </c>
      <c r="BM87">
        <f>IF(AND(BM$4=1,BM37=0),1,0)</f>
        <v/>
      </c>
      <c r="BN87">
        <f>IF(AND(BN$4=1,BN37=0),1,0)</f>
        <v/>
      </c>
      <c r="BO87">
        <f>IF(AND(BO$4=1,BO37=0),1,0)</f>
        <v/>
      </c>
      <c r="BP87">
        <f>IF(AND(BP$4=1,BP37=0),1,0)</f>
        <v/>
      </c>
      <c r="BQ87">
        <f>IF(AND(BQ$4=1,BQ37=0),1,0)</f>
        <v/>
      </c>
      <c r="BR87">
        <f>IF(AND(BR$4=1,BR37=0),1,0)</f>
        <v/>
      </c>
      <c r="BS87">
        <f>IF(AND(BS$4=1,BS37=0),1,0)</f>
        <v/>
      </c>
      <c r="BT87">
        <f>IF(AND(BT$4=1,BT37=0),1,0)</f>
        <v/>
      </c>
      <c r="BU87">
        <f>IF(AND(BU$4=1,BU37=0),1,0)</f>
        <v/>
      </c>
      <c r="BV87">
        <f>IF(AND(BV$4=1,BV37=0),1,0)</f>
        <v/>
      </c>
      <c r="BW87">
        <f>IF(AND(BW$4=1,BW37=0),1,0)</f>
        <v/>
      </c>
      <c r="BX87">
        <f>IF(AND(BX$4=1,BX37=0),1,0)</f>
        <v/>
      </c>
      <c r="BY87">
        <f>IF(AND(BY$4=1,BY37=0),1,0)</f>
        <v/>
      </c>
      <c r="BZ87">
        <f>IF(AND(BZ$4=1,BZ37=0),1,0)</f>
        <v/>
      </c>
      <c r="CA87">
        <f>IF(AND(CA$4=1,CA37=0),1,0)</f>
        <v/>
      </c>
      <c r="CB87">
        <f>IF(AND(CB$4=1,CB37=0),1,0)</f>
        <v/>
      </c>
      <c r="CC87">
        <f>IF(AND(CC$4=1,CC37=0),1,0)</f>
        <v/>
      </c>
      <c r="CD87">
        <f>IF(AND(CD$4=1,CD37=0),1,0)</f>
        <v/>
      </c>
      <c r="CE87">
        <f>IF(AND(CE$4=1,CE37=0),1,0)</f>
        <v/>
      </c>
      <c r="CF87">
        <f>IF(AND(CF$4=1,CF37=0),1,0)</f>
        <v/>
      </c>
      <c r="CG87">
        <f>IF(AND(CG$4=1,CG37=0),1,0)</f>
        <v/>
      </c>
      <c r="CH87">
        <f>IF(AND(CH$4=1,CH37=0),1,0)</f>
        <v/>
      </c>
      <c r="CI87">
        <f>IF(AND(CI$4=1,CI37=0),1,0)</f>
        <v/>
      </c>
      <c r="CJ87">
        <f>IF(AND(CJ$4=1,CJ37=0),1,0)</f>
        <v/>
      </c>
      <c r="CK87">
        <f>IF(AND(CK$4=1,CK37=0),1,0)</f>
        <v/>
      </c>
      <c r="CL87">
        <f>IF(AND(CL$4=1,CL37=0),1,0)</f>
        <v/>
      </c>
      <c r="CM87">
        <f>IF(AND(CM$4=1,CM37=0),1,0)</f>
        <v/>
      </c>
      <c r="CN87">
        <f>IF(AND(CN$4=1,CN37=0),1,0)</f>
        <v/>
      </c>
      <c r="CO87">
        <f>IF(AND(CO$4=1,CO37=0),1,0)</f>
        <v/>
      </c>
      <c r="CP87">
        <f>IF(AND(CP$4=1,CP37=0),1,0)</f>
        <v/>
      </c>
      <c r="CQ87">
        <f>IF(AND(CQ$4=1,CQ37=0),1,0)</f>
        <v/>
      </c>
      <c r="CR87">
        <f>IF(AND(CR$4=1,CR37=0),1,0)</f>
        <v/>
      </c>
      <c r="CS87">
        <f>IF(AND(CS$4=1,CS37=0),1,0)</f>
        <v/>
      </c>
      <c r="CT87">
        <f>IF(AND(CT$4=1,CT37=0),1,0)</f>
        <v/>
      </c>
      <c r="CU87">
        <f>IF(AND(CU$4=1,CU37=0),1,0)</f>
        <v/>
      </c>
      <c r="CV87">
        <f>IF(AND(CV$4=1,CV37=0),1,0)</f>
        <v/>
      </c>
      <c r="CW87">
        <f>IF(AND(CW$4=1,CW37=0),1,0)</f>
        <v/>
      </c>
      <c r="CX87">
        <f>IF(AND(CX$4=1,CX37=0),1,0)</f>
        <v/>
      </c>
      <c r="CY87">
        <f>IF(AND(CY$4=1,CY37=0),1,0)</f>
        <v/>
      </c>
      <c r="CZ87">
        <f>IF(AND(CZ$4=1,CZ37=0),1,0)</f>
        <v/>
      </c>
      <c r="DA87">
        <f>IF(AND(DA$4=1,DA37=0),1,0)</f>
        <v/>
      </c>
      <c r="DB87">
        <f>IF(AND(DB$4=1,DB37=0),1,0)</f>
        <v/>
      </c>
      <c r="DC87">
        <f>IF(AND(DC$4=1,DC37=0),1,0)</f>
        <v/>
      </c>
      <c r="DD87">
        <f>IF(AND(DD$4=1,DD37=0),1,0)</f>
        <v/>
      </c>
      <c r="DE87">
        <f>IF(AND(DE$4=1,DE37=0),1,0)</f>
        <v/>
      </c>
      <c r="DF87">
        <f>IF(AND(DF$4=1,DF37=0),1,0)</f>
        <v/>
      </c>
      <c r="DG87">
        <f>IF(AND(DG$4=1,DG37=0),1,0)</f>
        <v/>
      </c>
      <c r="DH87">
        <f>IF(AND(DH$4=1,DH37=0),1,0)</f>
        <v/>
      </c>
      <c r="DI87">
        <f>IF(AND(DI$4=1,DI37=0),1,0)</f>
        <v/>
      </c>
      <c r="DJ87">
        <f>IF(AND(DJ$4=1,DJ37=0),1,0)</f>
        <v/>
      </c>
      <c r="DK87">
        <f>IF(AND(DK$4=1,DK37=0),1,0)</f>
        <v/>
      </c>
      <c r="DL87">
        <f>IF(AND(DL$4=1,DL37=0),1,0)</f>
        <v/>
      </c>
      <c r="DM87">
        <f>IF(AND(DM$4=1,DM37=0),1,0)</f>
        <v/>
      </c>
      <c r="DN87">
        <f>IF(AND(DN$4=1,DN37=0),1,0)</f>
        <v/>
      </c>
      <c r="DO87">
        <f>IF(AND(DO$4=1,DO37=0),1,0)</f>
        <v/>
      </c>
      <c r="DP87">
        <f>IF(AND(DP$4=1,DP37=0),1,0)</f>
        <v/>
      </c>
      <c r="DQ87">
        <f>IF(AND(DQ$4=1,DQ37=0),1,0)</f>
        <v/>
      </c>
      <c r="DR87">
        <f>IF(AND(DR$4=1,DR37=0),1,0)</f>
        <v/>
      </c>
      <c r="DS87">
        <f>IF(AND(DS$4=1,DS37=0),1,0)</f>
        <v/>
      </c>
      <c r="DT87">
        <f>IF(AND(DT$4=1,DT37=0),1,0)</f>
        <v/>
      </c>
      <c r="DU87">
        <f>IF(AND(DU$4=1,DU37=0),1,0)</f>
        <v/>
      </c>
      <c r="DV87">
        <f>IF(AND(DV$4=1,DV37=0),1,0)</f>
        <v/>
      </c>
      <c r="DW87">
        <f>IF(AND(DW$4=1,DW37=0),1,0)</f>
        <v/>
      </c>
      <c r="DX87">
        <f>IF(AND(DX$4=1,DX37=0),1,0)</f>
        <v/>
      </c>
      <c r="DY87">
        <f>IF(AND(DY$4=1,DY37=0),1,0)</f>
        <v/>
      </c>
      <c r="DZ87">
        <f>IF(AND(DZ$4=1,DZ37=0),1,0)</f>
        <v/>
      </c>
      <c r="EA87">
        <f>IF(AND(EA$4=1,EA37=0),1,0)</f>
        <v/>
      </c>
      <c r="EB87">
        <f>IF(AND(EB$4=1,EB37=0),1,0)</f>
        <v/>
      </c>
      <c r="EC87">
        <f>IF(AND(EC$4=1,EC37=0),1,0)</f>
        <v/>
      </c>
      <c r="ED87">
        <f>IF(AND(ED$4=1,ED37=0),1,0)</f>
        <v/>
      </c>
      <c r="EE87">
        <f>IF(AND(EE$4=1,EE37=0),1,0)</f>
        <v/>
      </c>
      <c r="EF87">
        <f>IF(AND(EF$4=1,EF37=0),1,0)</f>
        <v/>
      </c>
      <c r="EG87">
        <f>IF(AND(EG$4=1,EG37=0),1,0)</f>
        <v/>
      </c>
      <c r="EH87">
        <f>IF(AND(EH$4=1,EH37=0),1,0)</f>
        <v/>
      </c>
      <c r="EI87">
        <f>IF(AND(EI$4=1,EI37=0),1,0)</f>
        <v/>
      </c>
      <c r="EJ87">
        <f>IF(AND(EJ$4=1,EJ37=0),1,0)</f>
        <v/>
      </c>
      <c r="EK87">
        <f>IF(AND(EK$4=1,EK37=0),1,0)</f>
        <v/>
      </c>
      <c r="EL87">
        <f>IF(AND(EL$4=1,EL37=0),1,0)</f>
        <v/>
      </c>
      <c r="EM87">
        <f>IF(AND(EM$4=1,EM37=0),1,0)</f>
        <v/>
      </c>
      <c r="EN87">
        <f>IF(AND(EN$4=1,EN37=0),1,0)</f>
        <v/>
      </c>
      <c r="EO87">
        <f>IF(AND(EO$4=1,EO37=0),1,0)</f>
        <v/>
      </c>
      <c r="EP87">
        <f>IF(AND(EP$4=1,EP37=0),1,0)</f>
        <v/>
      </c>
      <c r="EQ87">
        <f>IF(AND(EQ$4=1,EQ37=0),1,0)</f>
        <v/>
      </c>
    </row>
    <row r="88">
      <c r="A88" t="n">
        <v>29</v>
      </c>
      <c r="D88">
        <f>IF(AND(D$4=1,D38=0),1,0)</f>
        <v/>
      </c>
      <c r="E88">
        <f>IF(AND(E$4=1,E38=0),1,0)</f>
        <v/>
      </c>
      <c r="F88">
        <f>IF(AND(F$4=1,F38=0),1,0)</f>
        <v/>
      </c>
      <c r="G88">
        <f>IF(AND(G$4=1,G38=0),1,0)</f>
        <v/>
      </c>
      <c r="H88">
        <f>IF(AND(H$4=1,H38=0),1,0)</f>
        <v/>
      </c>
      <c r="I88">
        <f>IF(AND(I$4=1,I38=0),1,0)</f>
        <v/>
      </c>
      <c r="J88">
        <f>IF(AND(J$4=1,J38=0),1,0)</f>
        <v/>
      </c>
      <c r="K88">
        <f>IF(AND(K$4=1,K38=0),1,0)</f>
        <v/>
      </c>
      <c r="L88">
        <f>IF(AND(L$4=1,L38=0),1,0)</f>
        <v/>
      </c>
      <c r="M88">
        <f>IF(AND(M$4=1,M38=0),1,0)</f>
        <v/>
      </c>
      <c r="N88">
        <f>IF(AND(N$4=1,N38=0),1,0)</f>
        <v/>
      </c>
      <c r="O88">
        <f>IF(AND(O$4=1,O38=0),1,0)</f>
        <v/>
      </c>
      <c r="P88">
        <f>IF(AND(P$4=1,P38=0),1,0)</f>
        <v/>
      </c>
      <c r="Q88">
        <f>IF(AND(Q$4=1,Q38=0),1,0)</f>
        <v/>
      </c>
      <c r="R88">
        <f>IF(AND(R$4=1,R38=0),1,0)</f>
        <v/>
      </c>
      <c r="S88">
        <f>IF(AND(S$4=1,S38=0),1,0)</f>
        <v/>
      </c>
      <c r="T88">
        <f>IF(AND(T$4=1,T38=0),1,0)</f>
        <v/>
      </c>
      <c r="U88">
        <f>IF(AND(U$4=1,U38=0),1,0)</f>
        <v/>
      </c>
      <c r="V88">
        <f>IF(AND(V$4=1,V38=0),1,0)</f>
        <v/>
      </c>
      <c r="W88">
        <f>IF(AND(W$4=1,W38=0),1,0)</f>
        <v/>
      </c>
      <c r="X88">
        <f>IF(AND(X$4=1,X38=0),1,0)</f>
        <v/>
      </c>
      <c r="Y88">
        <f>IF(AND(Y$4=1,Y38=0),1,0)</f>
        <v/>
      </c>
      <c r="Z88">
        <f>IF(AND(Z$4=1,Z38=0),1,0)</f>
        <v/>
      </c>
      <c r="AA88">
        <f>IF(AND(AA$4=1,AA38=0),1,0)</f>
        <v/>
      </c>
      <c r="AB88">
        <f>IF(AND(AB$4=1,AB38=0),1,0)</f>
        <v/>
      </c>
      <c r="AC88">
        <f>IF(AND(AC$4=1,AC38=0),1,0)</f>
        <v/>
      </c>
      <c r="AD88">
        <f>IF(AND(AD$4=1,AD38=0),1,0)</f>
        <v/>
      </c>
      <c r="AE88">
        <f>IF(AND(AE$4=1,AE38=0),1,0)</f>
        <v/>
      </c>
      <c r="AF88">
        <f>IF(AND(AF$4=1,AF38=0),1,0)</f>
        <v/>
      </c>
      <c r="AG88">
        <f>IF(AND(AG$4=1,AG38=0),1,0)</f>
        <v/>
      </c>
      <c r="AH88">
        <f>IF(AND(AH$4=1,AH38=0),1,0)</f>
        <v/>
      </c>
      <c r="AI88">
        <f>IF(AND(AI$4=1,AI38=0),1,0)</f>
        <v/>
      </c>
      <c r="AJ88">
        <f>IF(AND(AJ$4=1,AJ38=0),1,0)</f>
        <v/>
      </c>
      <c r="AK88">
        <f>IF(AND(AK$4=1,AK38=0),1,0)</f>
        <v/>
      </c>
      <c r="AL88">
        <f>IF(AND(AL$4=1,AL38=0),1,0)</f>
        <v/>
      </c>
      <c r="AM88">
        <f>IF(AND(AM$4=1,AM38=0),1,0)</f>
        <v/>
      </c>
      <c r="AN88">
        <f>IF(AND(AN$4=1,AN38=0),1,0)</f>
        <v/>
      </c>
      <c r="AO88">
        <f>IF(AND(AO$4=1,AO38=0),1,0)</f>
        <v/>
      </c>
      <c r="AP88">
        <f>IF(AND(AP$4=1,AP38=0),1,0)</f>
        <v/>
      </c>
      <c r="AQ88">
        <f>IF(AND(AQ$4=1,AQ38=0),1,0)</f>
        <v/>
      </c>
      <c r="AR88">
        <f>IF(AND(AR$4=1,AR38=0),1,0)</f>
        <v/>
      </c>
      <c r="AS88">
        <f>IF(AND(AS$4=1,AS38=0),1,0)</f>
        <v/>
      </c>
      <c r="AT88">
        <f>IF(AND(AT$4=1,AT38=0),1,0)</f>
        <v/>
      </c>
      <c r="AU88">
        <f>IF(AND(AU$4=1,AU38=0),1,0)</f>
        <v/>
      </c>
      <c r="AV88">
        <f>IF(AND(AV$4=1,AV38=0),1,0)</f>
        <v/>
      </c>
      <c r="AW88">
        <f>IF(AND(AW$4=1,AW38=0),1,0)</f>
        <v/>
      </c>
      <c r="AX88">
        <f>IF(AND(AX$4=1,AX38=0),1,0)</f>
        <v/>
      </c>
      <c r="AY88">
        <f>IF(AND(AY$4=1,AY38=0),1,0)</f>
        <v/>
      </c>
      <c r="AZ88">
        <f>IF(AND(AZ$4=1,AZ38=0),1,0)</f>
        <v/>
      </c>
      <c r="BA88">
        <f>IF(AND(BA$4=1,BA38=0),1,0)</f>
        <v/>
      </c>
      <c r="BB88">
        <f>IF(AND(BB$4=1,BB38=0),1,0)</f>
        <v/>
      </c>
      <c r="BC88">
        <f>IF(AND(BC$4=1,BC38=0),1,0)</f>
        <v/>
      </c>
      <c r="BD88">
        <f>IF(AND(BD$4=1,BD38=0),1,0)</f>
        <v/>
      </c>
      <c r="BE88">
        <f>IF(AND(BE$4=1,BE38=0),1,0)</f>
        <v/>
      </c>
      <c r="BF88">
        <f>IF(AND(BF$4=1,BF38=0),1,0)</f>
        <v/>
      </c>
      <c r="BG88">
        <f>IF(AND(BG$4=1,BG38=0),1,0)</f>
        <v/>
      </c>
      <c r="BH88">
        <f>IF(AND(BH$4=1,BH38=0),1,0)</f>
        <v/>
      </c>
      <c r="BI88">
        <f>IF(AND(BI$4=1,BI38=0),1,0)</f>
        <v/>
      </c>
      <c r="BJ88">
        <f>IF(AND(BJ$4=1,BJ38=0),1,0)</f>
        <v/>
      </c>
      <c r="BK88">
        <f>IF(AND(BK$4=1,BK38=0),1,0)</f>
        <v/>
      </c>
      <c r="BL88">
        <f>IF(AND(BL$4=1,BL38=0),1,0)</f>
        <v/>
      </c>
      <c r="BM88">
        <f>IF(AND(BM$4=1,BM38=0),1,0)</f>
        <v/>
      </c>
      <c r="BN88">
        <f>IF(AND(BN$4=1,BN38=0),1,0)</f>
        <v/>
      </c>
      <c r="BO88">
        <f>IF(AND(BO$4=1,BO38=0),1,0)</f>
        <v/>
      </c>
      <c r="BP88">
        <f>IF(AND(BP$4=1,BP38=0),1,0)</f>
        <v/>
      </c>
      <c r="BQ88">
        <f>IF(AND(BQ$4=1,BQ38=0),1,0)</f>
        <v/>
      </c>
      <c r="BR88">
        <f>IF(AND(BR$4=1,BR38=0),1,0)</f>
        <v/>
      </c>
      <c r="BS88">
        <f>IF(AND(BS$4=1,BS38=0),1,0)</f>
        <v/>
      </c>
      <c r="BT88">
        <f>IF(AND(BT$4=1,BT38=0),1,0)</f>
        <v/>
      </c>
      <c r="BU88">
        <f>IF(AND(BU$4=1,BU38=0),1,0)</f>
        <v/>
      </c>
      <c r="BV88">
        <f>IF(AND(BV$4=1,BV38=0),1,0)</f>
        <v/>
      </c>
      <c r="BW88">
        <f>IF(AND(BW$4=1,BW38=0),1,0)</f>
        <v/>
      </c>
      <c r="BX88">
        <f>IF(AND(BX$4=1,BX38=0),1,0)</f>
        <v/>
      </c>
      <c r="BY88">
        <f>IF(AND(BY$4=1,BY38=0),1,0)</f>
        <v/>
      </c>
      <c r="BZ88">
        <f>IF(AND(BZ$4=1,BZ38=0),1,0)</f>
        <v/>
      </c>
      <c r="CA88">
        <f>IF(AND(CA$4=1,CA38=0),1,0)</f>
        <v/>
      </c>
      <c r="CB88">
        <f>IF(AND(CB$4=1,CB38=0),1,0)</f>
        <v/>
      </c>
      <c r="CC88">
        <f>IF(AND(CC$4=1,CC38=0),1,0)</f>
        <v/>
      </c>
      <c r="CD88">
        <f>IF(AND(CD$4=1,CD38=0),1,0)</f>
        <v/>
      </c>
      <c r="CE88">
        <f>IF(AND(CE$4=1,CE38=0),1,0)</f>
        <v/>
      </c>
      <c r="CF88">
        <f>IF(AND(CF$4=1,CF38=0),1,0)</f>
        <v/>
      </c>
      <c r="CG88">
        <f>IF(AND(CG$4=1,CG38=0),1,0)</f>
        <v/>
      </c>
      <c r="CH88">
        <f>IF(AND(CH$4=1,CH38=0),1,0)</f>
        <v/>
      </c>
      <c r="CI88">
        <f>IF(AND(CI$4=1,CI38=0),1,0)</f>
        <v/>
      </c>
      <c r="CJ88">
        <f>IF(AND(CJ$4=1,CJ38=0),1,0)</f>
        <v/>
      </c>
      <c r="CK88">
        <f>IF(AND(CK$4=1,CK38=0),1,0)</f>
        <v/>
      </c>
      <c r="CL88">
        <f>IF(AND(CL$4=1,CL38=0),1,0)</f>
        <v/>
      </c>
      <c r="CM88">
        <f>IF(AND(CM$4=1,CM38=0),1,0)</f>
        <v/>
      </c>
      <c r="CN88">
        <f>IF(AND(CN$4=1,CN38=0),1,0)</f>
        <v/>
      </c>
      <c r="CO88">
        <f>IF(AND(CO$4=1,CO38=0),1,0)</f>
        <v/>
      </c>
      <c r="CP88">
        <f>IF(AND(CP$4=1,CP38=0),1,0)</f>
        <v/>
      </c>
      <c r="CQ88">
        <f>IF(AND(CQ$4=1,CQ38=0),1,0)</f>
        <v/>
      </c>
      <c r="CR88">
        <f>IF(AND(CR$4=1,CR38=0),1,0)</f>
        <v/>
      </c>
      <c r="CS88">
        <f>IF(AND(CS$4=1,CS38=0),1,0)</f>
        <v/>
      </c>
      <c r="CT88">
        <f>IF(AND(CT$4=1,CT38=0),1,0)</f>
        <v/>
      </c>
      <c r="CU88">
        <f>IF(AND(CU$4=1,CU38=0),1,0)</f>
        <v/>
      </c>
      <c r="CV88">
        <f>IF(AND(CV$4=1,CV38=0),1,0)</f>
        <v/>
      </c>
      <c r="CW88">
        <f>IF(AND(CW$4=1,CW38=0),1,0)</f>
        <v/>
      </c>
      <c r="CX88">
        <f>IF(AND(CX$4=1,CX38=0),1,0)</f>
        <v/>
      </c>
      <c r="CY88">
        <f>IF(AND(CY$4=1,CY38=0),1,0)</f>
        <v/>
      </c>
      <c r="CZ88">
        <f>IF(AND(CZ$4=1,CZ38=0),1,0)</f>
        <v/>
      </c>
      <c r="DA88">
        <f>IF(AND(DA$4=1,DA38=0),1,0)</f>
        <v/>
      </c>
      <c r="DB88">
        <f>IF(AND(DB$4=1,DB38=0),1,0)</f>
        <v/>
      </c>
      <c r="DC88">
        <f>IF(AND(DC$4=1,DC38=0),1,0)</f>
        <v/>
      </c>
      <c r="DD88">
        <f>IF(AND(DD$4=1,DD38=0),1,0)</f>
        <v/>
      </c>
      <c r="DE88">
        <f>IF(AND(DE$4=1,DE38=0),1,0)</f>
        <v/>
      </c>
      <c r="DF88">
        <f>IF(AND(DF$4=1,DF38=0),1,0)</f>
        <v/>
      </c>
      <c r="DG88">
        <f>IF(AND(DG$4=1,DG38=0),1,0)</f>
        <v/>
      </c>
      <c r="DH88">
        <f>IF(AND(DH$4=1,DH38=0),1,0)</f>
        <v/>
      </c>
      <c r="DI88">
        <f>IF(AND(DI$4=1,DI38=0),1,0)</f>
        <v/>
      </c>
      <c r="DJ88">
        <f>IF(AND(DJ$4=1,DJ38=0),1,0)</f>
        <v/>
      </c>
      <c r="DK88">
        <f>IF(AND(DK$4=1,DK38=0),1,0)</f>
        <v/>
      </c>
      <c r="DL88">
        <f>IF(AND(DL$4=1,DL38=0),1,0)</f>
        <v/>
      </c>
      <c r="DM88">
        <f>IF(AND(DM$4=1,DM38=0),1,0)</f>
        <v/>
      </c>
      <c r="DN88">
        <f>IF(AND(DN$4=1,DN38=0),1,0)</f>
        <v/>
      </c>
      <c r="DO88">
        <f>IF(AND(DO$4=1,DO38=0),1,0)</f>
        <v/>
      </c>
      <c r="DP88">
        <f>IF(AND(DP$4=1,DP38=0),1,0)</f>
        <v/>
      </c>
      <c r="DQ88">
        <f>IF(AND(DQ$4=1,DQ38=0),1,0)</f>
        <v/>
      </c>
      <c r="DR88">
        <f>IF(AND(DR$4=1,DR38=0),1,0)</f>
        <v/>
      </c>
      <c r="DS88">
        <f>IF(AND(DS$4=1,DS38=0),1,0)</f>
        <v/>
      </c>
      <c r="DT88">
        <f>IF(AND(DT$4=1,DT38=0),1,0)</f>
        <v/>
      </c>
      <c r="DU88">
        <f>IF(AND(DU$4=1,DU38=0),1,0)</f>
        <v/>
      </c>
      <c r="DV88">
        <f>IF(AND(DV$4=1,DV38=0),1,0)</f>
        <v/>
      </c>
      <c r="DW88">
        <f>IF(AND(DW$4=1,DW38=0),1,0)</f>
        <v/>
      </c>
      <c r="DX88">
        <f>IF(AND(DX$4=1,DX38=0),1,0)</f>
        <v/>
      </c>
      <c r="DY88">
        <f>IF(AND(DY$4=1,DY38=0),1,0)</f>
        <v/>
      </c>
      <c r="DZ88">
        <f>IF(AND(DZ$4=1,DZ38=0),1,0)</f>
        <v/>
      </c>
      <c r="EA88">
        <f>IF(AND(EA$4=1,EA38=0),1,0)</f>
        <v/>
      </c>
      <c r="EB88">
        <f>IF(AND(EB$4=1,EB38=0),1,0)</f>
        <v/>
      </c>
      <c r="EC88">
        <f>IF(AND(EC$4=1,EC38=0),1,0)</f>
        <v/>
      </c>
      <c r="ED88">
        <f>IF(AND(ED$4=1,ED38=0),1,0)</f>
        <v/>
      </c>
      <c r="EE88">
        <f>IF(AND(EE$4=1,EE38=0),1,0)</f>
        <v/>
      </c>
      <c r="EF88">
        <f>IF(AND(EF$4=1,EF38=0),1,0)</f>
        <v/>
      </c>
      <c r="EG88">
        <f>IF(AND(EG$4=1,EG38=0),1,0)</f>
        <v/>
      </c>
      <c r="EH88">
        <f>IF(AND(EH$4=1,EH38=0),1,0)</f>
        <v/>
      </c>
      <c r="EI88">
        <f>IF(AND(EI$4=1,EI38=0),1,0)</f>
        <v/>
      </c>
      <c r="EJ88">
        <f>IF(AND(EJ$4=1,EJ38=0),1,0)</f>
        <v/>
      </c>
      <c r="EK88">
        <f>IF(AND(EK$4=1,EK38=0),1,0)</f>
        <v/>
      </c>
      <c r="EL88">
        <f>IF(AND(EL$4=1,EL38=0),1,0)</f>
        <v/>
      </c>
      <c r="EM88">
        <f>IF(AND(EM$4=1,EM38=0),1,0)</f>
        <v/>
      </c>
      <c r="EN88">
        <f>IF(AND(EN$4=1,EN38=0),1,0)</f>
        <v/>
      </c>
      <c r="EO88">
        <f>IF(AND(EO$4=1,EO38=0),1,0)</f>
        <v/>
      </c>
      <c r="EP88">
        <f>IF(AND(EP$4=1,EP38=0),1,0)</f>
        <v/>
      </c>
      <c r="EQ88">
        <f>IF(AND(EQ$4=1,EQ38=0),1,0)</f>
        <v/>
      </c>
    </row>
    <row r="89">
      <c r="A89" t="n">
        <v>30</v>
      </c>
      <c r="D89">
        <f>IF(AND(D$4=1,D39=0),1,0)</f>
        <v/>
      </c>
      <c r="E89">
        <f>IF(AND(E$4=1,E39=0),1,0)</f>
        <v/>
      </c>
      <c r="F89">
        <f>IF(AND(F$4=1,F39=0),1,0)</f>
        <v/>
      </c>
      <c r="G89">
        <f>IF(AND(G$4=1,G39=0),1,0)</f>
        <v/>
      </c>
      <c r="H89">
        <f>IF(AND(H$4=1,H39=0),1,0)</f>
        <v/>
      </c>
      <c r="I89">
        <f>IF(AND(I$4=1,I39=0),1,0)</f>
        <v/>
      </c>
      <c r="J89">
        <f>IF(AND(J$4=1,J39=0),1,0)</f>
        <v/>
      </c>
      <c r="K89">
        <f>IF(AND(K$4=1,K39=0),1,0)</f>
        <v/>
      </c>
      <c r="L89">
        <f>IF(AND(L$4=1,L39=0),1,0)</f>
        <v/>
      </c>
      <c r="M89">
        <f>IF(AND(M$4=1,M39=0),1,0)</f>
        <v/>
      </c>
      <c r="N89">
        <f>IF(AND(N$4=1,N39=0),1,0)</f>
        <v/>
      </c>
      <c r="O89">
        <f>IF(AND(O$4=1,O39=0),1,0)</f>
        <v/>
      </c>
      <c r="P89">
        <f>IF(AND(P$4=1,P39=0),1,0)</f>
        <v/>
      </c>
      <c r="Q89">
        <f>IF(AND(Q$4=1,Q39=0),1,0)</f>
        <v/>
      </c>
      <c r="R89">
        <f>IF(AND(R$4=1,R39=0),1,0)</f>
        <v/>
      </c>
      <c r="S89">
        <f>IF(AND(S$4=1,S39=0),1,0)</f>
        <v/>
      </c>
      <c r="T89">
        <f>IF(AND(T$4=1,T39=0),1,0)</f>
        <v/>
      </c>
      <c r="U89">
        <f>IF(AND(U$4=1,U39=0),1,0)</f>
        <v/>
      </c>
      <c r="V89">
        <f>IF(AND(V$4=1,V39=0),1,0)</f>
        <v/>
      </c>
      <c r="W89">
        <f>IF(AND(W$4=1,W39=0),1,0)</f>
        <v/>
      </c>
      <c r="X89">
        <f>IF(AND(X$4=1,X39=0),1,0)</f>
        <v/>
      </c>
      <c r="Y89">
        <f>IF(AND(Y$4=1,Y39=0),1,0)</f>
        <v/>
      </c>
      <c r="Z89">
        <f>IF(AND(Z$4=1,Z39=0),1,0)</f>
        <v/>
      </c>
      <c r="AA89">
        <f>IF(AND(AA$4=1,AA39=0),1,0)</f>
        <v/>
      </c>
      <c r="AB89">
        <f>IF(AND(AB$4=1,AB39=0),1,0)</f>
        <v/>
      </c>
      <c r="AC89">
        <f>IF(AND(AC$4=1,AC39=0),1,0)</f>
        <v/>
      </c>
      <c r="AD89">
        <f>IF(AND(AD$4=1,AD39=0),1,0)</f>
        <v/>
      </c>
      <c r="AE89">
        <f>IF(AND(AE$4=1,AE39=0),1,0)</f>
        <v/>
      </c>
      <c r="AF89">
        <f>IF(AND(AF$4=1,AF39=0),1,0)</f>
        <v/>
      </c>
      <c r="AG89">
        <f>IF(AND(AG$4=1,AG39=0),1,0)</f>
        <v/>
      </c>
      <c r="AH89">
        <f>IF(AND(AH$4=1,AH39=0),1,0)</f>
        <v/>
      </c>
      <c r="AI89">
        <f>IF(AND(AI$4=1,AI39=0),1,0)</f>
        <v/>
      </c>
      <c r="AJ89">
        <f>IF(AND(AJ$4=1,AJ39=0),1,0)</f>
        <v/>
      </c>
      <c r="AK89">
        <f>IF(AND(AK$4=1,AK39=0),1,0)</f>
        <v/>
      </c>
      <c r="AL89">
        <f>IF(AND(AL$4=1,AL39=0),1,0)</f>
        <v/>
      </c>
      <c r="AM89">
        <f>IF(AND(AM$4=1,AM39=0),1,0)</f>
        <v/>
      </c>
      <c r="AN89">
        <f>IF(AND(AN$4=1,AN39=0),1,0)</f>
        <v/>
      </c>
      <c r="AO89">
        <f>IF(AND(AO$4=1,AO39=0),1,0)</f>
        <v/>
      </c>
      <c r="AP89">
        <f>IF(AND(AP$4=1,AP39=0),1,0)</f>
        <v/>
      </c>
      <c r="AQ89">
        <f>IF(AND(AQ$4=1,AQ39=0),1,0)</f>
        <v/>
      </c>
      <c r="AR89">
        <f>IF(AND(AR$4=1,AR39=0),1,0)</f>
        <v/>
      </c>
      <c r="AS89">
        <f>IF(AND(AS$4=1,AS39=0),1,0)</f>
        <v/>
      </c>
      <c r="AT89">
        <f>IF(AND(AT$4=1,AT39=0),1,0)</f>
        <v/>
      </c>
      <c r="AU89">
        <f>IF(AND(AU$4=1,AU39=0),1,0)</f>
        <v/>
      </c>
      <c r="AV89">
        <f>IF(AND(AV$4=1,AV39=0),1,0)</f>
        <v/>
      </c>
      <c r="AW89">
        <f>IF(AND(AW$4=1,AW39=0),1,0)</f>
        <v/>
      </c>
      <c r="AX89">
        <f>IF(AND(AX$4=1,AX39=0),1,0)</f>
        <v/>
      </c>
      <c r="AY89">
        <f>IF(AND(AY$4=1,AY39=0),1,0)</f>
        <v/>
      </c>
      <c r="AZ89">
        <f>IF(AND(AZ$4=1,AZ39=0),1,0)</f>
        <v/>
      </c>
      <c r="BA89">
        <f>IF(AND(BA$4=1,BA39=0),1,0)</f>
        <v/>
      </c>
      <c r="BB89">
        <f>IF(AND(BB$4=1,BB39=0),1,0)</f>
        <v/>
      </c>
      <c r="BC89">
        <f>IF(AND(BC$4=1,BC39=0),1,0)</f>
        <v/>
      </c>
      <c r="BD89">
        <f>IF(AND(BD$4=1,BD39=0),1,0)</f>
        <v/>
      </c>
      <c r="BE89">
        <f>IF(AND(BE$4=1,BE39=0),1,0)</f>
        <v/>
      </c>
      <c r="BF89">
        <f>IF(AND(BF$4=1,BF39=0),1,0)</f>
        <v/>
      </c>
      <c r="BG89">
        <f>IF(AND(BG$4=1,BG39=0),1,0)</f>
        <v/>
      </c>
      <c r="BH89">
        <f>IF(AND(BH$4=1,BH39=0),1,0)</f>
        <v/>
      </c>
      <c r="BI89">
        <f>IF(AND(BI$4=1,BI39=0),1,0)</f>
        <v/>
      </c>
      <c r="BJ89">
        <f>IF(AND(BJ$4=1,BJ39=0),1,0)</f>
        <v/>
      </c>
      <c r="BK89">
        <f>IF(AND(BK$4=1,BK39=0),1,0)</f>
        <v/>
      </c>
      <c r="BL89">
        <f>IF(AND(BL$4=1,BL39=0),1,0)</f>
        <v/>
      </c>
      <c r="BM89">
        <f>IF(AND(BM$4=1,BM39=0),1,0)</f>
        <v/>
      </c>
      <c r="BN89">
        <f>IF(AND(BN$4=1,BN39=0),1,0)</f>
        <v/>
      </c>
      <c r="BO89">
        <f>IF(AND(BO$4=1,BO39=0),1,0)</f>
        <v/>
      </c>
      <c r="BP89">
        <f>IF(AND(BP$4=1,BP39=0),1,0)</f>
        <v/>
      </c>
      <c r="BQ89">
        <f>IF(AND(BQ$4=1,BQ39=0),1,0)</f>
        <v/>
      </c>
      <c r="BR89">
        <f>IF(AND(BR$4=1,BR39=0),1,0)</f>
        <v/>
      </c>
      <c r="BS89">
        <f>IF(AND(BS$4=1,BS39=0),1,0)</f>
        <v/>
      </c>
      <c r="BT89">
        <f>IF(AND(BT$4=1,BT39=0),1,0)</f>
        <v/>
      </c>
      <c r="BU89">
        <f>IF(AND(BU$4=1,BU39=0),1,0)</f>
        <v/>
      </c>
      <c r="BV89">
        <f>IF(AND(BV$4=1,BV39=0),1,0)</f>
        <v/>
      </c>
      <c r="BW89">
        <f>IF(AND(BW$4=1,BW39=0),1,0)</f>
        <v/>
      </c>
      <c r="BX89">
        <f>IF(AND(BX$4=1,BX39=0),1,0)</f>
        <v/>
      </c>
      <c r="BY89">
        <f>IF(AND(BY$4=1,BY39=0),1,0)</f>
        <v/>
      </c>
      <c r="BZ89">
        <f>IF(AND(BZ$4=1,BZ39=0),1,0)</f>
        <v/>
      </c>
      <c r="CA89">
        <f>IF(AND(CA$4=1,CA39=0),1,0)</f>
        <v/>
      </c>
      <c r="CB89">
        <f>IF(AND(CB$4=1,CB39=0),1,0)</f>
        <v/>
      </c>
      <c r="CC89">
        <f>IF(AND(CC$4=1,CC39=0),1,0)</f>
        <v/>
      </c>
      <c r="CD89">
        <f>IF(AND(CD$4=1,CD39=0),1,0)</f>
        <v/>
      </c>
      <c r="CE89">
        <f>IF(AND(CE$4=1,CE39=0),1,0)</f>
        <v/>
      </c>
      <c r="CF89">
        <f>IF(AND(CF$4=1,CF39=0),1,0)</f>
        <v/>
      </c>
      <c r="CG89">
        <f>IF(AND(CG$4=1,CG39=0),1,0)</f>
        <v/>
      </c>
      <c r="CH89">
        <f>IF(AND(CH$4=1,CH39=0),1,0)</f>
        <v/>
      </c>
      <c r="CI89">
        <f>IF(AND(CI$4=1,CI39=0),1,0)</f>
        <v/>
      </c>
      <c r="CJ89">
        <f>IF(AND(CJ$4=1,CJ39=0),1,0)</f>
        <v/>
      </c>
      <c r="CK89">
        <f>IF(AND(CK$4=1,CK39=0),1,0)</f>
        <v/>
      </c>
      <c r="CL89">
        <f>IF(AND(CL$4=1,CL39=0),1,0)</f>
        <v/>
      </c>
      <c r="CM89">
        <f>IF(AND(CM$4=1,CM39=0),1,0)</f>
        <v/>
      </c>
      <c r="CN89">
        <f>IF(AND(CN$4=1,CN39=0),1,0)</f>
        <v/>
      </c>
      <c r="CO89">
        <f>IF(AND(CO$4=1,CO39=0),1,0)</f>
        <v/>
      </c>
      <c r="CP89">
        <f>IF(AND(CP$4=1,CP39=0),1,0)</f>
        <v/>
      </c>
      <c r="CQ89">
        <f>IF(AND(CQ$4=1,CQ39=0),1,0)</f>
        <v/>
      </c>
      <c r="CR89">
        <f>IF(AND(CR$4=1,CR39=0),1,0)</f>
        <v/>
      </c>
      <c r="CS89">
        <f>IF(AND(CS$4=1,CS39=0),1,0)</f>
        <v/>
      </c>
      <c r="CT89">
        <f>IF(AND(CT$4=1,CT39=0),1,0)</f>
        <v/>
      </c>
      <c r="CU89">
        <f>IF(AND(CU$4=1,CU39=0),1,0)</f>
        <v/>
      </c>
      <c r="CV89">
        <f>IF(AND(CV$4=1,CV39=0),1,0)</f>
        <v/>
      </c>
      <c r="CW89">
        <f>IF(AND(CW$4=1,CW39=0),1,0)</f>
        <v/>
      </c>
      <c r="CX89">
        <f>IF(AND(CX$4=1,CX39=0),1,0)</f>
        <v/>
      </c>
      <c r="CY89">
        <f>IF(AND(CY$4=1,CY39=0),1,0)</f>
        <v/>
      </c>
      <c r="CZ89">
        <f>IF(AND(CZ$4=1,CZ39=0),1,0)</f>
        <v/>
      </c>
      <c r="DA89">
        <f>IF(AND(DA$4=1,DA39=0),1,0)</f>
        <v/>
      </c>
      <c r="DB89">
        <f>IF(AND(DB$4=1,DB39=0),1,0)</f>
        <v/>
      </c>
      <c r="DC89">
        <f>IF(AND(DC$4=1,DC39=0),1,0)</f>
        <v/>
      </c>
      <c r="DD89">
        <f>IF(AND(DD$4=1,DD39=0),1,0)</f>
        <v/>
      </c>
      <c r="DE89">
        <f>IF(AND(DE$4=1,DE39=0),1,0)</f>
        <v/>
      </c>
      <c r="DF89">
        <f>IF(AND(DF$4=1,DF39=0),1,0)</f>
        <v/>
      </c>
      <c r="DG89">
        <f>IF(AND(DG$4=1,DG39=0),1,0)</f>
        <v/>
      </c>
      <c r="DH89">
        <f>IF(AND(DH$4=1,DH39=0),1,0)</f>
        <v/>
      </c>
      <c r="DI89">
        <f>IF(AND(DI$4=1,DI39=0),1,0)</f>
        <v/>
      </c>
      <c r="DJ89">
        <f>IF(AND(DJ$4=1,DJ39=0),1,0)</f>
        <v/>
      </c>
      <c r="DK89">
        <f>IF(AND(DK$4=1,DK39=0),1,0)</f>
        <v/>
      </c>
      <c r="DL89">
        <f>IF(AND(DL$4=1,DL39=0),1,0)</f>
        <v/>
      </c>
      <c r="DM89">
        <f>IF(AND(DM$4=1,DM39=0),1,0)</f>
        <v/>
      </c>
      <c r="DN89">
        <f>IF(AND(DN$4=1,DN39=0),1,0)</f>
        <v/>
      </c>
      <c r="DO89">
        <f>IF(AND(DO$4=1,DO39=0),1,0)</f>
        <v/>
      </c>
      <c r="DP89">
        <f>IF(AND(DP$4=1,DP39=0),1,0)</f>
        <v/>
      </c>
      <c r="DQ89">
        <f>IF(AND(DQ$4=1,DQ39=0),1,0)</f>
        <v/>
      </c>
      <c r="DR89">
        <f>IF(AND(DR$4=1,DR39=0),1,0)</f>
        <v/>
      </c>
      <c r="DS89">
        <f>IF(AND(DS$4=1,DS39=0),1,0)</f>
        <v/>
      </c>
      <c r="DT89">
        <f>IF(AND(DT$4=1,DT39=0),1,0)</f>
        <v/>
      </c>
      <c r="DU89">
        <f>IF(AND(DU$4=1,DU39=0),1,0)</f>
        <v/>
      </c>
      <c r="DV89">
        <f>IF(AND(DV$4=1,DV39=0),1,0)</f>
        <v/>
      </c>
      <c r="DW89">
        <f>IF(AND(DW$4=1,DW39=0),1,0)</f>
        <v/>
      </c>
      <c r="DX89">
        <f>IF(AND(DX$4=1,DX39=0),1,0)</f>
        <v/>
      </c>
      <c r="DY89">
        <f>IF(AND(DY$4=1,DY39=0),1,0)</f>
        <v/>
      </c>
      <c r="DZ89">
        <f>IF(AND(DZ$4=1,DZ39=0),1,0)</f>
        <v/>
      </c>
      <c r="EA89">
        <f>IF(AND(EA$4=1,EA39=0),1,0)</f>
        <v/>
      </c>
      <c r="EB89">
        <f>IF(AND(EB$4=1,EB39=0),1,0)</f>
        <v/>
      </c>
      <c r="EC89">
        <f>IF(AND(EC$4=1,EC39=0),1,0)</f>
        <v/>
      </c>
      <c r="ED89">
        <f>IF(AND(ED$4=1,ED39=0),1,0)</f>
        <v/>
      </c>
      <c r="EE89">
        <f>IF(AND(EE$4=1,EE39=0),1,0)</f>
        <v/>
      </c>
      <c r="EF89">
        <f>IF(AND(EF$4=1,EF39=0),1,0)</f>
        <v/>
      </c>
      <c r="EG89">
        <f>IF(AND(EG$4=1,EG39=0),1,0)</f>
        <v/>
      </c>
      <c r="EH89">
        <f>IF(AND(EH$4=1,EH39=0),1,0)</f>
        <v/>
      </c>
      <c r="EI89">
        <f>IF(AND(EI$4=1,EI39=0),1,0)</f>
        <v/>
      </c>
      <c r="EJ89">
        <f>IF(AND(EJ$4=1,EJ39=0),1,0)</f>
        <v/>
      </c>
      <c r="EK89">
        <f>IF(AND(EK$4=1,EK39=0),1,0)</f>
        <v/>
      </c>
      <c r="EL89">
        <f>IF(AND(EL$4=1,EL39=0),1,0)</f>
        <v/>
      </c>
      <c r="EM89">
        <f>IF(AND(EM$4=1,EM39=0),1,0)</f>
        <v/>
      </c>
      <c r="EN89">
        <f>IF(AND(EN$4=1,EN39=0),1,0)</f>
        <v/>
      </c>
      <c r="EO89">
        <f>IF(AND(EO$4=1,EO39=0),1,0)</f>
        <v/>
      </c>
      <c r="EP89">
        <f>IF(AND(EP$4=1,EP39=0),1,0)</f>
        <v/>
      </c>
      <c r="EQ89">
        <f>IF(AND(EQ$4=1,EQ39=0),1,0)</f>
        <v/>
      </c>
    </row>
    <row r="90">
      <c r="A90" t="n">
        <v>31</v>
      </c>
      <c r="D90">
        <f>IF(AND(D$4=1,D40=0),1,0)</f>
        <v/>
      </c>
      <c r="E90">
        <f>IF(AND(E$4=1,E40=0),1,0)</f>
        <v/>
      </c>
      <c r="F90">
        <f>IF(AND(F$4=1,F40=0),1,0)</f>
        <v/>
      </c>
      <c r="G90">
        <f>IF(AND(G$4=1,G40=0),1,0)</f>
        <v/>
      </c>
      <c r="H90">
        <f>IF(AND(H$4=1,H40=0),1,0)</f>
        <v/>
      </c>
      <c r="I90">
        <f>IF(AND(I$4=1,I40=0),1,0)</f>
        <v/>
      </c>
      <c r="J90">
        <f>IF(AND(J$4=1,J40=0),1,0)</f>
        <v/>
      </c>
      <c r="K90">
        <f>IF(AND(K$4=1,K40=0),1,0)</f>
        <v/>
      </c>
      <c r="L90">
        <f>IF(AND(L$4=1,L40=0),1,0)</f>
        <v/>
      </c>
      <c r="M90">
        <f>IF(AND(M$4=1,M40=0),1,0)</f>
        <v/>
      </c>
      <c r="N90">
        <f>IF(AND(N$4=1,N40=0),1,0)</f>
        <v/>
      </c>
      <c r="O90">
        <f>IF(AND(O$4=1,O40=0),1,0)</f>
        <v/>
      </c>
      <c r="P90">
        <f>IF(AND(P$4=1,P40=0),1,0)</f>
        <v/>
      </c>
      <c r="Q90">
        <f>IF(AND(Q$4=1,Q40=0),1,0)</f>
        <v/>
      </c>
      <c r="R90">
        <f>IF(AND(R$4=1,R40=0),1,0)</f>
        <v/>
      </c>
      <c r="S90">
        <f>IF(AND(S$4=1,S40=0),1,0)</f>
        <v/>
      </c>
      <c r="T90">
        <f>IF(AND(T$4=1,T40=0),1,0)</f>
        <v/>
      </c>
      <c r="U90">
        <f>IF(AND(U$4=1,U40=0),1,0)</f>
        <v/>
      </c>
      <c r="V90">
        <f>IF(AND(V$4=1,V40=0),1,0)</f>
        <v/>
      </c>
      <c r="W90">
        <f>IF(AND(W$4=1,W40=0),1,0)</f>
        <v/>
      </c>
      <c r="X90">
        <f>IF(AND(X$4=1,X40=0),1,0)</f>
        <v/>
      </c>
      <c r="Y90">
        <f>IF(AND(Y$4=1,Y40=0),1,0)</f>
        <v/>
      </c>
      <c r="Z90">
        <f>IF(AND(Z$4=1,Z40=0),1,0)</f>
        <v/>
      </c>
      <c r="AA90">
        <f>IF(AND(AA$4=1,AA40=0),1,0)</f>
        <v/>
      </c>
      <c r="AB90">
        <f>IF(AND(AB$4=1,AB40=0),1,0)</f>
        <v/>
      </c>
      <c r="AC90">
        <f>IF(AND(AC$4=1,AC40=0),1,0)</f>
        <v/>
      </c>
      <c r="AD90">
        <f>IF(AND(AD$4=1,AD40=0),1,0)</f>
        <v/>
      </c>
      <c r="AE90">
        <f>IF(AND(AE$4=1,AE40=0),1,0)</f>
        <v/>
      </c>
      <c r="AF90">
        <f>IF(AND(AF$4=1,AF40=0),1,0)</f>
        <v/>
      </c>
      <c r="AG90">
        <f>IF(AND(AG$4=1,AG40=0),1,0)</f>
        <v/>
      </c>
      <c r="AH90">
        <f>IF(AND(AH$4=1,AH40=0),1,0)</f>
        <v/>
      </c>
      <c r="AI90">
        <f>IF(AND(AI$4=1,AI40=0),1,0)</f>
        <v/>
      </c>
      <c r="AJ90">
        <f>IF(AND(AJ$4=1,AJ40=0),1,0)</f>
        <v/>
      </c>
      <c r="AK90">
        <f>IF(AND(AK$4=1,AK40=0),1,0)</f>
        <v/>
      </c>
      <c r="AL90">
        <f>IF(AND(AL$4=1,AL40=0),1,0)</f>
        <v/>
      </c>
      <c r="AM90">
        <f>IF(AND(AM$4=1,AM40=0),1,0)</f>
        <v/>
      </c>
      <c r="AN90">
        <f>IF(AND(AN$4=1,AN40=0),1,0)</f>
        <v/>
      </c>
      <c r="AO90">
        <f>IF(AND(AO$4=1,AO40=0),1,0)</f>
        <v/>
      </c>
      <c r="AP90">
        <f>IF(AND(AP$4=1,AP40=0),1,0)</f>
        <v/>
      </c>
      <c r="AQ90">
        <f>IF(AND(AQ$4=1,AQ40=0),1,0)</f>
        <v/>
      </c>
      <c r="AR90">
        <f>IF(AND(AR$4=1,AR40=0),1,0)</f>
        <v/>
      </c>
      <c r="AS90">
        <f>IF(AND(AS$4=1,AS40=0),1,0)</f>
        <v/>
      </c>
      <c r="AT90">
        <f>IF(AND(AT$4=1,AT40=0),1,0)</f>
        <v/>
      </c>
      <c r="AU90">
        <f>IF(AND(AU$4=1,AU40=0),1,0)</f>
        <v/>
      </c>
      <c r="AV90">
        <f>IF(AND(AV$4=1,AV40=0),1,0)</f>
        <v/>
      </c>
      <c r="AW90">
        <f>IF(AND(AW$4=1,AW40=0),1,0)</f>
        <v/>
      </c>
      <c r="AX90">
        <f>IF(AND(AX$4=1,AX40=0),1,0)</f>
        <v/>
      </c>
      <c r="AY90">
        <f>IF(AND(AY$4=1,AY40=0),1,0)</f>
        <v/>
      </c>
      <c r="AZ90">
        <f>IF(AND(AZ$4=1,AZ40=0),1,0)</f>
        <v/>
      </c>
      <c r="BA90">
        <f>IF(AND(BA$4=1,BA40=0),1,0)</f>
        <v/>
      </c>
      <c r="BB90">
        <f>IF(AND(BB$4=1,BB40=0),1,0)</f>
        <v/>
      </c>
      <c r="BC90">
        <f>IF(AND(BC$4=1,BC40=0),1,0)</f>
        <v/>
      </c>
      <c r="BD90">
        <f>IF(AND(BD$4=1,BD40=0),1,0)</f>
        <v/>
      </c>
      <c r="BE90">
        <f>IF(AND(BE$4=1,BE40=0),1,0)</f>
        <v/>
      </c>
      <c r="BF90">
        <f>IF(AND(BF$4=1,BF40=0),1,0)</f>
        <v/>
      </c>
      <c r="BG90">
        <f>IF(AND(BG$4=1,BG40=0),1,0)</f>
        <v/>
      </c>
      <c r="BH90">
        <f>IF(AND(BH$4=1,BH40=0),1,0)</f>
        <v/>
      </c>
      <c r="BI90">
        <f>IF(AND(BI$4=1,BI40=0),1,0)</f>
        <v/>
      </c>
      <c r="BJ90">
        <f>IF(AND(BJ$4=1,BJ40=0),1,0)</f>
        <v/>
      </c>
      <c r="BK90">
        <f>IF(AND(BK$4=1,BK40=0),1,0)</f>
        <v/>
      </c>
      <c r="BL90">
        <f>IF(AND(BL$4=1,BL40=0),1,0)</f>
        <v/>
      </c>
      <c r="BM90">
        <f>IF(AND(BM$4=1,BM40=0),1,0)</f>
        <v/>
      </c>
      <c r="BN90">
        <f>IF(AND(BN$4=1,BN40=0),1,0)</f>
        <v/>
      </c>
      <c r="BO90">
        <f>IF(AND(BO$4=1,BO40=0),1,0)</f>
        <v/>
      </c>
      <c r="BP90">
        <f>IF(AND(BP$4=1,BP40=0),1,0)</f>
        <v/>
      </c>
      <c r="BQ90">
        <f>IF(AND(BQ$4=1,BQ40=0),1,0)</f>
        <v/>
      </c>
      <c r="BR90">
        <f>IF(AND(BR$4=1,BR40=0),1,0)</f>
        <v/>
      </c>
      <c r="BS90">
        <f>IF(AND(BS$4=1,BS40=0),1,0)</f>
        <v/>
      </c>
      <c r="BT90">
        <f>IF(AND(BT$4=1,BT40=0),1,0)</f>
        <v/>
      </c>
      <c r="BU90">
        <f>IF(AND(BU$4=1,BU40=0),1,0)</f>
        <v/>
      </c>
      <c r="BV90">
        <f>IF(AND(BV$4=1,BV40=0),1,0)</f>
        <v/>
      </c>
      <c r="BW90">
        <f>IF(AND(BW$4=1,BW40=0),1,0)</f>
        <v/>
      </c>
      <c r="BX90">
        <f>IF(AND(BX$4=1,BX40=0),1,0)</f>
        <v/>
      </c>
      <c r="BY90">
        <f>IF(AND(BY$4=1,BY40=0),1,0)</f>
        <v/>
      </c>
      <c r="BZ90">
        <f>IF(AND(BZ$4=1,BZ40=0),1,0)</f>
        <v/>
      </c>
      <c r="CA90">
        <f>IF(AND(CA$4=1,CA40=0),1,0)</f>
        <v/>
      </c>
      <c r="CB90">
        <f>IF(AND(CB$4=1,CB40=0),1,0)</f>
        <v/>
      </c>
      <c r="CC90">
        <f>IF(AND(CC$4=1,CC40=0),1,0)</f>
        <v/>
      </c>
      <c r="CD90">
        <f>IF(AND(CD$4=1,CD40=0),1,0)</f>
        <v/>
      </c>
      <c r="CE90">
        <f>IF(AND(CE$4=1,CE40=0),1,0)</f>
        <v/>
      </c>
      <c r="CF90">
        <f>IF(AND(CF$4=1,CF40=0),1,0)</f>
        <v/>
      </c>
      <c r="CG90">
        <f>IF(AND(CG$4=1,CG40=0),1,0)</f>
        <v/>
      </c>
      <c r="CH90">
        <f>IF(AND(CH$4=1,CH40=0),1,0)</f>
        <v/>
      </c>
      <c r="CI90">
        <f>IF(AND(CI$4=1,CI40=0),1,0)</f>
        <v/>
      </c>
      <c r="CJ90">
        <f>IF(AND(CJ$4=1,CJ40=0),1,0)</f>
        <v/>
      </c>
      <c r="CK90">
        <f>IF(AND(CK$4=1,CK40=0),1,0)</f>
        <v/>
      </c>
      <c r="CL90">
        <f>IF(AND(CL$4=1,CL40=0),1,0)</f>
        <v/>
      </c>
      <c r="CM90">
        <f>IF(AND(CM$4=1,CM40=0),1,0)</f>
        <v/>
      </c>
      <c r="CN90">
        <f>IF(AND(CN$4=1,CN40=0),1,0)</f>
        <v/>
      </c>
      <c r="CO90">
        <f>IF(AND(CO$4=1,CO40=0),1,0)</f>
        <v/>
      </c>
      <c r="CP90">
        <f>IF(AND(CP$4=1,CP40=0),1,0)</f>
        <v/>
      </c>
      <c r="CQ90">
        <f>IF(AND(CQ$4=1,CQ40=0),1,0)</f>
        <v/>
      </c>
      <c r="CR90">
        <f>IF(AND(CR$4=1,CR40=0),1,0)</f>
        <v/>
      </c>
      <c r="CS90">
        <f>IF(AND(CS$4=1,CS40=0),1,0)</f>
        <v/>
      </c>
      <c r="CT90">
        <f>IF(AND(CT$4=1,CT40=0),1,0)</f>
        <v/>
      </c>
      <c r="CU90">
        <f>IF(AND(CU$4=1,CU40=0),1,0)</f>
        <v/>
      </c>
      <c r="CV90">
        <f>IF(AND(CV$4=1,CV40=0),1,0)</f>
        <v/>
      </c>
      <c r="CW90">
        <f>IF(AND(CW$4=1,CW40=0),1,0)</f>
        <v/>
      </c>
      <c r="CX90">
        <f>IF(AND(CX$4=1,CX40=0),1,0)</f>
        <v/>
      </c>
      <c r="CY90">
        <f>IF(AND(CY$4=1,CY40=0),1,0)</f>
        <v/>
      </c>
      <c r="CZ90">
        <f>IF(AND(CZ$4=1,CZ40=0),1,0)</f>
        <v/>
      </c>
      <c r="DA90">
        <f>IF(AND(DA$4=1,DA40=0),1,0)</f>
        <v/>
      </c>
      <c r="DB90">
        <f>IF(AND(DB$4=1,DB40=0),1,0)</f>
        <v/>
      </c>
      <c r="DC90">
        <f>IF(AND(DC$4=1,DC40=0),1,0)</f>
        <v/>
      </c>
      <c r="DD90">
        <f>IF(AND(DD$4=1,DD40=0),1,0)</f>
        <v/>
      </c>
      <c r="DE90">
        <f>IF(AND(DE$4=1,DE40=0),1,0)</f>
        <v/>
      </c>
      <c r="DF90">
        <f>IF(AND(DF$4=1,DF40=0),1,0)</f>
        <v/>
      </c>
      <c r="DG90">
        <f>IF(AND(DG$4=1,DG40=0),1,0)</f>
        <v/>
      </c>
      <c r="DH90">
        <f>IF(AND(DH$4=1,DH40=0),1,0)</f>
        <v/>
      </c>
      <c r="DI90">
        <f>IF(AND(DI$4=1,DI40=0),1,0)</f>
        <v/>
      </c>
      <c r="DJ90">
        <f>IF(AND(DJ$4=1,DJ40=0),1,0)</f>
        <v/>
      </c>
      <c r="DK90">
        <f>IF(AND(DK$4=1,DK40=0),1,0)</f>
        <v/>
      </c>
      <c r="DL90">
        <f>IF(AND(DL$4=1,DL40=0),1,0)</f>
        <v/>
      </c>
      <c r="DM90">
        <f>IF(AND(DM$4=1,DM40=0),1,0)</f>
        <v/>
      </c>
      <c r="DN90">
        <f>IF(AND(DN$4=1,DN40=0),1,0)</f>
        <v/>
      </c>
      <c r="DO90">
        <f>IF(AND(DO$4=1,DO40=0),1,0)</f>
        <v/>
      </c>
      <c r="DP90">
        <f>IF(AND(DP$4=1,DP40=0),1,0)</f>
        <v/>
      </c>
      <c r="DQ90">
        <f>IF(AND(DQ$4=1,DQ40=0),1,0)</f>
        <v/>
      </c>
      <c r="DR90">
        <f>IF(AND(DR$4=1,DR40=0),1,0)</f>
        <v/>
      </c>
      <c r="DS90">
        <f>IF(AND(DS$4=1,DS40=0),1,0)</f>
        <v/>
      </c>
      <c r="DT90">
        <f>IF(AND(DT$4=1,DT40=0),1,0)</f>
        <v/>
      </c>
      <c r="DU90">
        <f>IF(AND(DU$4=1,DU40=0),1,0)</f>
        <v/>
      </c>
      <c r="DV90">
        <f>IF(AND(DV$4=1,DV40=0),1,0)</f>
        <v/>
      </c>
      <c r="DW90">
        <f>IF(AND(DW$4=1,DW40=0),1,0)</f>
        <v/>
      </c>
      <c r="DX90">
        <f>IF(AND(DX$4=1,DX40=0),1,0)</f>
        <v/>
      </c>
      <c r="DY90">
        <f>IF(AND(DY$4=1,DY40=0),1,0)</f>
        <v/>
      </c>
      <c r="DZ90">
        <f>IF(AND(DZ$4=1,DZ40=0),1,0)</f>
        <v/>
      </c>
      <c r="EA90">
        <f>IF(AND(EA$4=1,EA40=0),1,0)</f>
        <v/>
      </c>
      <c r="EB90">
        <f>IF(AND(EB$4=1,EB40=0),1,0)</f>
        <v/>
      </c>
      <c r="EC90">
        <f>IF(AND(EC$4=1,EC40=0),1,0)</f>
        <v/>
      </c>
      <c r="ED90">
        <f>IF(AND(ED$4=1,ED40=0),1,0)</f>
        <v/>
      </c>
      <c r="EE90">
        <f>IF(AND(EE$4=1,EE40=0),1,0)</f>
        <v/>
      </c>
      <c r="EF90">
        <f>IF(AND(EF$4=1,EF40=0),1,0)</f>
        <v/>
      </c>
      <c r="EG90">
        <f>IF(AND(EG$4=1,EG40=0),1,0)</f>
        <v/>
      </c>
      <c r="EH90">
        <f>IF(AND(EH$4=1,EH40=0),1,0)</f>
        <v/>
      </c>
      <c r="EI90">
        <f>IF(AND(EI$4=1,EI40=0),1,0)</f>
        <v/>
      </c>
      <c r="EJ90">
        <f>IF(AND(EJ$4=1,EJ40=0),1,0)</f>
        <v/>
      </c>
      <c r="EK90">
        <f>IF(AND(EK$4=1,EK40=0),1,0)</f>
        <v/>
      </c>
      <c r="EL90">
        <f>IF(AND(EL$4=1,EL40=0),1,0)</f>
        <v/>
      </c>
      <c r="EM90">
        <f>IF(AND(EM$4=1,EM40=0),1,0)</f>
        <v/>
      </c>
      <c r="EN90">
        <f>IF(AND(EN$4=1,EN40=0),1,0)</f>
        <v/>
      </c>
      <c r="EO90">
        <f>IF(AND(EO$4=1,EO40=0),1,0)</f>
        <v/>
      </c>
      <c r="EP90">
        <f>IF(AND(EP$4=1,EP40=0),1,0)</f>
        <v/>
      </c>
      <c r="EQ90">
        <f>IF(AND(EQ$4=1,EQ40=0),1,0)</f>
        <v/>
      </c>
    </row>
    <row r="91">
      <c r="A91" t="n">
        <v>32</v>
      </c>
      <c r="D91">
        <f>IF(AND(D$4=1,D41=0),1,0)</f>
        <v/>
      </c>
      <c r="E91">
        <f>IF(AND(E$4=1,E41=0),1,0)</f>
        <v/>
      </c>
      <c r="F91">
        <f>IF(AND(F$4=1,F41=0),1,0)</f>
        <v/>
      </c>
      <c r="G91">
        <f>IF(AND(G$4=1,G41=0),1,0)</f>
        <v/>
      </c>
      <c r="H91">
        <f>IF(AND(H$4=1,H41=0),1,0)</f>
        <v/>
      </c>
      <c r="I91">
        <f>IF(AND(I$4=1,I41=0),1,0)</f>
        <v/>
      </c>
      <c r="J91">
        <f>IF(AND(J$4=1,J41=0),1,0)</f>
        <v/>
      </c>
      <c r="K91">
        <f>IF(AND(K$4=1,K41=0),1,0)</f>
        <v/>
      </c>
      <c r="L91">
        <f>IF(AND(L$4=1,L41=0),1,0)</f>
        <v/>
      </c>
      <c r="M91">
        <f>IF(AND(M$4=1,M41=0),1,0)</f>
        <v/>
      </c>
      <c r="N91">
        <f>IF(AND(N$4=1,N41=0),1,0)</f>
        <v/>
      </c>
      <c r="O91">
        <f>IF(AND(O$4=1,O41=0),1,0)</f>
        <v/>
      </c>
      <c r="P91">
        <f>IF(AND(P$4=1,P41=0),1,0)</f>
        <v/>
      </c>
      <c r="Q91">
        <f>IF(AND(Q$4=1,Q41=0),1,0)</f>
        <v/>
      </c>
      <c r="R91">
        <f>IF(AND(R$4=1,R41=0),1,0)</f>
        <v/>
      </c>
      <c r="S91">
        <f>IF(AND(S$4=1,S41=0),1,0)</f>
        <v/>
      </c>
      <c r="T91">
        <f>IF(AND(T$4=1,T41=0),1,0)</f>
        <v/>
      </c>
      <c r="U91">
        <f>IF(AND(U$4=1,U41=0),1,0)</f>
        <v/>
      </c>
      <c r="V91">
        <f>IF(AND(V$4=1,V41=0),1,0)</f>
        <v/>
      </c>
      <c r="W91">
        <f>IF(AND(W$4=1,W41=0),1,0)</f>
        <v/>
      </c>
      <c r="X91">
        <f>IF(AND(X$4=1,X41=0),1,0)</f>
        <v/>
      </c>
      <c r="Y91">
        <f>IF(AND(Y$4=1,Y41=0),1,0)</f>
        <v/>
      </c>
      <c r="Z91">
        <f>IF(AND(Z$4=1,Z41=0),1,0)</f>
        <v/>
      </c>
      <c r="AA91">
        <f>IF(AND(AA$4=1,AA41=0),1,0)</f>
        <v/>
      </c>
      <c r="AB91">
        <f>IF(AND(AB$4=1,AB41=0),1,0)</f>
        <v/>
      </c>
      <c r="AC91">
        <f>IF(AND(AC$4=1,AC41=0),1,0)</f>
        <v/>
      </c>
      <c r="AD91">
        <f>IF(AND(AD$4=1,AD41=0),1,0)</f>
        <v/>
      </c>
      <c r="AE91">
        <f>IF(AND(AE$4=1,AE41=0),1,0)</f>
        <v/>
      </c>
      <c r="AF91">
        <f>IF(AND(AF$4=1,AF41=0),1,0)</f>
        <v/>
      </c>
      <c r="AG91">
        <f>IF(AND(AG$4=1,AG41=0),1,0)</f>
        <v/>
      </c>
      <c r="AH91">
        <f>IF(AND(AH$4=1,AH41=0),1,0)</f>
        <v/>
      </c>
      <c r="AI91">
        <f>IF(AND(AI$4=1,AI41=0),1,0)</f>
        <v/>
      </c>
      <c r="AJ91">
        <f>IF(AND(AJ$4=1,AJ41=0),1,0)</f>
        <v/>
      </c>
      <c r="AK91">
        <f>IF(AND(AK$4=1,AK41=0),1,0)</f>
        <v/>
      </c>
      <c r="AL91">
        <f>IF(AND(AL$4=1,AL41=0),1,0)</f>
        <v/>
      </c>
      <c r="AM91">
        <f>IF(AND(AM$4=1,AM41=0),1,0)</f>
        <v/>
      </c>
      <c r="AN91">
        <f>IF(AND(AN$4=1,AN41=0),1,0)</f>
        <v/>
      </c>
      <c r="AO91">
        <f>IF(AND(AO$4=1,AO41=0),1,0)</f>
        <v/>
      </c>
      <c r="AP91">
        <f>IF(AND(AP$4=1,AP41=0),1,0)</f>
        <v/>
      </c>
      <c r="AQ91">
        <f>IF(AND(AQ$4=1,AQ41=0),1,0)</f>
        <v/>
      </c>
      <c r="AR91">
        <f>IF(AND(AR$4=1,AR41=0),1,0)</f>
        <v/>
      </c>
      <c r="AS91">
        <f>IF(AND(AS$4=1,AS41=0),1,0)</f>
        <v/>
      </c>
      <c r="AT91">
        <f>IF(AND(AT$4=1,AT41=0),1,0)</f>
        <v/>
      </c>
      <c r="AU91">
        <f>IF(AND(AU$4=1,AU41=0),1,0)</f>
        <v/>
      </c>
      <c r="AV91">
        <f>IF(AND(AV$4=1,AV41=0),1,0)</f>
        <v/>
      </c>
      <c r="AW91">
        <f>IF(AND(AW$4=1,AW41=0),1,0)</f>
        <v/>
      </c>
      <c r="AX91">
        <f>IF(AND(AX$4=1,AX41=0),1,0)</f>
        <v/>
      </c>
      <c r="AY91">
        <f>IF(AND(AY$4=1,AY41=0),1,0)</f>
        <v/>
      </c>
      <c r="AZ91">
        <f>IF(AND(AZ$4=1,AZ41=0),1,0)</f>
        <v/>
      </c>
      <c r="BA91">
        <f>IF(AND(BA$4=1,BA41=0),1,0)</f>
        <v/>
      </c>
      <c r="BB91">
        <f>IF(AND(BB$4=1,BB41=0),1,0)</f>
        <v/>
      </c>
      <c r="BC91">
        <f>IF(AND(BC$4=1,BC41=0),1,0)</f>
        <v/>
      </c>
      <c r="BD91">
        <f>IF(AND(BD$4=1,BD41=0),1,0)</f>
        <v/>
      </c>
      <c r="BE91">
        <f>IF(AND(BE$4=1,BE41=0),1,0)</f>
        <v/>
      </c>
      <c r="BF91">
        <f>IF(AND(BF$4=1,BF41=0),1,0)</f>
        <v/>
      </c>
      <c r="BG91">
        <f>IF(AND(BG$4=1,BG41=0),1,0)</f>
        <v/>
      </c>
      <c r="BH91">
        <f>IF(AND(BH$4=1,BH41=0),1,0)</f>
        <v/>
      </c>
      <c r="BI91">
        <f>IF(AND(BI$4=1,BI41=0),1,0)</f>
        <v/>
      </c>
      <c r="BJ91">
        <f>IF(AND(BJ$4=1,BJ41=0),1,0)</f>
        <v/>
      </c>
      <c r="BK91">
        <f>IF(AND(BK$4=1,BK41=0),1,0)</f>
        <v/>
      </c>
      <c r="BL91">
        <f>IF(AND(BL$4=1,BL41=0),1,0)</f>
        <v/>
      </c>
      <c r="BM91">
        <f>IF(AND(BM$4=1,BM41=0),1,0)</f>
        <v/>
      </c>
      <c r="BN91">
        <f>IF(AND(BN$4=1,BN41=0),1,0)</f>
        <v/>
      </c>
      <c r="BO91">
        <f>IF(AND(BO$4=1,BO41=0),1,0)</f>
        <v/>
      </c>
      <c r="BP91">
        <f>IF(AND(BP$4=1,BP41=0),1,0)</f>
        <v/>
      </c>
      <c r="BQ91">
        <f>IF(AND(BQ$4=1,BQ41=0),1,0)</f>
        <v/>
      </c>
      <c r="BR91">
        <f>IF(AND(BR$4=1,BR41=0),1,0)</f>
        <v/>
      </c>
      <c r="BS91">
        <f>IF(AND(BS$4=1,BS41=0),1,0)</f>
        <v/>
      </c>
      <c r="BT91">
        <f>IF(AND(BT$4=1,BT41=0),1,0)</f>
        <v/>
      </c>
      <c r="BU91">
        <f>IF(AND(BU$4=1,BU41=0),1,0)</f>
        <v/>
      </c>
      <c r="BV91">
        <f>IF(AND(BV$4=1,BV41=0),1,0)</f>
        <v/>
      </c>
      <c r="BW91">
        <f>IF(AND(BW$4=1,BW41=0),1,0)</f>
        <v/>
      </c>
      <c r="BX91">
        <f>IF(AND(BX$4=1,BX41=0),1,0)</f>
        <v/>
      </c>
      <c r="BY91">
        <f>IF(AND(BY$4=1,BY41=0),1,0)</f>
        <v/>
      </c>
      <c r="BZ91">
        <f>IF(AND(BZ$4=1,BZ41=0),1,0)</f>
        <v/>
      </c>
      <c r="CA91">
        <f>IF(AND(CA$4=1,CA41=0),1,0)</f>
        <v/>
      </c>
      <c r="CB91">
        <f>IF(AND(CB$4=1,CB41=0),1,0)</f>
        <v/>
      </c>
      <c r="CC91">
        <f>IF(AND(CC$4=1,CC41=0),1,0)</f>
        <v/>
      </c>
      <c r="CD91">
        <f>IF(AND(CD$4=1,CD41=0),1,0)</f>
        <v/>
      </c>
      <c r="CE91">
        <f>IF(AND(CE$4=1,CE41=0),1,0)</f>
        <v/>
      </c>
      <c r="CF91">
        <f>IF(AND(CF$4=1,CF41=0),1,0)</f>
        <v/>
      </c>
      <c r="CG91">
        <f>IF(AND(CG$4=1,CG41=0),1,0)</f>
        <v/>
      </c>
      <c r="CH91">
        <f>IF(AND(CH$4=1,CH41=0),1,0)</f>
        <v/>
      </c>
      <c r="CI91">
        <f>IF(AND(CI$4=1,CI41=0),1,0)</f>
        <v/>
      </c>
      <c r="CJ91">
        <f>IF(AND(CJ$4=1,CJ41=0),1,0)</f>
        <v/>
      </c>
      <c r="CK91">
        <f>IF(AND(CK$4=1,CK41=0),1,0)</f>
        <v/>
      </c>
      <c r="CL91">
        <f>IF(AND(CL$4=1,CL41=0),1,0)</f>
        <v/>
      </c>
      <c r="CM91">
        <f>IF(AND(CM$4=1,CM41=0),1,0)</f>
        <v/>
      </c>
      <c r="CN91">
        <f>IF(AND(CN$4=1,CN41=0),1,0)</f>
        <v/>
      </c>
      <c r="CO91">
        <f>IF(AND(CO$4=1,CO41=0),1,0)</f>
        <v/>
      </c>
      <c r="CP91">
        <f>IF(AND(CP$4=1,CP41=0),1,0)</f>
        <v/>
      </c>
      <c r="CQ91">
        <f>IF(AND(CQ$4=1,CQ41=0),1,0)</f>
        <v/>
      </c>
      <c r="CR91">
        <f>IF(AND(CR$4=1,CR41=0),1,0)</f>
        <v/>
      </c>
      <c r="CS91">
        <f>IF(AND(CS$4=1,CS41=0),1,0)</f>
        <v/>
      </c>
      <c r="CT91">
        <f>IF(AND(CT$4=1,CT41=0),1,0)</f>
        <v/>
      </c>
      <c r="CU91">
        <f>IF(AND(CU$4=1,CU41=0),1,0)</f>
        <v/>
      </c>
      <c r="CV91">
        <f>IF(AND(CV$4=1,CV41=0),1,0)</f>
        <v/>
      </c>
      <c r="CW91">
        <f>IF(AND(CW$4=1,CW41=0),1,0)</f>
        <v/>
      </c>
      <c r="CX91">
        <f>IF(AND(CX$4=1,CX41=0),1,0)</f>
        <v/>
      </c>
      <c r="CY91">
        <f>IF(AND(CY$4=1,CY41=0),1,0)</f>
        <v/>
      </c>
      <c r="CZ91">
        <f>IF(AND(CZ$4=1,CZ41=0),1,0)</f>
        <v/>
      </c>
      <c r="DA91">
        <f>IF(AND(DA$4=1,DA41=0),1,0)</f>
        <v/>
      </c>
      <c r="DB91">
        <f>IF(AND(DB$4=1,DB41=0),1,0)</f>
        <v/>
      </c>
      <c r="DC91">
        <f>IF(AND(DC$4=1,DC41=0),1,0)</f>
        <v/>
      </c>
      <c r="DD91">
        <f>IF(AND(DD$4=1,DD41=0),1,0)</f>
        <v/>
      </c>
      <c r="DE91">
        <f>IF(AND(DE$4=1,DE41=0),1,0)</f>
        <v/>
      </c>
      <c r="DF91">
        <f>IF(AND(DF$4=1,DF41=0),1,0)</f>
        <v/>
      </c>
      <c r="DG91">
        <f>IF(AND(DG$4=1,DG41=0),1,0)</f>
        <v/>
      </c>
      <c r="DH91">
        <f>IF(AND(DH$4=1,DH41=0),1,0)</f>
        <v/>
      </c>
      <c r="DI91">
        <f>IF(AND(DI$4=1,DI41=0),1,0)</f>
        <v/>
      </c>
      <c r="DJ91">
        <f>IF(AND(DJ$4=1,DJ41=0),1,0)</f>
        <v/>
      </c>
      <c r="DK91">
        <f>IF(AND(DK$4=1,DK41=0),1,0)</f>
        <v/>
      </c>
      <c r="DL91">
        <f>IF(AND(DL$4=1,DL41=0),1,0)</f>
        <v/>
      </c>
      <c r="DM91">
        <f>IF(AND(DM$4=1,DM41=0),1,0)</f>
        <v/>
      </c>
      <c r="DN91">
        <f>IF(AND(DN$4=1,DN41=0),1,0)</f>
        <v/>
      </c>
      <c r="DO91">
        <f>IF(AND(DO$4=1,DO41=0),1,0)</f>
        <v/>
      </c>
      <c r="DP91">
        <f>IF(AND(DP$4=1,DP41=0),1,0)</f>
        <v/>
      </c>
      <c r="DQ91">
        <f>IF(AND(DQ$4=1,DQ41=0),1,0)</f>
        <v/>
      </c>
      <c r="DR91">
        <f>IF(AND(DR$4=1,DR41=0),1,0)</f>
        <v/>
      </c>
      <c r="DS91">
        <f>IF(AND(DS$4=1,DS41=0),1,0)</f>
        <v/>
      </c>
      <c r="DT91">
        <f>IF(AND(DT$4=1,DT41=0),1,0)</f>
        <v/>
      </c>
      <c r="DU91">
        <f>IF(AND(DU$4=1,DU41=0),1,0)</f>
        <v/>
      </c>
      <c r="DV91">
        <f>IF(AND(DV$4=1,DV41=0),1,0)</f>
        <v/>
      </c>
      <c r="DW91">
        <f>IF(AND(DW$4=1,DW41=0),1,0)</f>
        <v/>
      </c>
      <c r="DX91">
        <f>IF(AND(DX$4=1,DX41=0),1,0)</f>
        <v/>
      </c>
      <c r="DY91">
        <f>IF(AND(DY$4=1,DY41=0),1,0)</f>
        <v/>
      </c>
      <c r="DZ91">
        <f>IF(AND(DZ$4=1,DZ41=0),1,0)</f>
        <v/>
      </c>
      <c r="EA91">
        <f>IF(AND(EA$4=1,EA41=0),1,0)</f>
        <v/>
      </c>
      <c r="EB91">
        <f>IF(AND(EB$4=1,EB41=0),1,0)</f>
        <v/>
      </c>
      <c r="EC91">
        <f>IF(AND(EC$4=1,EC41=0),1,0)</f>
        <v/>
      </c>
      <c r="ED91">
        <f>IF(AND(ED$4=1,ED41=0),1,0)</f>
        <v/>
      </c>
      <c r="EE91">
        <f>IF(AND(EE$4=1,EE41=0),1,0)</f>
        <v/>
      </c>
      <c r="EF91">
        <f>IF(AND(EF$4=1,EF41=0),1,0)</f>
        <v/>
      </c>
      <c r="EG91">
        <f>IF(AND(EG$4=1,EG41=0),1,0)</f>
        <v/>
      </c>
      <c r="EH91">
        <f>IF(AND(EH$4=1,EH41=0),1,0)</f>
        <v/>
      </c>
      <c r="EI91">
        <f>IF(AND(EI$4=1,EI41=0),1,0)</f>
        <v/>
      </c>
      <c r="EJ91">
        <f>IF(AND(EJ$4=1,EJ41=0),1,0)</f>
        <v/>
      </c>
      <c r="EK91">
        <f>IF(AND(EK$4=1,EK41=0),1,0)</f>
        <v/>
      </c>
      <c r="EL91">
        <f>IF(AND(EL$4=1,EL41=0),1,0)</f>
        <v/>
      </c>
      <c r="EM91">
        <f>IF(AND(EM$4=1,EM41=0),1,0)</f>
        <v/>
      </c>
      <c r="EN91">
        <f>IF(AND(EN$4=1,EN41=0),1,0)</f>
        <v/>
      </c>
      <c r="EO91">
        <f>IF(AND(EO$4=1,EO41=0),1,0)</f>
        <v/>
      </c>
      <c r="EP91">
        <f>IF(AND(EP$4=1,EP41=0),1,0)</f>
        <v/>
      </c>
      <c r="EQ91">
        <f>IF(AND(EQ$4=1,EQ41=0),1,0)</f>
        <v/>
      </c>
    </row>
    <row r="92">
      <c r="A92" t="n">
        <v>33</v>
      </c>
      <c r="D92">
        <f>IF(AND(D$4=1,D42=0),1,0)</f>
        <v/>
      </c>
      <c r="E92">
        <f>IF(AND(E$4=1,E42=0),1,0)</f>
        <v/>
      </c>
      <c r="F92">
        <f>IF(AND(F$4=1,F42=0),1,0)</f>
        <v/>
      </c>
      <c r="G92">
        <f>IF(AND(G$4=1,G42=0),1,0)</f>
        <v/>
      </c>
      <c r="H92">
        <f>IF(AND(H$4=1,H42=0),1,0)</f>
        <v/>
      </c>
      <c r="I92">
        <f>IF(AND(I$4=1,I42=0),1,0)</f>
        <v/>
      </c>
      <c r="J92">
        <f>IF(AND(J$4=1,J42=0),1,0)</f>
        <v/>
      </c>
      <c r="K92">
        <f>IF(AND(K$4=1,K42=0),1,0)</f>
        <v/>
      </c>
      <c r="L92">
        <f>IF(AND(L$4=1,L42=0),1,0)</f>
        <v/>
      </c>
      <c r="M92">
        <f>IF(AND(M$4=1,M42=0),1,0)</f>
        <v/>
      </c>
      <c r="N92">
        <f>IF(AND(N$4=1,N42=0),1,0)</f>
        <v/>
      </c>
      <c r="O92">
        <f>IF(AND(O$4=1,O42=0),1,0)</f>
        <v/>
      </c>
      <c r="P92">
        <f>IF(AND(P$4=1,P42=0),1,0)</f>
        <v/>
      </c>
      <c r="Q92">
        <f>IF(AND(Q$4=1,Q42=0),1,0)</f>
        <v/>
      </c>
      <c r="R92">
        <f>IF(AND(R$4=1,R42=0),1,0)</f>
        <v/>
      </c>
      <c r="S92">
        <f>IF(AND(S$4=1,S42=0),1,0)</f>
        <v/>
      </c>
      <c r="T92">
        <f>IF(AND(T$4=1,T42=0),1,0)</f>
        <v/>
      </c>
      <c r="U92">
        <f>IF(AND(U$4=1,U42=0),1,0)</f>
        <v/>
      </c>
      <c r="V92">
        <f>IF(AND(V$4=1,V42=0),1,0)</f>
        <v/>
      </c>
      <c r="W92">
        <f>IF(AND(W$4=1,W42=0),1,0)</f>
        <v/>
      </c>
      <c r="X92">
        <f>IF(AND(X$4=1,X42=0),1,0)</f>
        <v/>
      </c>
      <c r="Y92">
        <f>IF(AND(Y$4=1,Y42=0),1,0)</f>
        <v/>
      </c>
      <c r="Z92">
        <f>IF(AND(Z$4=1,Z42=0),1,0)</f>
        <v/>
      </c>
      <c r="AA92">
        <f>IF(AND(AA$4=1,AA42=0),1,0)</f>
        <v/>
      </c>
      <c r="AB92">
        <f>IF(AND(AB$4=1,AB42=0),1,0)</f>
        <v/>
      </c>
      <c r="AC92">
        <f>IF(AND(AC$4=1,AC42=0),1,0)</f>
        <v/>
      </c>
      <c r="AD92">
        <f>IF(AND(AD$4=1,AD42=0),1,0)</f>
        <v/>
      </c>
      <c r="AE92">
        <f>IF(AND(AE$4=1,AE42=0),1,0)</f>
        <v/>
      </c>
      <c r="AF92">
        <f>IF(AND(AF$4=1,AF42=0),1,0)</f>
        <v/>
      </c>
      <c r="AG92">
        <f>IF(AND(AG$4=1,AG42=0),1,0)</f>
        <v/>
      </c>
      <c r="AH92">
        <f>IF(AND(AH$4=1,AH42=0),1,0)</f>
        <v/>
      </c>
      <c r="AI92">
        <f>IF(AND(AI$4=1,AI42=0),1,0)</f>
        <v/>
      </c>
      <c r="AJ92">
        <f>IF(AND(AJ$4=1,AJ42=0),1,0)</f>
        <v/>
      </c>
      <c r="AK92">
        <f>IF(AND(AK$4=1,AK42=0),1,0)</f>
        <v/>
      </c>
      <c r="AL92">
        <f>IF(AND(AL$4=1,AL42=0),1,0)</f>
        <v/>
      </c>
      <c r="AM92">
        <f>IF(AND(AM$4=1,AM42=0),1,0)</f>
        <v/>
      </c>
      <c r="AN92">
        <f>IF(AND(AN$4=1,AN42=0),1,0)</f>
        <v/>
      </c>
      <c r="AO92">
        <f>IF(AND(AO$4=1,AO42=0),1,0)</f>
        <v/>
      </c>
      <c r="AP92">
        <f>IF(AND(AP$4=1,AP42=0),1,0)</f>
        <v/>
      </c>
      <c r="AQ92">
        <f>IF(AND(AQ$4=1,AQ42=0),1,0)</f>
        <v/>
      </c>
      <c r="AR92">
        <f>IF(AND(AR$4=1,AR42=0),1,0)</f>
        <v/>
      </c>
      <c r="AS92">
        <f>IF(AND(AS$4=1,AS42=0),1,0)</f>
        <v/>
      </c>
      <c r="AT92">
        <f>IF(AND(AT$4=1,AT42=0),1,0)</f>
        <v/>
      </c>
      <c r="AU92">
        <f>IF(AND(AU$4=1,AU42=0),1,0)</f>
        <v/>
      </c>
      <c r="AV92">
        <f>IF(AND(AV$4=1,AV42=0),1,0)</f>
        <v/>
      </c>
      <c r="AW92">
        <f>IF(AND(AW$4=1,AW42=0),1,0)</f>
        <v/>
      </c>
      <c r="AX92">
        <f>IF(AND(AX$4=1,AX42=0),1,0)</f>
        <v/>
      </c>
      <c r="AY92">
        <f>IF(AND(AY$4=1,AY42=0),1,0)</f>
        <v/>
      </c>
      <c r="AZ92">
        <f>IF(AND(AZ$4=1,AZ42=0),1,0)</f>
        <v/>
      </c>
      <c r="BA92">
        <f>IF(AND(BA$4=1,BA42=0),1,0)</f>
        <v/>
      </c>
      <c r="BB92">
        <f>IF(AND(BB$4=1,BB42=0),1,0)</f>
        <v/>
      </c>
      <c r="BC92">
        <f>IF(AND(BC$4=1,BC42=0),1,0)</f>
        <v/>
      </c>
      <c r="BD92">
        <f>IF(AND(BD$4=1,BD42=0),1,0)</f>
        <v/>
      </c>
      <c r="BE92">
        <f>IF(AND(BE$4=1,BE42=0),1,0)</f>
        <v/>
      </c>
      <c r="BF92">
        <f>IF(AND(BF$4=1,BF42=0),1,0)</f>
        <v/>
      </c>
      <c r="BG92">
        <f>IF(AND(BG$4=1,BG42=0),1,0)</f>
        <v/>
      </c>
      <c r="BH92">
        <f>IF(AND(BH$4=1,BH42=0),1,0)</f>
        <v/>
      </c>
      <c r="BI92">
        <f>IF(AND(BI$4=1,BI42=0),1,0)</f>
        <v/>
      </c>
      <c r="BJ92">
        <f>IF(AND(BJ$4=1,BJ42=0),1,0)</f>
        <v/>
      </c>
      <c r="BK92">
        <f>IF(AND(BK$4=1,BK42=0),1,0)</f>
        <v/>
      </c>
      <c r="BL92">
        <f>IF(AND(BL$4=1,BL42=0),1,0)</f>
        <v/>
      </c>
      <c r="BM92">
        <f>IF(AND(BM$4=1,BM42=0),1,0)</f>
        <v/>
      </c>
      <c r="BN92">
        <f>IF(AND(BN$4=1,BN42=0),1,0)</f>
        <v/>
      </c>
      <c r="BO92">
        <f>IF(AND(BO$4=1,BO42=0),1,0)</f>
        <v/>
      </c>
      <c r="BP92">
        <f>IF(AND(BP$4=1,BP42=0),1,0)</f>
        <v/>
      </c>
      <c r="BQ92">
        <f>IF(AND(BQ$4=1,BQ42=0),1,0)</f>
        <v/>
      </c>
      <c r="BR92">
        <f>IF(AND(BR$4=1,BR42=0),1,0)</f>
        <v/>
      </c>
      <c r="BS92">
        <f>IF(AND(BS$4=1,BS42=0),1,0)</f>
        <v/>
      </c>
      <c r="BT92">
        <f>IF(AND(BT$4=1,BT42=0),1,0)</f>
        <v/>
      </c>
      <c r="BU92">
        <f>IF(AND(BU$4=1,BU42=0),1,0)</f>
        <v/>
      </c>
      <c r="BV92">
        <f>IF(AND(BV$4=1,BV42=0),1,0)</f>
        <v/>
      </c>
      <c r="BW92">
        <f>IF(AND(BW$4=1,BW42=0),1,0)</f>
        <v/>
      </c>
      <c r="BX92">
        <f>IF(AND(BX$4=1,BX42=0),1,0)</f>
        <v/>
      </c>
      <c r="BY92">
        <f>IF(AND(BY$4=1,BY42=0),1,0)</f>
        <v/>
      </c>
      <c r="BZ92">
        <f>IF(AND(BZ$4=1,BZ42=0),1,0)</f>
        <v/>
      </c>
      <c r="CA92">
        <f>IF(AND(CA$4=1,CA42=0),1,0)</f>
        <v/>
      </c>
      <c r="CB92">
        <f>IF(AND(CB$4=1,CB42=0),1,0)</f>
        <v/>
      </c>
      <c r="CC92">
        <f>IF(AND(CC$4=1,CC42=0),1,0)</f>
        <v/>
      </c>
      <c r="CD92">
        <f>IF(AND(CD$4=1,CD42=0),1,0)</f>
        <v/>
      </c>
      <c r="CE92">
        <f>IF(AND(CE$4=1,CE42=0),1,0)</f>
        <v/>
      </c>
      <c r="CF92">
        <f>IF(AND(CF$4=1,CF42=0),1,0)</f>
        <v/>
      </c>
      <c r="CG92">
        <f>IF(AND(CG$4=1,CG42=0),1,0)</f>
        <v/>
      </c>
      <c r="CH92">
        <f>IF(AND(CH$4=1,CH42=0),1,0)</f>
        <v/>
      </c>
      <c r="CI92">
        <f>IF(AND(CI$4=1,CI42=0),1,0)</f>
        <v/>
      </c>
      <c r="CJ92">
        <f>IF(AND(CJ$4=1,CJ42=0),1,0)</f>
        <v/>
      </c>
      <c r="CK92">
        <f>IF(AND(CK$4=1,CK42=0),1,0)</f>
        <v/>
      </c>
      <c r="CL92">
        <f>IF(AND(CL$4=1,CL42=0),1,0)</f>
        <v/>
      </c>
      <c r="CM92">
        <f>IF(AND(CM$4=1,CM42=0),1,0)</f>
        <v/>
      </c>
      <c r="CN92">
        <f>IF(AND(CN$4=1,CN42=0),1,0)</f>
        <v/>
      </c>
      <c r="CO92">
        <f>IF(AND(CO$4=1,CO42=0),1,0)</f>
        <v/>
      </c>
      <c r="CP92">
        <f>IF(AND(CP$4=1,CP42=0),1,0)</f>
        <v/>
      </c>
      <c r="CQ92">
        <f>IF(AND(CQ$4=1,CQ42=0),1,0)</f>
        <v/>
      </c>
      <c r="CR92">
        <f>IF(AND(CR$4=1,CR42=0),1,0)</f>
        <v/>
      </c>
      <c r="CS92">
        <f>IF(AND(CS$4=1,CS42=0),1,0)</f>
        <v/>
      </c>
      <c r="CT92">
        <f>IF(AND(CT$4=1,CT42=0),1,0)</f>
        <v/>
      </c>
      <c r="CU92">
        <f>IF(AND(CU$4=1,CU42=0),1,0)</f>
        <v/>
      </c>
      <c r="CV92">
        <f>IF(AND(CV$4=1,CV42=0),1,0)</f>
        <v/>
      </c>
      <c r="CW92">
        <f>IF(AND(CW$4=1,CW42=0),1,0)</f>
        <v/>
      </c>
      <c r="CX92">
        <f>IF(AND(CX$4=1,CX42=0),1,0)</f>
        <v/>
      </c>
      <c r="CY92">
        <f>IF(AND(CY$4=1,CY42=0),1,0)</f>
        <v/>
      </c>
      <c r="CZ92">
        <f>IF(AND(CZ$4=1,CZ42=0),1,0)</f>
        <v/>
      </c>
      <c r="DA92">
        <f>IF(AND(DA$4=1,DA42=0),1,0)</f>
        <v/>
      </c>
      <c r="DB92">
        <f>IF(AND(DB$4=1,DB42=0),1,0)</f>
        <v/>
      </c>
      <c r="DC92">
        <f>IF(AND(DC$4=1,DC42=0),1,0)</f>
        <v/>
      </c>
      <c r="DD92">
        <f>IF(AND(DD$4=1,DD42=0),1,0)</f>
        <v/>
      </c>
      <c r="DE92">
        <f>IF(AND(DE$4=1,DE42=0),1,0)</f>
        <v/>
      </c>
      <c r="DF92">
        <f>IF(AND(DF$4=1,DF42=0),1,0)</f>
        <v/>
      </c>
      <c r="DG92">
        <f>IF(AND(DG$4=1,DG42=0),1,0)</f>
        <v/>
      </c>
      <c r="DH92">
        <f>IF(AND(DH$4=1,DH42=0),1,0)</f>
        <v/>
      </c>
      <c r="DI92">
        <f>IF(AND(DI$4=1,DI42=0),1,0)</f>
        <v/>
      </c>
      <c r="DJ92">
        <f>IF(AND(DJ$4=1,DJ42=0),1,0)</f>
        <v/>
      </c>
      <c r="DK92">
        <f>IF(AND(DK$4=1,DK42=0),1,0)</f>
        <v/>
      </c>
      <c r="DL92">
        <f>IF(AND(DL$4=1,DL42=0),1,0)</f>
        <v/>
      </c>
      <c r="DM92">
        <f>IF(AND(DM$4=1,DM42=0),1,0)</f>
        <v/>
      </c>
      <c r="DN92">
        <f>IF(AND(DN$4=1,DN42=0),1,0)</f>
        <v/>
      </c>
      <c r="DO92">
        <f>IF(AND(DO$4=1,DO42=0),1,0)</f>
        <v/>
      </c>
      <c r="DP92">
        <f>IF(AND(DP$4=1,DP42=0),1,0)</f>
        <v/>
      </c>
      <c r="DQ92">
        <f>IF(AND(DQ$4=1,DQ42=0),1,0)</f>
        <v/>
      </c>
      <c r="DR92">
        <f>IF(AND(DR$4=1,DR42=0),1,0)</f>
        <v/>
      </c>
      <c r="DS92">
        <f>IF(AND(DS$4=1,DS42=0),1,0)</f>
        <v/>
      </c>
      <c r="DT92">
        <f>IF(AND(DT$4=1,DT42=0),1,0)</f>
        <v/>
      </c>
      <c r="DU92">
        <f>IF(AND(DU$4=1,DU42=0),1,0)</f>
        <v/>
      </c>
      <c r="DV92">
        <f>IF(AND(DV$4=1,DV42=0),1,0)</f>
        <v/>
      </c>
      <c r="DW92">
        <f>IF(AND(DW$4=1,DW42=0),1,0)</f>
        <v/>
      </c>
      <c r="DX92">
        <f>IF(AND(DX$4=1,DX42=0),1,0)</f>
        <v/>
      </c>
      <c r="DY92">
        <f>IF(AND(DY$4=1,DY42=0),1,0)</f>
        <v/>
      </c>
      <c r="DZ92">
        <f>IF(AND(DZ$4=1,DZ42=0),1,0)</f>
        <v/>
      </c>
      <c r="EA92">
        <f>IF(AND(EA$4=1,EA42=0),1,0)</f>
        <v/>
      </c>
      <c r="EB92">
        <f>IF(AND(EB$4=1,EB42=0),1,0)</f>
        <v/>
      </c>
      <c r="EC92">
        <f>IF(AND(EC$4=1,EC42=0),1,0)</f>
        <v/>
      </c>
      <c r="ED92">
        <f>IF(AND(ED$4=1,ED42=0),1,0)</f>
        <v/>
      </c>
      <c r="EE92">
        <f>IF(AND(EE$4=1,EE42=0),1,0)</f>
        <v/>
      </c>
      <c r="EF92">
        <f>IF(AND(EF$4=1,EF42=0),1,0)</f>
        <v/>
      </c>
      <c r="EG92">
        <f>IF(AND(EG$4=1,EG42=0),1,0)</f>
        <v/>
      </c>
      <c r="EH92">
        <f>IF(AND(EH$4=1,EH42=0),1,0)</f>
        <v/>
      </c>
      <c r="EI92">
        <f>IF(AND(EI$4=1,EI42=0),1,0)</f>
        <v/>
      </c>
      <c r="EJ92">
        <f>IF(AND(EJ$4=1,EJ42=0),1,0)</f>
        <v/>
      </c>
      <c r="EK92">
        <f>IF(AND(EK$4=1,EK42=0),1,0)</f>
        <v/>
      </c>
      <c r="EL92">
        <f>IF(AND(EL$4=1,EL42=0),1,0)</f>
        <v/>
      </c>
      <c r="EM92">
        <f>IF(AND(EM$4=1,EM42=0),1,0)</f>
        <v/>
      </c>
      <c r="EN92">
        <f>IF(AND(EN$4=1,EN42=0),1,0)</f>
        <v/>
      </c>
      <c r="EO92">
        <f>IF(AND(EO$4=1,EO42=0),1,0)</f>
        <v/>
      </c>
      <c r="EP92">
        <f>IF(AND(EP$4=1,EP42=0),1,0)</f>
        <v/>
      </c>
      <c r="EQ92">
        <f>IF(AND(EQ$4=1,EQ42=0),1,0)</f>
        <v/>
      </c>
    </row>
    <row r="93">
      <c r="A93" t="n">
        <v>34</v>
      </c>
      <c r="D93">
        <f>IF(AND(D$4=1,D43=0),1,0)</f>
        <v/>
      </c>
      <c r="E93">
        <f>IF(AND(E$4=1,E43=0),1,0)</f>
        <v/>
      </c>
      <c r="F93">
        <f>IF(AND(F$4=1,F43=0),1,0)</f>
        <v/>
      </c>
      <c r="G93">
        <f>IF(AND(G$4=1,G43=0),1,0)</f>
        <v/>
      </c>
      <c r="H93">
        <f>IF(AND(H$4=1,H43=0),1,0)</f>
        <v/>
      </c>
      <c r="I93">
        <f>IF(AND(I$4=1,I43=0),1,0)</f>
        <v/>
      </c>
      <c r="J93">
        <f>IF(AND(J$4=1,J43=0),1,0)</f>
        <v/>
      </c>
      <c r="K93">
        <f>IF(AND(K$4=1,K43=0),1,0)</f>
        <v/>
      </c>
      <c r="L93">
        <f>IF(AND(L$4=1,L43=0),1,0)</f>
        <v/>
      </c>
      <c r="M93">
        <f>IF(AND(M$4=1,M43=0),1,0)</f>
        <v/>
      </c>
      <c r="N93">
        <f>IF(AND(N$4=1,N43=0),1,0)</f>
        <v/>
      </c>
      <c r="O93">
        <f>IF(AND(O$4=1,O43=0),1,0)</f>
        <v/>
      </c>
      <c r="P93">
        <f>IF(AND(P$4=1,P43=0),1,0)</f>
        <v/>
      </c>
      <c r="Q93">
        <f>IF(AND(Q$4=1,Q43=0),1,0)</f>
        <v/>
      </c>
      <c r="R93">
        <f>IF(AND(R$4=1,R43=0),1,0)</f>
        <v/>
      </c>
      <c r="S93">
        <f>IF(AND(S$4=1,S43=0),1,0)</f>
        <v/>
      </c>
      <c r="T93">
        <f>IF(AND(T$4=1,T43=0),1,0)</f>
        <v/>
      </c>
      <c r="U93">
        <f>IF(AND(U$4=1,U43=0),1,0)</f>
        <v/>
      </c>
      <c r="V93">
        <f>IF(AND(V$4=1,V43=0),1,0)</f>
        <v/>
      </c>
      <c r="W93">
        <f>IF(AND(W$4=1,W43=0),1,0)</f>
        <v/>
      </c>
      <c r="X93">
        <f>IF(AND(X$4=1,X43=0),1,0)</f>
        <v/>
      </c>
      <c r="Y93">
        <f>IF(AND(Y$4=1,Y43=0),1,0)</f>
        <v/>
      </c>
      <c r="Z93">
        <f>IF(AND(Z$4=1,Z43=0),1,0)</f>
        <v/>
      </c>
      <c r="AA93">
        <f>IF(AND(AA$4=1,AA43=0),1,0)</f>
        <v/>
      </c>
      <c r="AB93">
        <f>IF(AND(AB$4=1,AB43=0),1,0)</f>
        <v/>
      </c>
      <c r="AC93">
        <f>IF(AND(AC$4=1,AC43=0),1,0)</f>
        <v/>
      </c>
      <c r="AD93">
        <f>IF(AND(AD$4=1,AD43=0),1,0)</f>
        <v/>
      </c>
      <c r="AE93">
        <f>IF(AND(AE$4=1,AE43=0),1,0)</f>
        <v/>
      </c>
      <c r="AF93">
        <f>IF(AND(AF$4=1,AF43=0),1,0)</f>
        <v/>
      </c>
      <c r="AG93">
        <f>IF(AND(AG$4=1,AG43=0),1,0)</f>
        <v/>
      </c>
      <c r="AH93">
        <f>IF(AND(AH$4=1,AH43=0),1,0)</f>
        <v/>
      </c>
      <c r="AI93">
        <f>IF(AND(AI$4=1,AI43=0),1,0)</f>
        <v/>
      </c>
      <c r="AJ93">
        <f>IF(AND(AJ$4=1,AJ43=0),1,0)</f>
        <v/>
      </c>
      <c r="AK93">
        <f>IF(AND(AK$4=1,AK43=0),1,0)</f>
        <v/>
      </c>
      <c r="AL93">
        <f>IF(AND(AL$4=1,AL43=0),1,0)</f>
        <v/>
      </c>
      <c r="AM93">
        <f>IF(AND(AM$4=1,AM43=0),1,0)</f>
        <v/>
      </c>
      <c r="AN93">
        <f>IF(AND(AN$4=1,AN43=0),1,0)</f>
        <v/>
      </c>
      <c r="AO93">
        <f>IF(AND(AO$4=1,AO43=0),1,0)</f>
        <v/>
      </c>
      <c r="AP93">
        <f>IF(AND(AP$4=1,AP43=0),1,0)</f>
        <v/>
      </c>
      <c r="AQ93">
        <f>IF(AND(AQ$4=1,AQ43=0),1,0)</f>
        <v/>
      </c>
      <c r="AR93">
        <f>IF(AND(AR$4=1,AR43=0),1,0)</f>
        <v/>
      </c>
      <c r="AS93">
        <f>IF(AND(AS$4=1,AS43=0),1,0)</f>
        <v/>
      </c>
      <c r="AT93">
        <f>IF(AND(AT$4=1,AT43=0),1,0)</f>
        <v/>
      </c>
      <c r="AU93">
        <f>IF(AND(AU$4=1,AU43=0),1,0)</f>
        <v/>
      </c>
      <c r="AV93">
        <f>IF(AND(AV$4=1,AV43=0),1,0)</f>
        <v/>
      </c>
      <c r="AW93">
        <f>IF(AND(AW$4=1,AW43=0),1,0)</f>
        <v/>
      </c>
      <c r="AX93">
        <f>IF(AND(AX$4=1,AX43=0),1,0)</f>
        <v/>
      </c>
      <c r="AY93">
        <f>IF(AND(AY$4=1,AY43=0),1,0)</f>
        <v/>
      </c>
      <c r="AZ93">
        <f>IF(AND(AZ$4=1,AZ43=0),1,0)</f>
        <v/>
      </c>
      <c r="BA93">
        <f>IF(AND(BA$4=1,BA43=0),1,0)</f>
        <v/>
      </c>
      <c r="BB93">
        <f>IF(AND(BB$4=1,BB43=0),1,0)</f>
        <v/>
      </c>
      <c r="BC93">
        <f>IF(AND(BC$4=1,BC43=0),1,0)</f>
        <v/>
      </c>
      <c r="BD93">
        <f>IF(AND(BD$4=1,BD43=0),1,0)</f>
        <v/>
      </c>
      <c r="BE93">
        <f>IF(AND(BE$4=1,BE43=0),1,0)</f>
        <v/>
      </c>
      <c r="BF93">
        <f>IF(AND(BF$4=1,BF43=0),1,0)</f>
        <v/>
      </c>
      <c r="BG93">
        <f>IF(AND(BG$4=1,BG43=0),1,0)</f>
        <v/>
      </c>
      <c r="BH93">
        <f>IF(AND(BH$4=1,BH43=0),1,0)</f>
        <v/>
      </c>
      <c r="BI93">
        <f>IF(AND(BI$4=1,BI43=0),1,0)</f>
        <v/>
      </c>
      <c r="BJ93">
        <f>IF(AND(BJ$4=1,BJ43=0),1,0)</f>
        <v/>
      </c>
      <c r="BK93">
        <f>IF(AND(BK$4=1,BK43=0),1,0)</f>
        <v/>
      </c>
      <c r="BL93">
        <f>IF(AND(BL$4=1,BL43=0),1,0)</f>
        <v/>
      </c>
      <c r="BM93">
        <f>IF(AND(BM$4=1,BM43=0),1,0)</f>
        <v/>
      </c>
      <c r="BN93">
        <f>IF(AND(BN$4=1,BN43=0),1,0)</f>
        <v/>
      </c>
      <c r="BO93">
        <f>IF(AND(BO$4=1,BO43=0),1,0)</f>
        <v/>
      </c>
      <c r="BP93">
        <f>IF(AND(BP$4=1,BP43=0),1,0)</f>
        <v/>
      </c>
      <c r="BQ93">
        <f>IF(AND(BQ$4=1,BQ43=0),1,0)</f>
        <v/>
      </c>
      <c r="BR93">
        <f>IF(AND(BR$4=1,BR43=0),1,0)</f>
        <v/>
      </c>
      <c r="BS93">
        <f>IF(AND(BS$4=1,BS43=0),1,0)</f>
        <v/>
      </c>
      <c r="BT93">
        <f>IF(AND(BT$4=1,BT43=0),1,0)</f>
        <v/>
      </c>
      <c r="BU93">
        <f>IF(AND(BU$4=1,BU43=0),1,0)</f>
        <v/>
      </c>
      <c r="BV93">
        <f>IF(AND(BV$4=1,BV43=0),1,0)</f>
        <v/>
      </c>
      <c r="BW93">
        <f>IF(AND(BW$4=1,BW43=0),1,0)</f>
        <v/>
      </c>
      <c r="BX93">
        <f>IF(AND(BX$4=1,BX43=0),1,0)</f>
        <v/>
      </c>
      <c r="BY93">
        <f>IF(AND(BY$4=1,BY43=0),1,0)</f>
        <v/>
      </c>
      <c r="BZ93">
        <f>IF(AND(BZ$4=1,BZ43=0),1,0)</f>
        <v/>
      </c>
      <c r="CA93">
        <f>IF(AND(CA$4=1,CA43=0),1,0)</f>
        <v/>
      </c>
      <c r="CB93">
        <f>IF(AND(CB$4=1,CB43=0),1,0)</f>
        <v/>
      </c>
      <c r="CC93">
        <f>IF(AND(CC$4=1,CC43=0),1,0)</f>
        <v/>
      </c>
      <c r="CD93">
        <f>IF(AND(CD$4=1,CD43=0),1,0)</f>
        <v/>
      </c>
      <c r="CE93">
        <f>IF(AND(CE$4=1,CE43=0),1,0)</f>
        <v/>
      </c>
      <c r="CF93">
        <f>IF(AND(CF$4=1,CF43=0),1,0)</f>
        <v/>
      </c>
      <c r="CG93">
        <f>IF(AND(CG$4=1,CG43=0),1,0)</f>
        <v/>
      </c>
      <c r="CH93">
        <f>IF(AND(CH$4=1,CH43=0),1,0)</f>
        <v/>
      </c>
      <c r="CI93">
        <f>IF(AND(CI$4=1,CI43=0),1,0)</f>
        <v/>
      </c>
      <c r="CJ93">
        <f>IF(AND(CJ$4=1,CJ43=0),1,0)</f>
        <v/>
      </c>
      <c r="CK93">
        <f>IF(AND(CK$4=1,CK43=0),1,0)</f>
        <v/>
      </c>
      <c r="CL93">
        <f>IF(AND(CL$4=1,CL43=0),1,0)</f>
        <v/>
      </c>
      <c r="CM93">
        <f>IF(AND(CM$4=1,CM43=0),1,0)</f>
        <v/>
      </c>
      <c r="CN93">
        <f>IF(AND(CN$4=1,CN43=0),1,0)</f>
        <v/>
      </c>
      <c r="CO93">
        <f>IF(AND(CO$4=1,CO43=0),1,0)</f>
        <v/>
      </c>
      <c r="CP93">
        <f>IF(AND(CP$4=1,CP43=0),1,0)</f>
        <v/>
      </c>
      <c r="CQ93">
        <f>IF(AND(CQ$4=1,CQ43=0),1,0)</f>
        <v/>
      </c>
      <c r="CR93">
        <f>IF(AND(CR$4=1,CR43=0),1,0)</f>
        <v/>
      </c>
      <c r="CS93">
        <f>IF(AND(CS$4=1,CS43=0),1,0)</f>
        <v/>
      </c>
      <c r="CT93">
        <f>IF(AND(CT$4=1,CT43=0),1,0)</f>
        <v/>
      </c>
      <c r="CU93">
        <f>IF(AND(CU$4=1,CU43=0),1,0)</f>
        <v/>
      </c>
      <c r="CV93">
        <f>IF(AND(CV$4=1,CV43=0),1,0)</f>
        <v/>
      </c>
      <c r="CW93">
        <f>IF(AND(CW$4=1,CW43=0),1,0)</f>
        <v/>
      </c>
      <c r="CX93">
        <f>IF(AND(CX$4=1,CX43=0),1,0)</f>
        <v/>
      </c>
      <c r="CY93">
        <f>IF(AND(CY$4=1,CY43=0),1,0)</f>
        <v/>
      </c>
      <c r="CZ93">
        <f>IF(AND(CZ$4=1,CZ43=0),1,0)</f>
        <v/>
      </c>
      <c r="DA93">
        <f>IF(AND(DA$4=1,DA43=0),1,0)</f>
        <v/>
      </c>
      <c r="DB93">
        <f>IF(AND(DB$4=1,DB43=0),1,0)</f>
        <v/>
      </c>
      <c r="DC93">
        <f>IF(AND(DC$4=1,DC43=0),1,0)</f>
        <v/>
      </c>
      <c r="DD93">
        <f>IF(AND(DD$4=1,DD43=0),1,0)</f>
        <v/>
      </c>
      <c r="DE93">
        <f>IF(AND(DE$4=1,DE43=0),1,0)</f>
        <v/>
      </c>
      <c r="DF93">
        <f>IF(AND(DF$4=1,DF43=0),1,0)</f>
        <v/>
      </c>
      <c r="DG93">
        <f>IF(AND(DG$4=1,DG43=0),1,0)</f>
        <v/>
      </c>
      <c r="DH93">
        <f>IF(AND(DH$4=1,DH43=0),1,0)</f>
        <v/>
      </c>
      <c r="DI93">
        <f>IF(AND(DI$4=1,DI43=0),1,0)</f>
        <v/>
      </c>
      <c r="DJ93">
        <f>IF(AND(DJ$4=1,DJ43=0),1,0)</f>
        <v/>
      </c>
      <c r="DK93">
        <f>IF(AND(DK$4=1,DK43=0),1,0)</f>
        <v/>
      </c>
      <c r="DL93">
        <f>IF(AND(DL$4=1,DL43=0),1,0)</f>
        <v/>
      </c>
      <c r="DM93">
        <f>IF(AND(DM$4=1,DM43=0),1,0)</f>
        <v/>
      </c>
      <c r="DN93">
        <f>IF(AND(DN$4=1,DN43=0),1,0)</f>
        <v/>
      </c>
      <c r="DO93">
        <f>IF(AND(DO$4=1,DO43=0),1,0)</f>
        <v/>
      </c>
      <c r="DP93">
        <f>IF(AND(DP$4=1,DP43=0),1,0)</f>
        <v/>
      </c>
      <c r="DQ93">
        <f>IF(AND(DQ$4=1,DQ43=0),1,0)</f>
        <v/>
      </c>
      <c r="DR93">
        <f>IF(AND(DR$4=1,DR43=0),1,0)</f>
        <v/>
      </c>
      <c r="DS93">
        <f>IF(AND(DS$4=1,DS43=0),1,0)</f>
        <v/>
      </c>
      <c r="DT93">
        <f>IF(AND(DT$4=1,DT43=0),1,0)</f>
        <v/>
      </c>
      <c r="DU93">
        <f>IF(AND(DU$4=1,DU43=0),1,0)</f>
        <v/>
      </c>
      <c r="DV93">
        <f>IF(AND(DV$4=1,DV43=0),1,0)</f>
        <v/>
      </c>
      <c r="DW93">
        <f>IF(AND(DW$4=1,DW43=0),1,0)</f>
        <v/>
      </c>
      <c r="DX93">
        <f>IF(AND(DX$4=1,DX43=0),1,0)</f>
        <v/>
      </c>
      <c r="DY93">
        <f>IF(AND(DY$4=1,DY43=0),1,0)</f>
        <v/>
      </c>
      <c r="DZ93">
        <f>IF(AND(DZ$4=1,DZ43=0),1,0)</f>
        <v/>
      </c>
      <c r="EA93">
        <f>IF(AND(EA$4=1,EA43=0),1,0)</f>
        <v/>
      </c>
      <c r="EB93">
        <f>IF(AND(EB$4=1,EB43=0),1,0)</f>
        <v/>
      </c>
      <c r="EC93">
        <f>IF(AND(EC$4=1,EC43=0),1,0)</f>
        <v/>
      </c>
      <c r="ED93">
        <f>IF(AND(ED$4=1,ED43=0),1,0)</f>
        <v/>
      </c>
      <c r="EE93">
        <f>IF(AND(EE$4=1,EE43=0),1,0)</f>
        <v/>
      </c>
      <c r="EF93">
        <f>IF(AND(EF$4=1,EF43=0),1,0)</f>
        <v/>
      </c>
      <c r="EG93">
        <f>IF(AND(EG$4=1,EG43=0),1,0)</f>
        <v/>
      </c>
      <c r="EH93">
        <f>IF(AND(EH$4=1,EH43=0),1,0)</f>
        <v/>
      </c>
      <c r="EI93">
        <f>IF(AND(EI$4=1,EI43=0),1,0)</f>
        <v/>
      </c>
      <c r="EJ93">
        <f>IF(AND(EJ$4=1,EJ43=0),1,0)</f>
        <v/>
      </c>
      <c r="EK93">
        <f>IF(AND(EK$4=1,EK43=0),1,0)</f>
        <v/>
      </c>
      <c r="EL93">
        <f>IF(AND(EL$4=1,EL43=0),1,0)</f>
        <v/>
      </c>
      <c r="EM93">
        <f>IF(AND(EM$4=1,EM43=0),1,0)</f>
        <v/>
      </c>
      <c r="EN93">
        <f>IF(AND(EN$4=1,EN43=0),1,0)</f>
        <v/>
      </c>
      <c r="EO93">
        <f>IF(AND(EO$4=1,EO43=0),1,0)</f>
        <v/>
      </c>
      <c r="EP93">
        <f>IF(AND(EP$4=1,EP43=0),1,0)</f>
        <v/>
      </c>
      <c r="EQ93">
        <f>IF(AND(EQ$4=1,EQ43=0),1,0)</f>
        <v/>
      </c>
    </row>
    <row r="94">
      <c r="A94" t="n">
        <v>35</v>
      </c>
      <c r="D94">
        <f>IF(AND(D$4=1,D44=0),1,0)</f>
        <v/>
      </c>
      <c r="E94">
        <f>IF(AND(E$4=1,E44=0),1,0)</f>
        <v/>
      </c>
      <c r="F94">
        <f>IF(AND(F$4=1,F44=0),1,0)</f>
        <v/>
      </c>
      <c r="G94">
        <f>IF(AND(G$4=1,G44=0),1,0)</f>
        <v/>
      </c>
      <c r="H94">
        <f>IF(AND(H$4=1,H44=0),1,0)</f>
        <v/>
      </c>
      <c r="I94">
        <f>IF(AND(I$4=1,I44=0),1,0)</f>
        <v/>
      </c>
      <c r="J94">
        <f>IF(AND(J$4=1,J44=0),1,0)</f>
        <v/>
      </c>
      <c r="K94">
        <f>IF(AND(K$4=1,K44=0),1,0)</f>
        <v/>
      </c>
      <c r="L94">
        <f>IF(AND(L$4=1,L44=0),1,0)</f>
        <v/>
      </c>
      <c r="M94">
        <f>IF(AND(M$4=1,M44=0),1,0)</f>
        <v/>
      </c>
      <c r="N94">
        <f>IF(AND(N$4=1,N44=0),1,0)</f>
        <v/>
      </c>
      <c r="O94">
        <f>IF(AND(O$4=1,O44=0),1,0)</f>
        <v/>
      </c>
      <c r="P94">
        <f>IF(AND(P$4=1,P44=0),1,0)</f>
        <v/>
      </c>
      <c r="Q94">
        <f>IF(AND(Q$4=1,Q44=0),1,0)</f>
        <v/>
      </c>
      <c r="R94">
        <f>IF(AND(R$4=1,R44=0),1,0)</f>
        <v/>
      </c>
      <c r="S94">
        <f>IF(AND(S$4=1,S44=0),1,0)</f>
        <v/>
      </c>
      <c r="T94">
        <f>IF(AND(T$4=1,T44=0),1,0)</f>
        <v/>
      </c>
      <c r="U94">
        <f>IF(AND(U$4=1,U44=0),1,0)</f>
        <v/>
      </c>
      <c r="V94">
        <f>IF(AND(V$4=1,V44=0),1,0)</f>
        <v/>
      </c>
      <c r="W94">
        <f>IF(AND(W$4=1,W44=0),1,0)</f>
        <v/>
      </c>
      <c r="X94">
        <f>IF(AND(X$4=1,X44=0),1,0)</f>
        <v/>
      </c>
      <c r="Y94">
        <f>IF(AND(Y$4=1,Y44=0),1,0)</f>
        <v/>
      </c>
      <c r="Z94">
        <f>IF(AND(Z$4=1,Z44=0),1,0)</f>
        <v/>
      </c>
      <c r="AA94">
        <f>IF(AND(AA$4=1,AA44=0),1,0)</f>
        <v/>
      </c>
      <c r="AB94">
        <f>IF(AND(AB$4=1,AB44=0),1,0)</f>
        <v/>
      </c>
      <c r="AC94">
        <f>IF(AND(AC$4=1,AC44=0),1,0)</f>
        <v/>
      </c>
      <c r="AD94">
        <f>IF(AND(AD$4=1,AD44=0),1,0)</f>
        <v/>
      </c>
      <c r="AE94">
        <f>IF(AND(AE$4=1,AE44=0),1,0)</f>
        <v/>
      </c>
      <c r="AF94">
        <f>IF(AND(AF$4=1,AF44=0),1,0)</f>
        <v/>
      </c>
      <c r="AG94">
        <f>IF(AND(AG$4=1,AG44=0),1,0)</f>
        <v/>
      </c>
      <c r="AH94">
        <f>IF(AND(AH$4=1,AH44=0),1,0)</f>
        <v/>
      </c>
      <c r="AI94">
        <f>IF(AND(AI$4=1,AI44=0),1,0)</f>
        <v/>
      </c>
      <c r="AJ94">
        <f>IF(AND(AJ$4=1,AJ44=0),1,0)</f>
        <v/>
      </c>
      <c r="AK94">
        <f>IF(AND(AK$4=1,AK44=0),1,0)</f>
        <v/>
      </c>
      <c r="AL94">
        <f>IF(AND(AL$4=1,AL44=0),1,0)</f>
        <v/>
      </c>
      <c r="AM94">
        <f>IF(AND(AM$4=1,AM44=0),1,0)</f>
        <v/>
      </c>
      <c r="AN94">
        <f>IF(AND(AN$4=1,AN44=0),1,0)</f>
        <v/>
      </c>
      <c r="AO94">
        <f>IF(AND(AO$4=1,AO44=0),1,0)</f>
        <v/>
      </c>
      <c r="AP94">
        <f>IF(AND(AP$4=1,AP44=0),1,0)</f>
        <v/>
      </c>
      <c r="AQ94">
        <f>IF(AND(AQ$4=1,AQ44=0),1,0)</f>
        <v/>
      </c>
      <c r="AR94">
        <f>IF(AND(AR$4=1,AR44=0),1,0)</f>
        <v/>
      </c>
      <c r="AS94">
        <f>IF(AND(AS$4=1,AS44=0),1,0)</f>
        <v/>
      </c>
      <c r="AT94">
        <f>IF(AND(AT$4=1,AT44=0),1,0)</f>
        <v/>
      </c>
      <c r="AU94">
        <f>IF(AND(AU$4=1,AU44=0),1,0)</f>
        <v/>
      </c>
      <c r="AV94">
        <f>IF(AND(AV$4=1,AV44=0),1,0)</f>
        <v/>
      </c>
      <c r="AW94">
        <f>IF(AND(AW$4=1,AW44=0),1,0)</f>
        <v/>
      </c>
      <c r="AX94">
        <f>IF(AND(AX$4=1,AX44=0),1,0)</f>
        <v/>
      </c>
      <c r="AY94">
        <f>IF(AND(AY$4=1,AY44=0),1,0)</f>
        <v/>
      </c>
      <c r="AZ94">
        <f>IF(AND(AZ$4=1,AZ44=0),1,0)</f>
        <v/>
      </c>
      <c r="BA94">
        <f>IF(AND(BA$4=1,BA44=0),1,0)</f>
        <v/>
      </c>
      <c r="BB94">
        <f>IF(AND(BB$4=1,BB44=0),1,0)</f>
        <v/>
      </c>
      <c r="BC94">
        <f>IF(AND(BC$4=1,BC44=0),1,0)</f>
        <v/>
      </c>
      <c r="BD94">
        <f>IF(AND(BD$4=1,BD44=0),1,0)</f>
        <v/>
      </c>
      <c r="BE94">
        <f>IF(AND(BE$4=1,BE44=0),1,0)</f>
        <v/>
      </c>
      <c r="BF94">
        <f>IF(AND(BF$4=1,BF44=0),1,0)</f>
        <v/>
      </c>
      <c r="BG94">
        <f>IF(AND(BG$4=1,BG44=0),1,0)</f>
        <v/>
      </c>
      <c r="BH94">
        <f>IF(AND(BH$4=1,BH44=0),1,0)</f>
        <v/>
      </c>
      <c r="BI94">
        <f>IF(AND(BI$4=1,BI44=0),1,0)</f>
        <v/>
      </c>
      <c r="BJ94">
        <f>IF(AND(BJ$4=1,BJ44=0),1,0)</f>
        <v/>
      </c>
      <c r="BK94">
        <f>IF(AND(BK$4=1,BK44=0),1,0)</f>
        <v/>
      </c>
      <c r="BL94">
        <f>IF(AND(BL$4=1,BL44=0),1,0)</f>
        <v/>
      </c>
      <c r="BM94">
        <f>IF(AND(BM$4=1,BM44=0),1,0)</f>
        <v/>
      </c>
      <c r="BN94">
        <f>IF(AND(BN$4=1,BN44=0),1,0)</f>
        <v/>
      </c>
      <c r="BO94">
        <f>IF(AND(BO$4=1,BO44=0),1,0)</f>
        <v/>
      </c>
      <c r="BP94">
        <f>IF(AND(BP$4=1,BP44=0),1,0)</f>
        <v/>
      </c>
      <c r="BQ94">
        <f>IF(AND(BQ$4=1,BQ44=0),1,0)</f>
        <v/>
      </c>
      <c r="BR94">
        <f>IF(AND(BR$4=1,BR44=0),1,0)</f>
        <v/>
      </c>
      <c r="BS94">
        <f>IF(AND(BS$4=1,BS44=0),1,0)</f>
        <v/>
      </c>
      <c r="BT94">
        <f>IF(AND(BT$4=1,BT44=0),1,0)</f>
        <v/>
      </c>
      <c r="BU94">
        <f>IF(AND(BU$4=1,BU44=0),1,0)</f>
        <v/>
      </c>
      <c r="BV94">
        <f>IF(AND(BV$4=1,BV44=0),1,0)</f>
        <v/>
      </c>
      <c r="BW94">
        <f>IF(AND(BW$4=1,BW44=0),1,0)</f>
        <v/>
      </c>
      <c r="BX94">
        <f>IF(AND(BX$4=1,BX44=0),1,0)</f>
        <v/>
      </c>
      <c r="BY94">
        <f>IF(AND(BY$4=1,BY44=0),1,0)</f>
        <v/>
      </c>
      <c r="BZ94">
        <f>IF(AND(BZ$4=1,BZ44=0),1,0)</f>
        <v/>
      </c>
      <c r="CA94">
        <f>IF(AND(CA$4=1,CA44=0),1,0)</f>
        <v/>
      </c>
      <c r="CB94">
        <f>IF(AND(CB$4=1,CB44=0),1,0)</f>
        <v/>
      </c>
      <c r="CC94">
        <f>IF(AND(CC$4=1,CC44=0),1,0)</f>
        <v/>
      </c>
      <c r="CD94">
        <f>IF(AND(CD$4=1,CD44=0),1,0)</f>
        <v/>
      </c>
      <c r="CE94">
        <f>IF(AND(CE$4=1,CE44=0),1,0)</f>
        <v/>
      </c>
      <c r="CF94">
        <f>IF(AND(CF$4=1,CF44=0),1,0)</f>
        <v/>
      </c>
      <c r="CG94">
        <f>IF(AND(CG$4=1,CG44=0),1,0)</f>
        <v/>
      </c>
      <c r="CH94">
        <f>IF(AND(CH$4=1,CH44=0),1,0)</f>
        <v/>
      </c>
      <c r="CI94">
        <f>IF(AND(CI$4=1,CI44=0),1,0)</f>
        <v/>
      </c>
      <c r="CJ94">
        <f>IF(AND(CJ$4=1,CJ44=0),1,0)</f>
        <v/>
      </c>
      <c r="CK94">
        <f>IF(AND(CK$4=1,CK44=0),1,0)</f>
        <v/>
      </c>
      <c r="CL94">
        <f>IF(AND(CL$4=1,CL44=0),1,0)</f>
        <v/>
      </c>
      <c r="CM94">
        <f>IF(AND(CM$4=1,CM44=0),1,0)</f>
        <v/>
      </c>
      <c r="CN94">
        <f>IF(AND(CN$4=1,CN44=0),1,0)</f>
        <v/>
      </c>
      <c r="CO94">
        <f>IF(AND(CO$4=1,CO44=0),1,0)</f>
        <v/>
      </c>
      <c r="CP94">
        <f>IF(AND(CP$4=1,CP44=0),1,0)</f>
        <v/>
      </c>
      <c r="CQ94">
        <f>IF(AND(CQ$4=1,CQ44=0),1,0)</f>
        <v/>
      </c>
      <c r="CR94">
        <f>IF(AND(CR$4=1,CR44=0),1,0)</f>
        <v/>
      </c>
      <c r="CS94">
        <f>IF(AND(CS$4=1,CS44=0),1,0)</f>
        <v/>
      </c>
      <c r="CT94">
        <f>IF(AND(CT$4=1,CT44=0),1,0)</f>
        <v/>
      </c>
      <c r="CU94">
        <f>IF(AND(CU$4=1,CU44=0),1,0)</f>
        <v/>
      </c>
      <c r="CV94">
        <f>IF(AND(CV$4=1,CV44=0),1,0)</f>
        <v/>
      </c>
      <c r="CW94">
        <f>IF(AND(CW$4=1,CW44=0),1,0)</f>
        <v/>
      </c>
      <c r="CX94">
        <f>IF(AND(CX$4=1,CX44=0),1,0)</f>
        <v/>
      </c>
      <c r="CY94">
        <f>IF(AND(CY$4=1,CY44=0),1,0)</f>
        <v/>
      </c>
      <c r="CZ94">
        <f>IF(AND(CZ$4=1,CZ44=0),1,0)</f>
        <v/>
      </c>
      <c r="DA94">
        <f>IF(AND(DA$4=1,DA44=0),1,0)</f>
        <v/>
      </c>
      <c r="DB94">
        <f>IF(AND(DB$4=1,DB44=0),1,0)</f>
        <v/>
      </c>
      <c r="DC94">
        <f>IF(AND(DC$4=1,DC44=0),1,0)</f>
        <v/>
      </c>
      <c r="DD94">
        <f>IF(AND(DD$4=1,DD44=0),1,0)</f>
        <v/>
      </c>
      <c r="DE94">
        <f>IF(AND(DE$4=1,DE44=0),1,0)</f>
        <v/>
      </c>
      <c r="DF94">
        <f>IF(AND(DF$4=1,DF44=0),1,0)</f>
        <v/>
      </c>
      <c r="DG94">
        <f>IF(AND(DG$4=1,DG44=0),1,0)</f>
        <v/>
      </c>
      <c r="DH94">
        <f>IF(AND(DH$4=1,DH44=0),1,0)</f>
        <v/>
      </c>
      <c r="DI94">
        <f>IF(AND(DI$4=1,DI44=0),1,0)</f>
        <v/>
      </c>
      <c r="DJ94">
        <f>IF(AND(DJ$4=1,DJ44=0),1,0)</f>
        <v/>
      </c>
      <c r="DK94">
        <f>IF(AND(DK$4=1,DK44=0),1,0)</f>
        <v/>
      </c>
      <c r="DL94">
        <f>IF(AND(DL$4=1,DL44=0),1,0)</f>
        <v/>
      </c>
      <c r="DM94">
        <f>IF(AND(DM$4=1,DM44=0),1,0)</f>
        <v/>
      </c>
      <c r="DN94">
        <f>IF(AND(DN$4=1,DN44=0),1,0)</f>
        <v/>
      </c>
      <c r="DO94">
        <f>IF(AND(DO$4=1,DO44=0),1,0)</f>
        <v/>
      </c>
      <c r="DP94">
        <f>IF(AND(DP$4=1,DP44=0),1,0)</f>
        <v/>
      </c>
      <c r="DQ94">
        <f>IF(AND(DQ$4=1,DQ44=0),1,0)</f>
        <v/>
      </c>
      <c r="DR94">
        <f>IF(AND(DR$4=1,DR44=0),1,0)</f>
        <v/>
      </c>
      <c r="DS94">
        <f>IF(AND(DS$4=1,DS44=0),1,0)</f>
        <v/>
      </c>
      <c r="DT94">
        <f>IF(AND(DT$4=1,DT44=0),1,0)</f>
        <v/>
      </c>
      <c r="DU94">
        <f>IF(AND(DU$4=1,DU44=0),1,0)</f>
        <v/>
      </c>
      <c r="DV94">
        <f>IF(AND(DV$4=1,DV44=0),1,0)</f>
        <v/>
      </c>
      <c r="DW94">
        <f>IF(AND(DW$4=1,DW44=0),1,0)</f>
        <v/>
      </c>
      <c r="DX94">
        <f>IF(AND(DX$4=1,DX44=0),1,0)</f>
        <v/>
      </c>
      <c r="DY94">
        <f>IF(AND(DY$4=1,DY44=0),1,0)</f>
        <v/>
      </c>
      <c r="DZ94">
        <f>IF(AND(DZ$4=1,DZ44=0),1,0)</f>
        <v/>
      </c>
      <c r="EA94">
        <f>IF(AND(EA$4=1,EA44=0),1,0)</f>
        <v/>
      </c>
      <c r="EB94">
        <f>IF(AND(EB$4=1,EB44=0),1,0)</f>
        <v/>
      </c>
      <c r="EC94">
        <f>IF(AND(EC$4=1,EC44=0),1,0)</f>
        <v/>
      </c>
      <c r="ED94">
        <f>IF(AND(ED$4=1,ED44=0),1,0)</f>
        <v/>
      </c>
      <c r="EE94">
        <f>IF(AND(EE$4=1,EE44=0),1,0)</f>
        <v/>
      </c>
      <c r="EF94">
        <f>IF(AND(EF$4=1,EF44=0),1,0)</f>
        <v/>
      </c>
      <c r="EG94">
        <f>IF(AND(EG$4=1,EG44=0),1,0)</f>
        <v/>
      </c>
      <c r="EH94">
        <f>IF(AND(EH$4=1,EH44=0),1,0)</f>
        <v/>
      </c>
      <c r="EI94">
        <f>IF(AND(EI$4=1,EI44=0),1,0)</f>
        <v/>
      </c>
      <c r="EJ94">
        <f>IF(AND(EJ$4=1,EJ44=0),1,0)</f>
        <v/>
      </c>
      <c r="EK94">
        <f>IF(AND(EK$4=1,EK44=0),1,0)</f>
        <v/>
      </c>
      <c r="EL94">
        <f>IF(AND(EL$4=1,EL44=0),1,0)</f>
        <v/>
      </c>
      <c r="EM94">
        <f>IF(AND(EM$4=1,EM44=0),1,0)</f>
        <v/>
      </c>
      <c r="EN94">
        <f>IF(AND(EN$4=1,EN44=0),1,0)</f>
        <v/>
      </c>
      <c r="EO94">
        <f>IF(AND(EO$4=1,EO44=0),1,0)</f>
        <v/>
      </c>
      <c r="EP94">
        <f>IF(AND(EP$4=1,EP44=0),1,0)</f>
        <v/>
      </c>
      <c r="EQ94">
        <f>IF(AND(EQ$4=1,EQ44=0),1,0)</f>
        <v/>
      </c>
    </row>
    <row r="95">
      <c r="A95" t="n">
        <v>36</v>
      </c>
      <c r="D95">
        <f>IF(AND(D$4=1,D45=0),1,0)</f>
        <v/>
      </c>
      <c r="E95">
        <f>IF(AND(E$4=1,E45=0),1,0)</f>
        <v/>
      </c>
      <c r="F95">
        <f>IF(AND(F$4=1,F45=0),1,0)</f>
        <v/>
      </c>
      <c r="G95">
        <f>IF(AND(G$4=1,G45=0),1,0)</f>
        <v/>
      </c>
      <c r="H95">
        <f>IF(AND(H$4=1,H45=0),1,0)</f>
        <v/>
      </c>
      <c r="I95">
        <f>IF(AND(I$4=1,I45=0),1,0)</f>
        <v/>
      </c>
      <c r="J95">
        <f>IF(AND(J$4=1,J45=0),1,0)</f>
        <v/>
      </c>
      <c r="K95">
        <f>IF(AND(K$4=1,K45=0),1,0)</f>
        <v/>
      </c>
      <c r="L95">
        <f>IF(AND(L$4=1,L45=0),1,0)</f>
        <v/>
      </c>
      <c r="M95">
        <f>IF(AND(M$4=1,M45=0),1,0)</f>
        <v/>
      </c>
      <c r="N95">
        <f>IF(AND(N$4=1,N45=0),1,0)</f>
        <v/>
      </c>
      <c r="O95">
        <f>IF(AND(O$4=1,O45=0),1,0)</f>
        <v/>
      </c>
      <c r="P95">
        <f>IF(AND(P$4=1,P45=0),1,0)</f>
        <v/>
      </c>
      <c r="Q95">
        <f>IF(AND(Q$4=1,Q45=0),1,0)</f>
        <v/>
      </c>
      <c r="R95">
        <f>IF(AND(R$4=1,R45=0),1,0)</f>
        <v/>
      </c>
      <c r="S95">
        <f>IF(AND(S$4=1,S45=0),1,0)</f>
        <v/>
      </c>
      <c r="T95">
        <f>IF(AND(T$4=1,T45=0),1,0)</f>
        <v/>
      </c>
      <c r="U95">
        <f>IF(AND(U$4=1,U45=0),1,0)</f>
        <v/>
      </c>
      <c r="V95">
        <f>IF(AND(V$4=1,V45=0),1,0)</f>
        <v/>
      </c>
      <c r="W95">
        <f>IF(AND(W$4=1,W45=0),1,0)</f>
        <v/>
      </c>
      <c r="X95">
        <f>IF(AND(X$4=1,X45=0),1,0)</f>
        <v/>
      </c>
      <c r="Y95">
        <f>IF(AND(Y$4=1,Y45=0),1,0)</f>
        <v/>
      </c>
      <c r="Z95">
        <f>IF(AND(Z$4=1,Z45=0),1,0)</f>
        <v/>
      </c>
      <c r="AA95">
        <f>IF(AND(AA$4=1,AA45=0),1,0)</f>
        <v/>
      </c>
      <c r="AB95">
        <f>IF(AND(AB$4=1,AB45=0),1,0)</f>
        <v/>
      </c>
      <c r="AC95">
        <f>IF(AND(AC$4=1,AC45=0),1,0)</f>
        <v/>
      </c>
      <c r="AD95">
        <f>IF(AND(AD$4=1,AD45=0),1,0)</f>
        <v/>
      </c>
      <c r="AE95">
        <f>IF(AND(AE$4=1,AE45=0),1,0)</f>
        <v/>
      </c>
      <c r="AF95">
        <f>IF(AND(AF$4=1,AF45=0),1,0)</f>
        <v/>
      </c>
      <c r="AG95">
        <f>IF(AND(AG$4=1,AG45=0),1,0)</f>
        <v/>
      </c>
      <c r="AH95">
        <f>IF(AND(AH$4=1,AH45=0),1,0)</f>
        <v/>
      </c>
      <c r="AI95">
        <f>IF(AND(AI$4=1,AI45=0),1,0)</f>
        <v/>
      </c>
      <c r="AJ95">
        <f>IF(AND(AJ$4=1,AJ45=0),1,0)</f>
        <v/>
      </c>
      <c r="AK95">
        <f>IF(AND(AK$4=1,AK45=0),1,0)</f>
        <v/>
      </c>
      <c r="AL95">
        <f>IF(AND(AL$4=1,AL45=0),1,0)</f>
        <v/>
      </c>
      <c r="AM95">
        <f>IF(AND(AM$4=1,AM45=0),1,0)</f>
        <v/>
      </c>
      <c r="AN95">
        <f>IF(AND(AN$4=1,AN45=0),1,0)</f>
        <v/>
      </c>
      <c r="AO95">
        <f>IF(AND(AO$4=1,AO45=0),1,0)</f>
        <v/>
      </c>
      <c r="AP95">
        <f>IF(AND(AP$4=1,AP45=0),1,0)</f>
        <v/>
      </c>
      <c r="AQ95">
        <f>IF(AND(AQ$4=1,AQ45=0),1,0)</f>
        <v/>
      </c>
      <c r="AR95">
        <f>IF(AND(AR$4=1,AR45=0),1,0)</f>
        <v/>
      </c>
      <c r="AS95">
        <f>IF(AND(AS$4=1,AS45=0),1,0)</f>
        <v/>
      </c>
      <c r="AT95">
        <f>IF(AND(AT$4=1,AT45=0),1,0)</f>
        <v/>
      </c>
      <c r="AU95">
        <f>IF(AND(AU$4=1,AU45=0),1,0)</f>
        <v/>
      </c>
      <c r="AV95">
        <f>IF(AND(AV$4=1,AV45=0),1,0)</f>
        <v/>
      </c>
      <c r="AW95">
        <f>IF(AND(AW$4=1,AW45=0),1,0)</f>
        <v/>
      </c>
      <c r="AX95">
        <f>IF(AND(AX$4=1,AX45=0),1,0)</f>
        <v/>
      </c>
      <c r="AY95">
        <f>IF(AND(AY$4=1,AY45=0),1,0)</f>
        <v/>
      </c>
      <c r="AZ95">
        <f>IF(AND(AZ$4=1,AZ45=0),1,0)</f>
        <v/>
      </c>
      <c r="BA95">
        <f>IF(AND(BA$4=1,BA45=0),1,0)</f>
        <v/>
      </c>
      <c r="BB95">
        <f>IF(AND(BB$4=1,BB45=0),1,0)</f>
        <v/>
      </c>
      <c r="BC95">
        <f>IF(AND(BC$4=1,BC45=0),1,0)</f>
        <v/>
      </c>
      <c r="BD95">
        <f>IF(AND(BD$4=1,BD45=0),1,0)</f>
        <v/>
      </c>
      <c r="BE95">
        <f>IF(AND(BE$4=1,BE45=0),1,0)</f>
        <v/>
      </c>
      <c r="BF95">
        <f>IF(AND(BF$4=1,BF45=0),1,0)</f>
        <v/>
      </c>
      <c r="BG95">
        <f>IF(AND(BG$4=1,BG45=0),1,0)</f>
        <v/>
      </c>
      <c r="BH95">
        <f>IF(AND(BH$4=1,BH45=0),1,0)</f>
        <v/>
      </c>
      <c r="BI95">
        <f>IF(AND(BI$4=1,BI45=0),1,0)</f>
        <v/>
      </c>
      <c r="BJ95">
        <f>IF(AND(BJ$4=1,BJ45=0),1,0)</f>
        <v/>
      </c>
      <c r="BK95">
        <f>IF(AND(BK$4=1,BK45=0),1,0)</f>
        <v/>
      </c>
      <c r="BL95">
        <f>IF(AND(BL$4=1,BL45=0),1,0)</f>
        <v/>
      </c>
      <c r="BM95">
        <f>IF(AND(BM$4=1,BM45=0),1,0)</f>
        <v/>
      </c>
      <c r="BN95">
        <f>IF(AND(BN$4=1,BN45=0),1,0)</f>
        <v/>
      </c>
      <c r="BO95">
        <f>IF(AND(BO$4=1,BO45=0),1,0)</f>
        <v/>
      </c>
      <c r="BP95">
        <f>IF(AND(BP$4=1,BP45=0),1,0)</f>
        <v/>
      </c>
      <c r="BQ95">
        <f>IF(AND(BQ$4=1,BQ45=0),1,0)</f>
        <v/>
      </c>
      <c r="BR95">
        <f>IF(AND(BR$4=1,BR45=0),1,0)</f>
        <v/>
      </c>
      <c r="BS95">
        <f>IF(AND(BS$4=1,BS45=0),1,0)</f>
        <v/>
      </c>
      <c r="BT95">
        <f>IF(AND(BT$4=1,BT45=0),1,0)</f>
        <v/>
      </c>
      <c r="BU95">
        <f>IF(AND(BU$4=1,BU45=0),1,0)</f>
        <v/>
      </c>
      <c r="BV95">
        <f>IF(AND(BV$4=1,BV45=0),1,0)</f>
        <v/>
      </c>
      <c r="BW95">
        <f>IF(AND(BW$4=1,BW45=0),1,0)</f>
        <v/>
      </c>
      <c r="BX95">
        <f>IF(AND(BX$4=1,BX45=0),1,0)</f>
        <v/>
      </c>
      <c r="BY95">
        <f>IF(AND(BY$4=1,BY45=0),1,0)</f>
        <v/>
      </c>
      <c r="BZ95">
        <f>IF(AND(BZ$4=1,BZ45=0),1,0)</f>
        <v/>
      </c>
      <c r="CA95">
        <f>IF(AND(CA$4=1,CA45=0),1,0)</f>
        <v/>
      </c>
      <c r="CB95">
        <f>IF(AND(CB$4=1,CB45=0),1,0)</f>
        <v/>
      </c>
      <c r="CC95">
        <f>IF(AND(CC$4=1,CC45=0),1,0)</f>
        <v/>
      </c>
      <c r="CD95">
        <f>IF(AND(CD$4=1,CD45=0),1,0)</f>
        <v/>
      </c>
      <c r="CE95">
        <f>IF(AND(CE$4=1,CE45=0),1,0)</f>
        <v/>
      </c>
      <c r="CF95">
        <f>IF(AND(CF$4=1,CF45=0),1,0)</f>
        <v/>
      </c>
      <c r="CG95">
        <f>IF(AND(CG$4=1,CG45=0),1,0)</f>
        <v/>
      </c>
      <c r="CH95">
        <f>IF(AND(CH$4=1,CH45=0),1,0)</f>
        <v/>
      </c>
      <c r="CI95">
        <f>IF(AND(CI$4=1,CI45=0),1,0)</f>
        <v/>
      </c>
      <c r="CJ95">
        <f>IF(AND(CJ$4=1,CJ45=0),1,0)</f>
        <v/>
      </c>
      <c r="CK95">
        <f>IF(AND(CK$4=1,CK45=0),1,0)</f>
        <v/>
      </c>
      <c r="CL95">
        <f>IF(AND(CL$4=1,CL45=0),1,0)</f>
        <v/>
      </c>
      <c r="CM95">
        <f>IF(AND(CM$4=1,CM45=0),1,0)</f>
        <v/>
      </c>
      <c r="CN95">
        <f>IF(AND(CN$4=1,CN45=0),1,0)</f>
        <v/>
      </c>
      <c r="CO95">
        <f>IF(AND(CO$4=1,CO45=0),1,0)</f>
        <v/>
      </c>
      <c r="CP95">
        <f>IF(AND(CP$4=1,CP45=0),1,0)</f>
        <v/>
      </c>
      <c r="CQ95">
        <f>IF(AND(CQ$4=1,CQ45=0),1,0)</f>
        <v/>
      </c>
      <c r="CR95">
        <f>IF(AND(CR$4=1,CR45=0),1,0)</f>
        <v/>
      </c>
      <c r="CS95">
        <f>IF(AND(CS$4=1,CS45=0),1,0)</f>
        <v/>
      </c>
      <c r="CT95">
        <f>IF(AND(CT$4=1,CT45=0),1,0)</f>
        <v/>
      </c>
      <c r="CU95">
        <f>IF(AND(CU$4=1,CU45=0),1,0)</f>
        <v/>
      </c>
      <c r="CV95">
        <f>IF(AND(CV$4=1,CV45=0),1,0)</f>
        <v/>
      </c>
      <c r="CW95">
        <f>IF(AND(CW$4=1,CW45=0),1,0)</f>
        <v/>
      </c>
      <c r="CX95">
        <f>IF(AND(CX$4=1,CX45=0),1,0)</f>
        <v/>
      </c>
      <c r="CY95">
        <f>IF(AND(CY$4=1,CY45=0),1,0)</f>
        <v/>
      </c>
      <c r="CZ95">
        <f>IF(AND(CZ$4=1,CZ45=0),1,0)</f>
        <v/>
      </c>
      <c r="DA95">
        <f>IF(AND(DA$4=1,DA45=0),1,0)</f>
        <v/>
      </c>
      <c r="DB95">
        <f>IF(AND(DB$4=1,DB45=0),1,0)</f>
        <v/>
      </c>
      <c r="DC95">
        <f>IF(AND(DC$4=1,DC45=0),1,0)</f>
        <v/>
      </c>
      <c r="DD95">
        <f>IF(AND(DD$4=1,DD45=0),1,0)</f>
        <v/>
      </c>
      <c r="DE95">
        <f>IF(AND(DE$4=1,DE45=0),1,0)</f>
        <v/>
      </c>
      <c r="DF95">
        <f>IF(AND(DF$4=1,DF45=0),1,0)</f>
        <v/>
      </c>
      <c r="DG95">
        <f>IF(AND(DG$4=1,DG45=0),1,0)</f>
        <v/>
      </c>
      <c r="DH95">
        <f>IF(AND(DH$4=1,DH45=0),1,0)</f>
        <v/>
      </c>
      <c r="DI95">
        <f>IF(AND(DI$4=1,DI45=0),1,0)</f>
        <v/>
      </c>
      <c r="DJ95">
        <f>IF(AND(DJ$4=1,DJ45=0),1,0)</f>
        <v/>
      </c>
      <c r="DK95">
        <f>IF(AND(DK$4=1,DK45=0),1,0)</f>
        <v/>
      </c>
      <c r="DL95">
        <f>IF(AND(DL$4=1,DL45=0),1,0)</f>
        <v/>
      </c>
      <c r="DM95">
        <f>IF(AND(DM$4=1,DM45=0),1,0)</f>
        <v/>
      </c>
      <c r="DN95">
        <f>IF(AND(DN$4=1,DN45=0),1,0)</f>
        <v/>
      </c>
      <c r="DO95">
        <f>IF(AND(DO$4=1,DO45=0),1,0)</f>
        <v/>
      </c>
      <c r="DP95">
        <f>IF(AND(DP$4=1,DP45=0),1,0)</f>
        <v/>
      </c>
      <c r="DQ95">
        <f>IF(AND(DQ$4=1,DQ45=0),1,0)</f>
        <v/>
      </c>
      <c r="DR95">
        <f>IF(AND(DR$4=1,DR45=0),1,0)</f>
        <v/>
      </c>
      <c r="DS95">
        <f>IF(AND(DS$4=1,DS45=0),1,0)</f>
        <v/>
      </c>
      <c r="DT95">
        <f>IF(AND(DT$4=1,DT45=0),1,0)</f>
        <v/>
      </c>
      <c r="DU95">
        <f>IF(AND(DU$4=1,DU45=0),1,0)</f>
        <v/>
      </c>
      <c r="DV95">
        <f>IF(AND(DV$4=1,DV45=0),1,0)</f>
        <v/>
      </c>
      <c r="DW95">
        <f>IF(AND(DW$4=1,DW45=0),1,0)</f>
        <v/>
      </c>
      <c r="DX95">
        <f>IF(AND(DX$4=1,DX45=0),1,0)</f>
        <v/>
      </c>
      <c r="DY95">
        <f>IF(AND(DY$4=1,DY45=0),1,0)</f>
        <v/>
      </c>
      <c r="DZ95">
        <f>IF(AND(DZ$4=1,DZ45=0),1,0)</f>
        <v/>
      </c>
      <c r="EA95">
        <f>IF(AND(EA$4=1,EA45=0),1,0)</f>
        <v/>
      </c>
      <c r="EB95">
        <f>IF(AND(EB$4=1,EB45=0),1,0)</f>
        <v/>
      </c>
      <c r="EC95">
        <f>IF(AND(EC$4=1,EC45=0),1,0)</f>
        <v/>
      </c>
      <c r="ED95">
        <f>IF(AND(ED$4=1,ED45=0),1,0)</f>
        <v/>
      </c>
      <c r="EE95">
        <f>IF(AND(EE$4=1,EE45=0),1,0)</f>
        <v/>
      </c>
      <c r="EF95">
        <f>IF(AND(EF$4=1,EF45=0),1,0)</f>
        <v/>
      </c>
      <c r="EG95">
        <f>IF(AND(EG$4=1,EG45=0),1,0)</f>
        <v/>
      </c>
      <c r="EH95">
        <f>IF(AND(EH$4=1,EH45=0),1,0)</f>
        <v/>
      </c>
      <c r="EI95">
        <f>IF(AND(EI$4=1,EI45=0),1,0)</f>
        <v/>
      </c>
      <c r="EJ95">
        <f>IF(AND(EJ$4=1,EJ45=0),1,0)</f>
        <v/>
      </c>
      <c r="EK95">
        <f>IF(AND(EK$4=1,EK45=0),1,0)</f>
        <v/>
      </c>
      <c r="EL95">
        <f>IF(AND(EL$4=1,EL45=0),1,0)</f>
        <v/>
      </c>
      <c r="EM95">
        <f>IF(AND(EM$4=1,EM45=0),1,0)</f>
        <v/>
      </c>
      <c r="EN95">
        <f>IF(AND(EN$4=1,EN45=0),1,0)</f>
        <v/>
      </c>
      <c r="EO95">
        <f>IF(AND(EO$4=1,EO45=0),1,0)</f>
        <v/>
      </c>
      <c r="EP95">
        <f>IF(AND(EP$4=1,EP45=0),1,0)</f>
        <v/>
      </c>
      <c r="EQ95">
        <f>IF(AND(EQ$4=1,EQ45=0),1,0)</f>
        <v/>
      </c>
    </row>
    <row r="96">
      <c r="A96" t="n">
        <v>37</v>
      </c>
      <c r="D96">
        <f>IF(AND(D$4=1,D46=0),1,0)</f>
        <v/>
      </c>
      <c r="E96">
        <f>IF(AND(E$4=1,E46=0),1,0)</f>
        <v/>
      </c>
      <c r="F96">
        <f>IF(AND(F$4=1,F46=0),1,0)</f>
        <v/>
      </c>
      <c r="G96">
        <f>IF(AND(G$4=1,G46=0),1,0)</f>
        <v/>
      </c>
      <c r="H96">
        <f>IF(AND(H$4=1,H46=0),1,0)</f>
        <v/>
      </c>
      <c r="I96">
        <f>IF(AND(I$4=1,I46=0),1,0)</f>
        <v/>
      </c>
      <c r="J96">
        <f>IF(AND(J$4=1,J46=0),1,0)</f>
        <v/>
      </c>
      <c r="K96">
        <f>IF(AND(K$4=1,K46=0),1,0)</f>
        <v/>
      </c>
      <c r="L96">
        <f>IF(AND(L$4=1,L46=0),1,0)</f>
        <v/>
      </c>
      <c r="M96">
        <f>IF(AND(M$4=1,M46=0),1,0)</f>
        <v/>
      </c>
      <c r="N96">
        <f>IF(AND(N$4=1,N46=0),1,0)</f>
        <v/>
      </c>
      <c r="O96">
        <f>IF(AND(O$4=1,O46=0),1,0)</f>
        <v/>
      </c>
      <c r="P96">
        <f>IF(AND(P$4=1,P46=0),1,0)</f>
        <v/>
      </c>
      <c r="Q96">
        <f>IF(AND(Q$4=1,Q46=0),1,0)</f>
        <v/>
      </c>
      <c r="R96">
        <f>IF(AND(R$4=1,R46=0),1,0)</f>
        <v/>
      </c>
      <c r="S96">
        <f>IF(AND(S$4=1,S46=0),1,0)</f>
        <v/>
      </c>
      <c r="T96">
        <f>IF(AND(T$4=1,T46=0),1,0)</f>
        <v/>
      </c>
      <c r="U96">
        <f>IF(AND(U$4=1,U46=0),1,0)</f>
        <v/>
      </c>
      <c r="V96">
        <f>IF(AND(V$4=1,V46=0),1,0)</f>
        <v/>
      </c>
      <c r="W96">
        <f>IF(AND(W$4=1,W46=0),1,0)</f>
        <v/>
      </c>
      <c r="X96">
        <f>IF(AND(X$4=1,X46=0),1,0)</f>
        <v/>
      </c>
      <c r="Y96">
        <f>IF(AND(Y$4=1,Y46=0),1,0)</f>
        <v/>
      </c>
      <c r="Z96">
        <f>IF(AND(Z$4=1,Z46=0),1,0)</f>
        <v/>
      </c>
      <c r="AA96">
        <f>IF(AND(AA$4=1,AA46=0),1,0)</f>
        <v/>
      </c>
      <c r="AB96">
        <f>IF(AND(AB$4=1,AB46=0),1,0)</f>
        <v/>
      </c>
      <c r="AC96">
        <f>IF(AND(AC$4=1,AC46=0),1,0)</f>
        <v/>
      </c>
      <c r="AD96">
        <f>IF(AND(AD$4=1,AD46=0),1,0)</f>
        <v/>
      </c>
      <c r="AE96">
        <f>IF(AND(AE$4=1,AE46=0),1,0)</f>
        <v/>
      </c>
      <c r="AF96">
        <f>IF(AND(AF$4=1,AF46=0),1,0)</f>
        <v/>
      </c>
      <c r="AG96">
        <f>IF(AND(AG$4=1,AG46=0),1,0)</f>
        <v/>
      </c>
      <c r="AH96">
        <f>IF(AND(AH$4=1,AH46=0),1,0)</f>
        <v/>
      </c>
      <c r="AI96">
        <f>IF(AND(AI$4=1,AI46=0),1,0)</f>
        <v/>
      </c>
      <c r="AJ96">
        <f>IF(AND(AJ$4=1,AJ46=0),1,0)</f>
        <v/>
      </c>
      <c r="AK96">
        <f>IF(AND(AK$4=1,AK46=0),1,0)</f>
        <v/>
      </c>
      <c r="AL96">
        <f>IF(AND(AL$4=1,AL46=0),1,0)</f>
        <v/>
      </c>
      <c r="AM96">
        <f>IF(AND(AM$4=1,AM46=0),1,0)</f>
        <v/>
      </c>
      <c r="AN96">
        <f>IF(AND(AN$4=1,AN46=0),1,0)</f>
        <v/>
      </c>
      <c r="AO96">
        <f>IF(AND(AO$4=1,AO46=0),1,0)</f>
        <v/>
      </c>
      <c r="AP96">
        <f>IF(AND(AP$4=1,AP46=0),1,0)</f>
        <v/>
      </c>
      <c r="AQ96">
        <f>IF(AND(AQ$4=1,AQ46=0),1,0)</f>
        <v/>
      </c>
      <c r="AR96">
        <f>IF(AND(AR$4=1,AR46=0),1,0)</f>
        <v/>
      </c>
      <c r="AS96">
        <f>IF(AND(AS$4=1,AS46=0),1,0)</f>
        <v/>
      </c>
      <c r="AT96">
        <f>IF(AND(AT$4=1,AT46=0),1,0)</f>
        <v/>
      </c>
      <c r="AU96">
        <f>IF(AND(AU$4=1,AU46=0),1,0)</f>
        <v/>
      </c>
      <c r="AV96">
        <f>IF(AND(AV$4=1,AV46=0),1,0)</f>
        <v/>
      </c>
      <c r="AW96">
        <f>IF(AND(AW$4=1,AW46=0),1,0)</f>
        <v/>
      </c>
      <c r="AX96">
        <f>IF(AND(AX$4=1,AX46=0),1,0)</f>
        <v/>
      </c>
      <c r="AY96">
        <f>IF(AND(AY$4=1,AY46=0),1,0)</f>
        <v/>
      </c>
      <c r="AZ96">
        <f>IF(AND(AZ$4=1,AZ46=0),1,0)</f>
        <v/>
      </c>
      <c r="BA96">
        <f>IF(AND(BA$4=1,BA46=0),1,0)</f>
        <v/>
      </c>
      <c r="BB96">
        <f>IF(AND(BB$4=1,BB46=0),1,0)</f>
        <v/>
      </c>
      <c r="BC96">
        <f>IF(AND(BC$4=1,BC46=0),1,0)</f>
        <v/>
      </c>
      <c r="BD96">
        <f>IF(AND(BD$4=1,BD46=0),1,0)</f>
        <v/>
      </c>
      <c r="BE96">
        <f>IF(AND(BE$4=1,BE46=0),1,0)</f>
        <v/>
      </c>
      <c r="BF96">
        <f>IF(AND(BF$4=1,BF46=0),1,0)</f>
        <v/>
      </c>
      <c r="BG96">
        <f>IF(AND(BG$4=1,BG46=0),1,0)</f>
        <v/>
      </c>
      <c r="BH96">
        <f>IF(AND(BH$4=1,BH46=0),1,0)</f>
        <v/>
      </c>
      <c r="BI96">
        <f>IF(AND(BI$4=1,BI46=0),1,0)</f>
        <v/>
      </c>
      <c r="BJ96">
        <f>IF(AND(BJ$4=1,BJ46=0),1,0)</f>
        <v/>
      </c>
      <c r="BK96">
        <f>IF(AND(BK$4=1,BK46=0),1,0)</f>
        <v/>
      </c>
      <c r="BL96">
        <f>IF(AND(BL$4=1,BL46=0),1,0)</f>
        <v/>
      </c>
      <c r="BM96">
        <f>IF(AND(BM$4=1,BM46=0),1,0)</f>
        <v/>
      </c>
      <c r="BN96">
        <f>IF(AND(BN$4=1,BN46=0),1,0)</f>
        <v/>
      </c>
      <c r="BO96">
        <f>IF(AND(BO$4=1,BO46=0),1,0)</f>
        <v/>
      </c>
      <c r="BP96">
        <f>IF(AND(BP$4=1,BP46=0),1,0)</f>
        <v/>
      </c>
      <c r="BQ96">
        <f>IF(AND(BQ$4=1,BQ46=0),1,0)</f>
        <v/>
      </c>
      <c r="BR96">
        <f>IF(AND(BR$4=1,BR46=0),1,0)</f>
        <v/>
      </c>
      <c r="BS96">
        <f>IF(AND(BS$4=1,BS46=0),1,0)</f>
        <v/>
      </c>
      <c r="BT96">
        <f>IF(AND(BT$4=1,BT46=0),1,0)</f>
        <v/>
      </c>
      <c r="BU96">
        <f>IF(AND(BU$4=1,BU46=0),1,0)</f>
        <v/>
      </c>
      <c r="BV96">
        <f>IF(AND(BV$4=1,BV46=0),1,0)</f>
        <v/>
      </c>
      <c r="BW96">
        <f>IF(AND(BW$4=1,BW46=0),1,0)</f>
        <v/>
      </c>
      <c r="BX96">
        <f>IF(AND(BX$4=1,BX46=0),1,0)</f>
        <v/>
      </c>
      <c r="BY96">
        <f>IF(AND(BY$4=1,BY46=0),1,0)</f>
        <v/>
      </c>
      <c r="BZ96">
        <f>IF(AND(BZ$4=1,BZ46=0),1,0)</f>
        <v/>
      </c>
      <c r="CA96">
        <f>IF(AND(CA$4=1,CA46=0),1,0)</f>
        <v/>
      </c>
      <c r="CB96">
        <f>IF(AND(CB$4=1,CB46=0),1,0)</f>
        <v/>
      </c>
      <c r="CC96">
        <f>IF(AND(CC$4=1,CC46=0),1,0)</f>
        <v/>
      </c>
      <c r="CD96">
        <f>IF(AND(CD$4=1,CD46=0),1,0)</f>
        <v/>
      </c>
      <c r="CE96">
        <f>IF(AND(CE$4=1,CE46=0),1,0)</f>
        <v/>
      </c>
      <c r="CF96">
        <f>IF(AND(CF$4=1,CF46=0),1,0)</f>
        <v/>
      </c>
      <c r="CG96">
        <f>IF(AND(CG$4=1,CG46=0),1,0)</f>
        <v/>
      </c>
      <c r="CH96">
        <f>IF(AND(CH$4=1,CH46=0),1,0)</f>
        <v/>
      </c>
      <c r="CI96">
        <f>IF(AND(CI$4=1,CI46=0),1,0)</f>
        <v/>
      </c>
      <c r="CJ96">
        <f>IF(AND(CJ$4=1,CJ46=0),1,0)</f>
        <v/>
      </c>
      <c r="CK96">
        <f>IF(AND(CK$4=1,CK46=0),1,0)</f>
        <v/>
      </c>
      <c r="CL96">
        <f>IF(AND(CL$4=1,CL46=0),1,0)</f>
        <v/>
      </c>
      <c r="CM96">
        <f>IF(AND(CM$4=1,CM46=0),1,0)</f>
        <v/>
      </c>
      <c r="CN96">
        <f>IF(AND(CN$4=1,CN46=0),1,0)</f>
        <v/>
      </c>
      <c r="CO96">
        <f>IF(AND(CO$4=1,CO46=0),1,0)</f>
        <v/>
      </c>
      <c r="CP96">
        <f>IF(AND(CP$4=1,CP46=0),1,0)</f>
        <v/>
      </c>
      <c r="CQ96">
        <f>IF(AND(CQ$4=1,CQ46=0),1,0)</f>
        <v/>
      </c>
      <c r="CR96">
        <f>IF(AND(CR$4=1,CR46=0),1,0)</f>
        <v/>
      </c>
      <c r="CS96">
        <f>IF(AND(CS$4=1,CS46=0),1,0)</f>
        <v/>
      </c>
      <c r="CT96">
        <f>IF(AND(CT$4=1,CT46=0),1,0)</f>
        <v/>
      </c>
      <c r="CU96">
        <f>IF(AND(CU$4=1,CU46=0),1,0)</f>
        <v/>
      </c>
      <c r="CV96">
        <f>IF(AND(CV$4=1,CV46=0),1,0)</f>
        <v/>
      </c>
      <c r="CW96">
        <f>IF(AND(CW$4=1,CW46=0),1,0)</f>
        <v/>
      </c>
      <c r="CX96">
        <f>IF(AND(CX$4=1,CX46=0),1,0)</f>
        <v/>
      </c>
      <c r="CY96">
        <f>IF(AND(CY$4=1,CY46=0),1,0)</f>
        <v/>
      </c>
      <c r="CZ96">
        <f>IF(AND(CZ$4=1,CZ46=0),1,0)</f>
        <v/>
      </c>
      <c r="DA96">
        <f>IF(AND(DA$4=1,DA46=0),1,0)</f>
        <v/>
      </c>
      <c r="DB96">
        <f>IF(AND(DB$4=1,DB46=0),1,0)</f>
        <v/>
      </c>
      <c r="DC96">
        <f>IF(AND(DC$4=1,DC46=0),1,0)</f>
        <v/>
      </c>
      <c r="DD96">
        <f>IF(AND(DD$4=1,DD46=0),1,0)</f>
        <v/>
      </c>
      <c r="DE96">
        <f>IF(AND(DE$4=1,DE46=0),1,0)</f>
        <v/>
      </c>
      <c r="DF96">
        <f>IF(AND(DF$4=1,DF46=0),1,0)</f>
        <v/>
      </c>
      <c r="DG96">
        <f>IF(AND(DG$4=1,DG46=0),1,0)</f>
        <v/>
      </c>
      <c r="DH96">
        <f>IF(AND(DH$4=1,DH46=0),1,0)</f>
        <v/>
      </c>
      <c r="DI96">
        <f>IF(AND(DI$4=1,DI46=0),1,0)</f>
        <v/>
      </c>
      <c r="DJ96">
        <f>IF(AND(DJ$4=1,DJ46=0),1,0)</f>
        <v/>
      </c>
      <c r="DK96">
        <f>IF(AND(DK$4=1,DK46=0),1,0)</f>
        <v/>
      </c>
      <c r="DL96">
        <f>IF(AND(DL$4=1,DL46=0),1,0)</f>
        <v/>
      </c>
      <c r="DM96">
        <f>IF(AND(DM$4=1,DM46=0),1,0)</f>
        <v/>
      </c>
      <c r="DN96">
        <f>IF(AND(DN$4=1,DN46=0),1,0)</f>
        <v/>
      </c>
      <c r="DO96">
        <f>IF(AND(DO$4=1,DO46=0),1,0)</f>
        <v/>
      </c>
      <c r="DP96">
        <f>IF(AND(DP$4=1,DP46=0),1,0)</f>
        <v/>
      </c>
      <c r="DQ96">
        <f>IF(AND(DQ$4=1,DQ46=0),1,0)</f>
        <v/>
      </c>
      <c r="DR96">
        <f>IF(AND(DR$4=1,DR46=0),1,0)</f>
        <v/>
      </c>
      <c r="DS96">
        <f>IF(AND(DS$4=1,DS46=0),1,0)</f>
        <v/>
      </c>
      <c r="DT96">
        <f>IF(AND(DT$4=1,DT46=0),1,0)</f>
        <v/>
      </c>
      <c r="DU96">
        <f>IF(AND(DU$4=1,DU46=0),1,0)</f>
        <v/>
      </c>
      <c r="DV96">
        <f>IF(AND(DV$4=1,DV46=0),1,0)</f>
        <v/>
      </c>
      <c r="DW96">
        <f>IF(AND(DW$4=1,DW46=0),1,0)</f>
        <v/>
      </c>
      <c r="DX96">
        <f>IF(AND(DX$4=1,DX46=0),1,0)</f>
        <v/>
      </c>
      <c r="DY96">
        <f>IF(AND(DY$4=1,DY46=0),1,0)</f>
        <v/>
      </c>
      <c r="DZ96">
        <f>IF(AND(DZ$4=1,DZ46=0),1,0)</f>
        <v/>
      </c>
      <c r="EA96">
        <f>IF(AND(EA$4=1,EA46=0),1,0)</f>
        <v/>
      </c>
      <c r="EB96">
        <f>IF(AND(EB$4=1,EB46=0),1,0)</f>
        <v/>
      </c>
      <c r="EC96">
        <f>IF(AND(EC$4=1,EC46=0),1,0)</f>
        <v/>
      </c>
      <c r="ED96">
        <f>IF(AND(ED$4=1,ED46=0),1,0)</f>
        <v/>
      </c>
      <c r="EE96">
        <f>IF(AND(EE$4=1,EE46=0),1,0)</f>
        <v/>
      </c>
      <c r="EF96">
        <f>IF(AND(EF$4=1,EF46=0),1,0)</f>
        <v/>
      </c>
      <c r="EG96">
        <f>IF(AND(EG$4=1,EG46=0),1,0)</f>
        <v/>
      </c>
      <c r="EH96">
        <f>IF(AND(EH$4=1,EH46=0),1,0)</f>
        <v/>
      </c>
      <c r="EI96">
        <f>IF(AND(EI$4=1,EI46=0),1,0)</f>
        <v/>
      </c>
      <c r="EJ96">
        <f>IF(AND(EJ$4=1,EJ46=0),1,0)</f>
        <v/>
      </c>
      <c r="EK96">
        <f>IF(AND(EK$4=1,EK46=0),1,0)</f>
        <v/>
      </c>
      <c r="EL96">
        <f>IF(AND(EL$4=1,EL46=0),1,0)</f>
        <v/>
      </c>
      <c r="EM96">
        <f>IF(AND(EM$4=1,EM46=0),1,0)</f>
        <v/>
      </c>
      <c r="EN96">
        <f>IF(AND(EN$4=1,EN46=0),1,0)</f>
        <v/>
      </c>
      <c r="EO96">
        <f>IF(AND(EO$4=1,EO46=0),1,0)</f>
        <v/>
      </c>
      <c r="EP96">
        <f>IF(AND(EP$4=1,EP46=0),1,0)</f>
        <v/>
      </c>
      <c r="EQ96">
        <f>IF(AND(EQ$4=1,EQ46=0),1,0)</f>
        <v/>
      </c>
    </row>
    <row r="97">
      <c r="A97" t="n">
        <v>38</v>
      </c>
      <c r="D97">
        <f>IF(AND(D$4=1,D47=0),1,0)</f>
        <v/>
      </c>
      <c r="E97">
        <f>IF(AND(E$4=1,E47=0),1,0)</f>
        <v/>
      </c>
      <c r="F97">
        <f>IF(AND(F$4=1,F47=0),1,0)</f>
        <v/>
      </c>
      <c r="G97">
        <f>IF(AND(G$4=1,G47=0),1,0)</f>
        <v/>
      </c>
      <c r="H97">
        <f>IF(AND(H$4=1,H47=0),1,0)</f>
        <v/>
      </c>
      <c r="I97">
        <f>IF(AND(I$4=1,I47=0),1,0)</f>
        <v/>
      </c>
      <c r="J97">
        <f>IF(AND(J$4=1,J47=0),1,0)</f>
        <v/>
      </c>
      <c r="K97">
        <f>IF(AND(K$4=1,K47=0),1,0)</f>
        <v/>
      </c>
      <c r="L97">
        <f>IF(AND(L$4=1,L47=0),1,0)</f>
        <v/>
      </c>
      <c r="M97">
        <f>IF(AND(M$4=1,M47=0),1,0)</f>
        <v/>
      </c>
      <c r="N97">
        <f>IF(AND(N$4=1,N47=0),1,0)</f>
        <v/>
      </c>
      <c r="O97">
        <f>IF(AND(O$4=1,O47=0),1,0)</f>
        <v/>
      </c>
      <c r="P97">
        <f>IF(AND(P$4=1,P47=0),1,0)</f>
        <v/>
      </c>
      <c r="Q97">
        <f>IF(AND(Q$4=1,Q47=0),1,0)</f>
        <v/>
      </c>
      <c r="R97">
        <f>IF(AND(R$4=1,R47=0),1,0)</f>
        <v/>
      </c>
      <c r="S97">
        <f>IF(AND(S$4=1,S47=0),1,0)</f>
        <v/>
      </c>
      <c r="T97">
        <f>IF(AND(T$4=1,T47=0),1,0)</f>
        <v/>
      </c>
      <c r="U97">
        <f>IF(AND(U$4=1,U47=0),1,0)</f>
        <v/>
      </c>
      <c r="V97">
        <f>IF(AND(V$4=1,V47=0),1,0)</f>
        <v/>
      </c>
      <c r="W97">
        <f>IF(AND(W$4=1,W47=0),1,0)</f>
        <v/>
      </c>
      <c r="X97">
        <f>IF(AND(X$4=1,X47=0),1,0)</f>
        <v/>
      </c>
      <c r="Y97">
        <f>IF(AND(Y$4=1,Y47=0),1,0)</f>
        <v/>
      </c>
      <c r="Z97">
        <f>IF(AND(Z$4=1,Z47=0),1,0)</f>
        <v/>
      </c>
      <c r="AA97">
        <f>IF(AND(AA$4=1,AA47=0),1,0)</f>
        <v/>
      </c>
      <c r="AB97">
        <f>IF(AND(AB$4=1,AB47=0),1,0)</f>
        <v/>
      </c>
      <c r="AC97">
        <f>IF(AND(AC$4=1,AC47=0),1,0)</f>
        <v/>
      </c>
      <c r="AD97">
        <f>IF(AND(AD$4=1,AD47=0),1,0)</f>
        <v/>
      </c>
      <c r="AE97">
        <f>IF(AND(AE$4=1,AE47=0),1,0)</f>
        <v/>
      </c>
      <c r="AF97">
        <f>IF(AND(AF$4=1,AF47=0),1,0)</f>
        <v/>
      </c>
      <c r="AG97">
        <f>IF(AND(AG$4=1,AG47=0),1,0)</f>
        <v/>
      </c>
      <c r="AH97">
        <f>IF(AND(AH$4=1,AH47=0),1,0)</f>
        <v/>
      </c>
      <c r="AI97">
        <f>IF(AND(AI$4=1,AI47=0),1,0)</f>
        <v/>
      </c>
      <c r="AJ97">
        <f>IF(AND(AJ$4=1,AJ47=0),1,0)</f>
        <v/>
      </c>
      <c r="AK97">
        <f>IF(AND(AK$4=1,AK47=0),1,0)</f>
        <v/>
      </c>
      <c r="AL97">
        <f>IF(AND(AL$4=1,AL47=0),1,0)</f>
        <v/>
      </c>
      <c r="AM97">
        <f>IF(AND(AM$4=1,AM47=0),1,0)</f>
        <v/>
      </c>
      <c r="AN97">
        <f>IF(AND(AN$4=1,AN47=0),1,0)</f>
        <v/>
      </c>
      <c r="AO97">
        <f>IF(AND(AO$4=1,AO47=0),1,0)</f>
        <v/>
      </c>
      <c r="AP97">
        <f>IF(AND(AP$4=1,AP47=0),1,0)</f>
        <v/>
      </c>
      <c r="AQ97">
        <f>IF(AND(AQ$4=1,AQ47=0),1,0)</f>
        <v/>
      </c>
      <c r="AR97">
        <f>IF(AND(AR$4=1,AR47=0),1,0)</f>
        <v/>
      </c>
      <c r="AS97">
        <f>IF(AND(AS$4=1,AS47=0),1,0)</f>
        <v/>
      </c>
      <c r="AT97">
        <f>IF(AND(AT$4=1,AT47=0),1,0)</f>
        <v/>
      </c>
      <c r="AU97">
        <f>IF(AND(AU$4=1,AU47=0),1,0)</f>
        <v/>
      </c>
      <c r="AV97">
        <f>IF(AND(AV$4=1,AV47=0),1,0)</f>
        <v/>
      </c>
      <c r="AW97">
        <f>IF(AND(AW$4=1,AW47=0),1,0)</f>
        <v/>
      </c>
      <c r="AX97">
        <f>IF(AND(AX$4=1,AX47=0),1,0)</f>
        <v/>
      </c>
      <c r="AY97">
        <f>IF(AND(AY$4=1,AY47=0),1,0)</f>
        <v/>
      </c>
      <c r="AZ97">
        <f>IF(AND(AZ$4=1,AZ47=0),1,0)</f>
        <v/>
      </c>
      <c r="BA97">
        <f>IF(AND(BA$4=1,BA47=0),1,0)</f>
        <v/>
      </c>
      <c r="BB97">
        <f>IF(AND(BB$4=1,BB47=0),1,0)</f>
        <v/>
      </c>
      <c r="BC97">
        <f>IF(AND(BC$4=1,BC47=0),1,0)</f>
        <v/>
      </c>
      <c r="BD97">
        <f>IF(AND(BD$4=1,BD47=0),1,0)</f>
        <v/>
      </c>
      <c r="BE97">
        <f>IF(AND(BE$4=1,BE47=0),1,0)</f>
        <v/>
      </c>
      <c r="BF97">
        <f>IF(AND(BF$4=1,BF47=0),1,0)</f>
        <v/>
      </c>
      <c r="BG97">
        <f>IF(AND(BG$4=1,BG47=0),1,0)</f>
        <v/>
      </c>
      <c r="BH97">
        <f>IF(AND(BH$4=1,BH47=0),1,0)</f>
        <v/>
      </c>
      <c r="BI97">
        <f>IF(AND(BI$4=1,BI47=0),1,0)</f>
        <v/>
      </c>
      <c r="BJ97">
        <f>IF(AND(BJ$4=1,BJ47=0),1,0)</f>
        <v/>
      </c>
      <c r="BK97">
        <f>IF(AND(BK$4=1,BK47=0),1,0)</f>
        <v/>
      </c>
      <c r="BL97">
        <f>IF(AND(BL$4=1,BL47=0),1,0)</f>
        <v/>
      </c>
      <c r="BM97">
        <f>IF(AND(BM$4=1,BM47=0),1,0)</f>
        <v/>
      </c>
      <c r="BN97">
        <f>IF(AND(BN$4=1,BN47=0),1,0)</f>
        <v/>
      </c>
      <c r="BO97">
        <f>IF(AND(BO$4=1,BO47=0),1,0)</f>
        <v/>
      </c>
      <c r="BP97">
        <f>IF(AND(BP$4=1,BP47=0),1,0)</f>
        <v/>
      </c>
      <c r="BQ97">
        <f>IF(AND(BQ$4=1,BQ47=0),1,0)</f>
        <v/>
      </c>
      <c r="BR97">
        <f>IF(AND(BR$4=1,BR47=0),1,0)</f>
        <v/>
      </c>
      <c r="BS97">
        <f>IF(AND(BS$4=1,BS47=0),1,0)</f>
        <v/>
      </c>
      <c r="BT97">
        <f>IF(AND(BT$4=1,BT47=0),1,0)</f>
        <v/>
      </c>
      <c r="BU97">
        <f>IF(AND(BU$4=1,BU47=0),1,0)</f>
        <v/>
      </c>
      <c r="BV97">
        <f>IF(AND(BV$4=1,BV47=0),1,0)</f>
        <v/>
      </c>
      <c r="BW97">
        <f>IF(AND(BW$4=1,BW47=0),1,0)</f>
        <v/>
      </c>
      <c r="BX97">
        <f>IF(AND(BX$4=1,BX47=0),1,0)</f>
        <v/>
      </c>
      <c r="BY97">
        <f>IF(AND(BY$4=1,BY47=0),1,0)</f>
        <v/>
      </c>
      <c r="BZ97">
        <f>IF(AND(BZ$4=1,BZ47=0),1,0)</f>
        <v/>
      </c>
      <c r="CA97">
        <f>IF(AND(CA$4=1,CA47=0),1,0)</f>
        <v/>
      </c>
      <c r="CB97">
        <f>IF(AND(CB$4=1,CB47=0),1,0)</f>
        <v/>
      </c>
      <c r="CC97">
        <f>IF(AND(CC$4=1,CC47=0),1,0)</f>
        <v/>
      </c>
      <c r="CD97">
        <f>IF(AND(CD$4=1,CD47=0),1,0)</f>
        <v/>
      </c>
      <c r="CE97">
        <f>IF(AND(CE$4=1,CE47=0),1,0)</f>
        <v/>
      </c>
      <c r="CF97">
        <f>IF(AND(CF$4=1,CF47=0),1,0)</f>
        <v/>
      </c>
      <c r="CG97">
        <f>IF(AND(CG$4=1,CG47=0),1,0)</f>
        <v/>
      </c>
      <c r="CH97">
        <f>IF(AND(CH$4=1,CH47=0),1,0)</f>
        <v/>
      </c>
      <c r="CI97">
        <f>IF(AND(CI$4=1,CI47=0),1,0)</f>
        <v/>
      </c>
      <c r="CJ97">
        <f>IF(AND(CJ$4=1,CJ47=0),1,0)</f>
        <v/>
      </c>
      <c r="CK97">
        <f>IF(AND(CK$4=1,CK47=0),1,0)</f>
        <v/>
      </c>
      <c r="CL97">
        <f>IF(AND(CL$4=1,CL47=0),1,0)</f>
        <v/>
      </c>
      <c r="CM97">
        <f>IF(AND(CM$4=1,CM47=0),1,0)</f>
        <v/>
      </c>
      <c r="CN97">
        <f>IF(AND(CN$4=1,CN47=0),1,0)</f>
        <v/>
      </c>
      <c r="CO97">
        <f>IF(AND(CO$4=1,CO47=0),1,0)</f>
        <v/>
      </c>
      <c r="CP97">
        <f>IF(AND(CP$4=1,CP47=0),1,0)</f>
        <v/>
      </c>
      <c r="CQ97">
        <f>IF(AND(CQ$4=1,CQ47=0),1,0)</f>
        <v/>
      </c>
      <c r="CR97">
        <f>IF(AND(CR$4=1,CR47=0),1,0)</f>
        <v/>
      </c>
      <c r="CS97">
        <f>IF(AND(CS$4=1,CS47=0),1,0)</f>
        <v/>
      </c>
      <c r="CT97">
        <f>IF(AND(CT$4=1,CT47=0),1,0)</f>
        <v/>
      </c>
      <c r="CU97">
        <f>IF(AND(CU$4=1,CU47=0),1,0)</f>
        <v/>
      </c>
      <c r="CV97">
        <f>IF(AND(CV$4=1,CV47=0),1,0)</f>
        <v/>
      </c>
      <c r="CW97">
        <f>IF(AND(CW$4=1,CW47=0),1,0)</f>
        <v/>
      </c>
      <c r="CX97">
        <f>IF(AND(CX$4=1,CX47=0),1,0)</f>
        <v/>
      </c>
      <c r="CY97">
        <f>IF(AND(CY$4=1,CY47=0),1,0)</f>
        <v/>
      </c>
      <c r="CZ97">
        <f>IF(AND(CZ$4=1,CZ47=0),1,0)</f>
        <v/>
      </c>
      <c r="DA97">
        <f>IF(AND(DA$4=1,DA47=0),1,0)</f>
        <v/>
      </c>
      <c r="DB97">
        <f>IF(AND(DB$4=1,DB47=0),1,0)</f>
        <v/>
      </c>
      <c r="DC97">
        <f>IF(AND(DC$4=1,DC47=0),1,0)</f>
        <v/>
      </c>
      <c r="DD97">
        <f>IF(AND(DD$4=1,DD47=0),1,0)</f>
        <v/>
      </c>
      <c r="DE97">
        <f>IF(AND(DE$4=1,DE47=0),1,0)</f>
        <v/>
      </c>
      <c r="DF97">
        <f>IF(AND(DF$4=1,DF47=0),1,0)</f>
        <v/>
      </c>
      <c r="DG97">
        <f>IF(AND(DG$4=1,DG47=0),1,0)</f>
        <v/>
      </c>
      <c r="DH97">
        <f>IF(AND(DH$4=1,DH47=0),1,0)</f>
        <v/>
      </c>
      <c r="DI97">
        <f>IF(AND(DI$4=1,DI47=0),1,0)</f>
        <v/>
      </c>
      <c r="DJ97">
        <f>IF(AND(DJ$4=1,DJ47=0),1,0)</f>
        <v/>
      </c>
      <c r="DK97">
        <f>IF(AND(DK$4=1,DK47=0),1,0)</f>
        <v/>
      </c>
      <c r="DL97">
        <f>IF(AND(DL$4=1,DL47=0),1,0)</f>
        <v/>
      </c>
      <c r="DM97">
        <f>IF(AND(DM$4=1,DM47=0),1,0)</f>
        <v/>
      </c>
      <c r="DN97">
        <f>IF(AND(DN$4=1,DN47=0),1,0)</f>
        <v/>
      </c>
      <c r="DO97">
        <f>IF(AND(DO$4=1,DO47=0),1,0)</f>
        <v/>
      </c>
      <c r="DP97">
        <f>IF(AND(DP$4=1,DP47=0),1,0)</f>
        <v/>
      </c>
      <c r="DQ97">
        <f>IF(AND(DQ$4=1,DQ47=0),1,0)</f>
        <v/>
      </c>
      <c r="DR97">
        <f>IF(AND(DR$4=1,DR47=0),1,0)</f>
        <v/>
      </c>
      <c r="DS97">
        <f>IF(AND(DS$4=1,DS47=0),1,0)</f>
        <v/>
      </c>
      <c r="DT97">
        <f>IF(AND(DT$4=1,DT47=0),1,0)</f>
        <v/>
      </c>
      <c r="DU97">
        <f>IF(AND(DU$4=1,DU47=0),1,0)</f>
        <v/>
      </c>
      <c r="DV97">
        <f>IF(AND(DV$4=1,DV47=0),1,0)</f>
        <v/>
      </c>
      <c r="DW97">
        <f>IF(AND(DW$4=1,DW47=0),1,0)</f>
        <v/>
      </c>
      <c r="DX97">
        <f>IF(AND(DX$4=1,DX47=0),1,0)</f>
        <v/>
      </c>
      <c r="DY97">
        <f>IF(AND(DY$4=1,DY47=0),1,0)</f>
        <v/>
      </c>
      <c r="DZ97">
        <f>IF(AND(DZ$4=1,DZ47=0),1,0)</f>
        <v/>
      </c>
      <c r="EA97">
        <f>IF(AND(EA$4=1,EA47=0),1,0)</f>
        <v/>
      </c>
      <c r="EB97">
        <f>IF(AND(EB$4=1,EB47=0),1,0)</f>
        <v/>
      </c>
      <c r="EC97">
        <f>IF(AND(EC$4=1,EC47=0),1,0)</f>
        <v/>
      </c>
      <c r="ED97">
        <f>IF(AND(ED$4=1,ED47=0),1,0)</f>
        <v/>
      </c>
      <c r="EE97">
        <f>IF(AND(EE$4=1,EE47=0),1,0)</f>
        <v/>
      </c>
      <c r="EF97">
        <f>IF(AND(EF$4=1,EF47=0),1,0)</f>
        <v/>
      </c>
      <c r="EG97">
        <f>IF(AND(EG$4=1,EG47=0),1,0)</f>
        <v/>
      </c>
      <c r="EH97">
        <f>IF(AND(EH$4=1,EH47=0),1,0)</f>
        <v/>
      </c>
      <c r="EI97">
        <f>IF(AND(EI$4=1,EI47=0),1,0)</f>
        <v/>
      </c>
      <c r="EJ97">
        <f>IF(AND(EJ$4=1,EJ47=0),1,0)</f>
        <v/>
      </c>
      <c r="EK97">
        <f>IF(AND(EK$4=1,EK47=0),1,0)</f>
        <v/>
      </c>
      <c r="EL97">
        <f>IF(AND(EL$4=1,EL47=0),1,0)</f>
        <v/>
      </c>
      <c r="EM97">
        <f>IF(AND(EM$4=1,EM47=0),1,0)</f>
        <v/>
      </c>
      <c r="EN97">
        <f>IF(AND(EN$4=1,EN47=0),1,0)</f>
        <v/>
      </c>
      <c r="EO97">
        <f>IF(AND(EO$4=1,EO47=0),1,0)</f>
        <v/>
      </c>
      <c r="EP97">
        <f>IF(AND(EP$4=1,EP47=0),1,0)</f>
        <v/>
      </c>
      <c r="EQ97">
        <f>IF(AND(EQ$4=1,EQ47=0),1,0)</f>
        <v/>
      </c>
    </row>
    <row r="98">
      <c r="A98" t="n">
        <v>39</v>
      </c>
      <c r="D98">
        <f>IF(AND(D$4=1,D48=0),1,0)</f>
        <v/>
      </c>
      <c r="E98">
        <f>IF(AND(E$4=1,E48=0),1,0)</f>
        <v/>
      </c>
      <c r="F98">
        <f>IF(AND(F$4=1,F48=0),1,0)</f>
        <v/>
      </c>
      <c r="G98">
        <f>IF(AND(G$4=1,G48=0),1,0)</f>
        <v/>
      </c>
      <c r="H98">
        <f>IF(AND(H$4=1,H48=0),1,0)</f>
        <v/>
      </c>
      <c r="I98">
        <f>IF(AND(I$4=1,I48=0),1,0)</f>
        <v/>
      </c>
      <c r="J98">
        <f>IF(AND(J$4=1,J48=0),1,0)</f>
        <v/>
      </c>
      <c r="K98">
        <f>IF(AND(K$4=1,K48=0),1,0)</f>
        <v/>
      </c>
      <c r="L98">
        <f>IF(AND(L$4=1,L48=0),1,0)</f>
        <v/>
      </c>
      <c r="M98">
        <f>IF(AND(M$4=1,M48=0),1,0)</f>
        <v/>
      </c>
      <c r="N98">
        <f>IF(AND(N$4=1,N48=0),1,0)</f>
        <v/>
      </c>
      <c r="O98">
        <f>IF(AND(O$4=1,O48=0),1,0)</f>
        <v/>
      </c>
      <c r="P98">
        <f>IF(AND(P$4=1,P48=0),1,0)</f>
        <v/>
      </c>
      <c r="Q98">
        <f>IF(AND(Q$4=1,Q48=0),1,0)</f>
        <v/>
      </c>
      <c r="R98">
        <f>IF(AND(R$4=1,R48=0),1,0)</f>
        <v/>
      </c>
      <c r="S98">
        <f>IF(AND(S$4=1,S48=0),1,0)</f>
        <v/>
      </c>
      <c r="T98">
        <f>IF(AND(T$4=1,T48=0),1,0)</f>
        <v/>
      </c>
      <c r="U98">
        <f>IF(AND(U$4=1,U48=0),1,0)</f>
        <v/>
      </c>
      <c r="V98">
        <f>IF(AND(V$4=1,V48=0),1,0)</f>
        <v/>
      </c>
      <c r="W98">
        <f>IF(AND(W$4=1,W48=0),1,0)</f>
        <v/>
      </c>
      <c r="X98">
        <f>IF(AND(X$4=1,X48=0),1,0)</f>
        <v/>
      </c>
      <c r="Y98">
        <f>IF(AND(Y$4=1,Y48=0),1,0)</f>
        <v/>
      </c>
      <c r="Z98">
        <f>IF(AND(Z$4=1,Z48=0),1,0)</f>
        <v/>
      </c>
      <c r="AA98">
        <f>IF(AND(AA$4=1,AA48=0),1,0)</f>
        <v/>
      </c>
      <c r="AB98">
        <f>IF(AND(AB$4=1,AB48=0),1,0)</f>
        <v/>
      </c>
      <c r="AC98">
        <f>IF(AND(AC$4=1,AC48=0),1,0)</f>
        <v/>
      </c>
      <c r="AD98">
        <f>IF(AND(AD$4=1,AD48=0),1,0)</f>
        <v/>
      </c>
      <c r="AE98">
        <f>IF(AND(AE$4=1,AE48=0),1,0)</f>
        <v/>
      </c>
      <c r="AF98">
        <f>IF(AND(AF$4=1,AF48=0),1,0)</f>
        <v/>
      </c>
      <c r="AG98">
        <f>IF(AND(AG$4=1,AG48=0),1,0)</f>
        <v/>
      </c>
      <c r="AH98">
        <f>IF(AND(AH$4=1,AH48=0),1,0)</f>
        <v/>
      </c>
      <c r="AI98">
        <f>IF(AND(AI$4=1,AI48=0),1,0)</f>
        <v/>
      </c>
      <c r="AJ98">
        <f>IF(AND(AJ$4=1,AJ48=0),1,0)</f>
        <v/>
      </c>
      <c r="AK98">
        <f>IF(AND(AK$4=1,AK48=0),1,0)</f>
        <v/>
      </c>
      <c r="AL98">
        <f>IF(AND(AL$4=1,AL48=0),1,0)</f>
        <v/>
      </c>
      <c r="AM98">
        <f>IF(AND(AM$4=1,AM48=0),1,0)</f>
        <v/>
      </c>
      <c r="AN98">
        <f>IF(AND(AN$4=1,AN48=0),1,0)</f>
        <v/>
      </c>
      <c r="AO98">
        <f>IF(AND(AO$4=1,AO48=0),1,0)</f>
        <v/>
      </c>
      <c r="AP98">
        <f>IF(AND(AP$4=1,AP48=0),1,0)</f>
        <v/>
      </c>
      <c r="AQ98">
        <f>IF(AND(AQ$4=1,AQ48=0),1,0)</f>
        <v/>
      </c>
      <c r="AR98">
        <f>IF(AND(AR$4=1,AR48=0),1,0)</f>
        <v/>
      </c>
      <c r="AS98">
        <f>IF(AND(AS$4=1,AS48=0),1,0)</f>
        <v/>
      </c>
      <c r="AT98">
        <f>IF(AND(AT$4=1,AT48=0),1,0)</f>
        <v/>
      </c>
      <c r="AU98">
        <f>IF(AND(AU$4=1,AU48=0),1,0)</f>
        <v/>
      </c>
      <c r="AV98">
        <f>IF(AND(AV$4=1,AV48=0),1,0)</f>
        <v/>
      </c>
      <c r="AW98">
        <f>IF(AND(AW$4=1,AW48=0),1,0)</f>
        <v/>
      </c>
      <c r="AX98">
        <f>IF(AND(AX$4=1,AX48=0),1,0)</f>
        <v/>
      </c>
      <c r="AY98">
        <f>IF(AND(AY$4=1,AY48=0),1,0)</f>
        <v/>
      </c>
      <c r="AZ98">
        <f>IF(AND(AZ$4=1,AZ48=0),1,0)</f>
        <v/>
      </c>
      <c r="BA98">
        <f>IF(AND(BA$4=1,BA48=0),1,0)</f>
        <v/>
      </c>
      <c r="BB98">
        <f>IF(AND(BB$4=1,BB48=0),1,0)</f>
        <v/>
      </c>
      <c r="BC98">
        <f>IF(AND(BC$4=1,BC48=0),1,0)</f>
        <v/>
      </c>
      <c r="BD98">
        <f>IF(AND(BD$4=1,BD48=0),1,0)</f>
        <v/>
      </c>
      <c r="BE98">
        <f>IF(AND(BE$4=1,BE48=0),1,0)</f>
        <v/>
      </c>
      <c r="BF98">
        <f>IF(AND(BF$4=1,BF48=0),1,0)</f>
        <v/>
      </c>
      <c r="BG98">
        <f>IF(AND(BG$4=1,BG48=0),1,0)</f>
        <v/>
      </c>
      <c r="BH98">
        <f>IF(AND(BH$4=1,BH48=0),1,0)</f>
        <v/>
      </c>
      <c r="BI98">
        <f>IF(AND(BI$4=1,BI48=0),1,0)</f>
        <v/>
      </c>
      <c r="BJ98">
        <f>IF(AND(BJ$4=1,BJ48=0),1,0)</f>
        <v/>
      </c>
      <c r="BK98">
        <f>IF(AND(BK$4=1,BK48=0),1,0)</f>
        <v/>
      </c>
      <c r="BL98">
        <f>IF(AND(BL$4=1,BL48=0),1,0)</f>
        <v/>
      </c>
      <c r="BM98">
        <f>IF(AND(BM$4=1,BM48=0),1,0)</f>
        <v/>
      </c>
      <c r="BN98">
        <f>IF(AND(BN$4=1,BN48=0),1,0)</f>
        <v/>
      </c>
      <c r="BO98">
        <f>IF(AND(BO$4=1,BO48=0),1,0)</f>
        <v/>
      </c>
      <c r="BP98">
        <f>IF(AND(BP$4=1,BP48=0),1,0)</f>
        <v/>
      </c>
      <c r="BQ98">
        <f>IF(AND(BQ$4=1,BQ48=0),1,0)</f>
        <v/>
      </c>
      <c r="BR98">
        <f>IF(AND(BR$4=1,BR48=0),1,0)</f>
        <v/>
      </c>
      <c r="BS98">
        <f>IF(AND(BS$4=1,BS48=0),1,0)</f>
        <v/>
      </c>
      <c r="BT98">
        <f>IF(AND(BT$4=1,BT48=0),1,0)</f>
        <v/>
      </c>
      <c r="BU98">
        <f>IF(AND(BU$4=1,BU48=0),1,0)</f>
        <v/>
      </c>
      <c r="BV98">
        <f>IF(AND(BV$4=1,BV48=0),1,0)</f>
        <v/>
      </c>
      <c r="BW98">
        <f>IF(AND(BW$4=1,BW48=0),1,0)</f>
        <v/>
      </c>
      <c r="BX98">
        <f>IF(AND(BX$4=1,BX48=0),1,0)</f>
        <v/>
      </c>
      <c r="BY98">
        <f>IF(AND(BY$4=1,BY48=0),1,0)</f>
        <v/>
      </c>
      <c r="BZ98">
        <f>IF(AND(BZ$4=1,BZ48=0),1,0)</f>
        <v/>
      </c>
      <c r="CA98">
        <f>IF(AND(CA$4=1,CA48=0),1,0)</f>
        <v/>
      </c>
      <c r="CB98">
        <f>IF(AND(CB$4=1,CB48=0),1,0)</f>
        <v/>
      </c>
      <c r="CC98">
        <f>IF(AND(CC$4=1,CC48=0),1,0)</f>
        <v/>
      </c>
      <c r="CD98">
        <f>IF(AND(CD$4=1,CD48=0),1,0)</f>
        <v/>
      </c>
      <c r="CE98">
        <f>IF(AND(CE$4=1,CE48=0),1,0)</f>
        <v/>
      </c>
      <c r="CF98">
        <f>IF(AND(CF$4=1,CF48=0),1,0)</f>
        <v/>
      </c>
      <c r="CG98">
        <f>IF(AND(CG$4=1,CG48=0),1,0)</f>
        <v/>
      </c>
      <c r="CH98">
        <f>IF(AND(CH$4=1,CH48=0),1,0)</f>
        <v/>
      </c>
      <c r="CI98">
        <f>IF(AND(CI$4=1,CI48=0),1,0)</f>
        <v/>
      </c>
      <c r="CJ98">
        <f>IF(AND(CJ$4=1,CJ48=0),1,0)</f>
        <v/>
      </c>
      <c r="CK98">
        <f>IF(AND(CK$4=1,CK48=0),1,0)</f>
        <v/>
      </c>
      <c r="CL98">
        <f>IF(AND(CL$4=1,CL48=0),1,0)</f>
        <v/>
      </c>
      <c r="CM98">
        <f>IF(AND(CM$4=1,CM48=0),1,0)</f>
        <v/>
      </c>
      <c r="CN98">
        <f>IF(AND(CN$4=1,CN48=0),1,0)</f>
        <v/>
      </c>
      <c r="CO98">
        <f>IF(AND(CO$4=1,CO48=0),1,0)</f>
        <v/>
      </c>
      <c r="CP98">
        <f>IF(AND(CP$4=1,CP48=0),1,0)</f>
        <v/>
      </c>
      <c r="CQ98">
        <f>IF(AND(CQ$4=1,CQ48=0),1,0)</f>
        <v/>
      </c>
      <c r="CR98">
        <f>IF(AND(CR$4=1,CR48=0),1,0)</f>
        <v/>
      </c>
      <c r="CS98">
        <f>IF(AND(CS$4=1,CS48=0),1,0)</f>
        <v/>
      </c>
      <c r="CT98">
        <f>IF(AND(CT$4=1,CT48=0),1,0)</f>
        <v/>
      </c>
      <c r="CU98">
        <f>IF(AND(CU$4=1,CU48=0),1,0)</f>
        <v/>
      </c>
      <c r="CV98">
        <f>IF(AND(CV$4=1,CV48=0),1,0)</f>
        <v/>
      </c>
      <c r="CW98">
        <f>IF(AND(CW$4=1,CW48=0),1,0)</f>
        <v/>
      </c>
      <c r="CX98">
        <f>IF(AND(CX$4=1,CX48=0),1,0)</f>
        <v/>
      </c>
      <c r="CY98">
        <f>IF(AND(CY$4=1,CY48=0),1,0)</f>
        <v/>
      </c>
      <c r="CZ98">
        <f>IF(AND(CZ$4=1,CZ48=0),1,0)</f>
        <v/>
      </c>
      <c r="DA98">
        <f>IF(AND(DA$4=1,DA48=0),1,0)</f>
        <v/>
      </c>
      <c r="DB98">
        <f>IF(AND(DB$4=1,DB48=0),1,0)</f>
        <v/>
      </c>
      <c r="DC98">
        <f>IF(AND(DC$4=1,DC48=0),1,0)</f>
        <v/>
      </c>
      <c r="DD98">
        <f>IF(AND(DD$4=1,DD48=0),1,0)</f>
        <v/>
      </c>
      <c r="DE98">
        <f>IF(AND(DE$4=1,DE48=0),1,0)</f>
        <v/>
      </c>
      <c r="DF98">
        <f>IF(AND(DF$4=1,DF48=0),1,0)</f>
        <v/>
      </c>
      <c r="DG98">
        <f>IF(AND(DG$4=1,DG48=0),1,0)</f>
        <v/>
      </c>
      <c r="DH98">
        <f>IF(AND(DH$4=1,DH48=0),1,0)</f>
        <v/>
      </c>
      <c r="DI98">
        <f>IF(AND(DI$4=1,DI48=0),1,0)</f>
        <v/>
      </c>
      <c r="DJ98">
        <f>IF(AND(DJ$4=1,DJ48=0),1,0)</f>
        <v/>
      </c>
      <c r="DK98">
        <f>IF(AND(DK$4=1,DK48=0),1,0)</f>
        <v/>
      </c>
      <c r="DL98">
        <f>IF(AND(DL$4=1,DL48=0),1,0)</f>
        <v/>
      </c>
      <c r="DM98">
        <f>IF(AND(DM$4=1,DM48=0),1,0)</f>
        <v/>
      </c>
      <c r="DN98">
        <f>IF(AND(DN$4=1,DN48=0),1,0)</f>
        <v/>
      </c>
      <c r="DO98">
        <f>IF(AND(DO$4=1,DO48=0),1,0)</f>
        <v/>
      </c>
      <c r="DP98">
        <f>IF(AND(DP$4=1,DP48=0),1,0)</f>
        <v/>
      </c>
      <c r="DQ98">
        <f>IF(AND(DQ$4=1,DQ48=0),1,0)</f>
        <v/>
      </c>
      <c r="DR98">
        <f>IF(AND(DR$4=1,DR48=0),1,0)</f>
        <v/>
      </c>
      <c r="DS98">
        <f>IF(AND(DS$4=1,DS48=0),1,0)</f>
        <v/>
      </c>
      <c r="DT98">
        <f>IF(AND(DT$4=1,DT48=0),1,0)</f>
        <v/>
      </c>
      <c r="DU98">
        <f>IF(AND(DU$4=1,DU48=0),1,0)</f>
        <v/>
      </c>
      <c r="DV98">
        <f>IF(AND(DV$4=1,DV48=0),1,0)</f>
        <v/>
      </c>
      <c r="DW98">
        <f>IF(AND(DW$4=1,DW48=0),1,0)</f>
        <v/>
      </c>
      <c r="DX98">
        <f>IF(AND(DX$4=1,DX48=0),1,0)</f>
        <v/>
      </c>
      <c r="DY98">
        <f>IF(AND(DY$4=1,DY48=0),1,0)</f>
        <v/>
      </c>
      <c r="DZ98">
        <f>IF(AND(DZ$4=1,DZ48=0),1,0)</f>
        <v/>
      </c>
      <c r="EA98">
        <f>IF(AND(EA$4=1,EA48=0),1,0)</f>
        <v/>
      </c>
      <c r="EB98">
        <f>IF(AND(EB$4=1,EB48=0),1,0)</f>
        <v/>
      </c>
      <c r="EC98">
        <f>IF(AND(EC$4=1,EC48=0),1,0)</f>
        <v/>
      </c>
      <c r="ED98">
        <f>IF(AND(ED$4=1,ED48=0),1,0)</f>
        <v/>
      </c>
      <c r="EE98">
        <f>IF(AND(EE$4=1,EE48=0),1,0)</f>
        <v/>
      </c>
      <c r="EF98">
        <f>IF(AND(EF$4=1,EF48=0),1,0)</f>
        <v/>
      </c>
      <c r="EG98">
        <f>IF(AND(EG$4=1,EG48=0),1,0)</f>
        <v/>
      </c>
      <c r="EH98">
        <f>IF(AND(EH$4=1,EH48=0),1,0)</f>
        <v/>
      </c>
      <c r="EI98">
        <f>IF(AND(EI$4=1,EI48=0),1,0)</f>
        <v/>
      </c>
      <c r="EJ98">
        <f>IF(AND(EJ$4=1,EJ48=0),1,0)</f>
        <v/>
      </c>
      <c r="EK98">
        <f>IF(AND(EK$4=1,EK48=0),1,0)</f>
        <v/>
      </c>
      <c r="EL98">
        <f>IF(AND(EL$4=1,EL48=0),1,0)</f>
        <v/>
      </c>
      <c r="EM98">
        <f>IF(AND(EM$4=1,EM48=0),1,0)</f>
        <v/>
      </c>
      <c r="EN98">
        <f>IF(AND(EN$4=1,EN48=0),1,0)</f>
        <v/>
      </c>
      <c r="EO98">
        <f>IF(AND(EO$4=1,EO48=0),1,0)</f>
        <v/>
      </c>
      <c r="EP98">
        <f>IF(AND(EP$4=1,EP48=0),1,0)</f>
        <v/>
      </c>
      <c r="EQ98">
        <f>IF(AND(EQ$4=1,EQ48=0),1,0)</f>
        <v/>
      </c>
    </row>
    <row r="99">
      <c r="A99" t="n">
        <v>40</v>
      </c>
      <c r="D99">
        <f>IF(AND(D$4=1,D49=0),1,0)</f>
        <v/>
      </c>
      <c r="E99">
        <f>IF(AND(E$4=1,E49=0),1,0)</f>
        <v/>
      </c>
      <c r="F99">
        <f>IF(AND(F$4=1,F49=0),1,0)</f>
        <v/>
      </c>
      <c r="G99">
        <f>IF(AND(G$4=1,G49=0),1,0)</f>
        <v/>
      </c>
      <c r="H99">
        <f>IF(AND(H$4=1,H49=0),1,0)</f>
        <v/>
      </c>
      <c r="I99">
        <f>IF(AND(I$4=1,I49=0),1,0)</f>
        <v/>
      </c>
      <c r="J99">
        <f>IF(AND(J$4=1,J49=0),1,0)</f>
        <v/>
      </c>
      <c r="K99">
        <f>IF(AND(K$4=1,K49=0),1,0)</f>
        <v/>
      </c>
      <c r="L99">
        <f>IF(AND(L$4=1,L49=0),1,0)</f>
        <v/>
      </c>
      <c r="M99">
        <f>IF(AND(M$4=1,M49=0),1,0)</f>
        <v/>
      </c>
      <c r="N99">
        <f>IF(AND(N$4=1,N49=0),1,0)</f>
        <v/>
      </c>
      <c r="O99">
        <f>IF(AND(O$4=1,O49=0),1,0)</f>
        <v/>
      </c>
      <c r="P99">
        <f>IF(AND(P$4=1,P49=0),1,0)</f>
        <v/>
      </c>
      <c r="Q99">
        <f>IF(AND(Q$4=1,Q49=0),1,0)</f>
        <v/>
      </c>
      <c r="R99">
        <f>IF(AND(R$4=1,R49=0),1,0)</f>
        <v/>
      </c>
      <c r="S99">
        <f>IF(AND(S$4=1,S49=0),1,0)</f>
        <v/>
      </c>
      <c r="T99">
        <f>IF(AND(T$4=1,T49=0),1,0)</f>
        <v/>
      </c>
      <c r="U99">
        <f>IF(AND(U$4=1,U49=0),1,0)</f>
        <v/>
      </c>
      <c r="V99">
        <f>IF(AND(V$4=1,V49=0),1,0)</f>
        <v/>
      </c>
      <c r="W99">
        <f>IF(AND(W$4=1,W49=0),1,0)</f>
        <v/>
      </c>
      <c r="X99">
        <f>IF(AND(X$4=1,X49=0),1,0)</f>
        <v/>
      </c>
      <c r="Y99">
        <f>IF(AND(Y$4=1,Y49=0),1,0)</f>
        <v/>
      </c>
      <c r="Z99">
        <f>IF(AND(Z$4=1,Z49=0),1,0)</f>
        <v/>
      </c>
      <c r="AA99">
        <f>IF(AND(AA$4=1,AA49=0),1,0)</f>
        <v/>
      </c>
      <c r="AB99">
        <f>IF(AND(AB$4=1,AB49=0),1,0)</f>
        <v/>
      </c>
      <c r="AC99">
        <f>IF(AND(AC$4=1,AC49=0),1,0)</f>
        <v/>
      </c>
      <c r="AD99">
        <f>IF(AND(AD$4=1,AD49=0),1,0)</f>
        <v/>
      </c>
      <c r="AE99">
        <f>IF(AND(AE$4=1,AE49=0),1,0)</f>
        <v/>
      </c>
      <c r="AF99">
        <f>IF(AND(AF$4=1,AF49=0),1,0)</f>
        <v/>
      </c>
      <c r="AG99">
        <f>IF(AND(AG$4=1,AG49=0),1,0)</f>
        <v/>
      </c>
      <c r="AH99">
        <f>IF(AND(AH$4=1,AH49=0),1,0)</f>
        <v/>
      </c>
      <c r="AI99">
        <f>IF(AND(AI$4=1,AI49=0),1,0)</f>
        <v/>
      </c>
      <c r="AJ99">
        <f>IF(AND(AJ$4=1,AJ49=0),1,0)</f>
        <v/>
      </c>
      <c r="AK99">
        <f>IF(AND(AK$4=1,AK49=0),1,0)</f>
        <v/>
      </c>
      <c r="AL99">
        <f>IF(AND(AL$4=1,AL49=0),1,0)</f>
        <v/>
      </c>
      <c r="AM99">
        <f>IF(AND(AM$4=1,AM49=0),1,0)</f>
        <v/>
      </c>
      <c r="AN99">
        <f>IF(AND(AN$4=1,AN49=0),1,0)</f>
        <v/>
      </c>
      <c r="AO99">
        <f>IF(AND(AO$4=1,AO49=0),1,0)</f>
        <v/>
      </c>
      <c r="AP99">
        <f>IF(AND(AP$4=1,AP49=0),1,0)</f>
        <v/>
      </c>
      <c r="AQ99">
        <f>IF(AND(AQ$4=1,AQ49=0),1,0)</f>
        <v/>
      </c>
      <c r="AR99">
        <f>IF(AND(AR$4=1,AR49=0),1,0)</f>
        <v/>
      </c>
      <c r="AS99">
        <f>IF(AND(AS$4=1,AS49=0),1,0)</f>
        <v/>
      </c>
      <c r="AT99">
        <f>IF(AND(AT$4=1,AT49=0),1,0)</f>
        <v/>
      </c>
      <c r="AU99">
        <f>IF(AND(AU$4=1,AU49=0),1,0)</f>
        <v/>
      </c>
      <c r="AV99">
        <f>IF(AND(AV$4=1,AV49=0),1,0)</f>
        <v/>
      </c>
      <c r="AW99">
        <f>IF(AND(AW$4=1,AW49=0),1,0)</f>
        <v/>
      </c>
      <c r="AX99">
        <f>IF(AND(AX$4=1,AX49=0),1,0)</f>
        <v/>
      </c>
      <c r="AY99">
        <f>IF(AND(AY$4=1,AY49=0),1,0)</f>
        <v/>
      </c>
      <c r="AZ99">
        <f>IF(AND(AZ$4=1,AZ49=0),1,0)</f>
        <v/>
      </c>
      <c r="BA99">
        <f>IF(AND(BA$4=1,BA49=0),1,0)</f>
        <v/>
      </c>
      <c r="BB99">
        <f>IF(AND(BB$4=1,BB49=0),1,0)</f>
        <v/>
      </c>
      <c r="BC99">
        <f>IF(AND(BC$4=1,BC49=0),1,0)</f>
        <v/>
      </c>
      <c r="BD99">
        <f>IF(AND(BD$4=1,BD49=0),1,0)</f>
        <v/>
      </c>
      <c r="BE99">
        <f>IF(AND(BE$4=1,BE49=0),1,0)</f>
        <v/>
      </c>
      <c r="BF99">
        <f>IF(AND(BF$4=1,BF49=0),1,0)</f>
        <v/>
      </c>
      <c r="BG99">
        <f>IF(AND(BG$4=1,BG49=0),1,0)</f>
        <v/>
      </c>
      <c r="BH99">
        <f>IF(AND(BH$4=1,BH49=0),1,0)</f>
        <v/>
      </c>
      <c r="BI99">
        <f>IF(AND(BI$4=1,BI49=0),1,0)</f>
        <v/>
      </c>
      <c r="BJ99">
        <f>IF(AND(BJ$4=1,BJ49=0),1,0)</f>
        <v/>
      </c>
      <c r="BK99">
        <f>IF(AND(BK$4=1,BK49=0),1,0)</f>
        <v/>
      </c>
      <c r="BL99">
        <f>IF(AND(BL$4=1,BL49=0),1,0)</f>
        <v/>
      </c>
      <c r="BM99">
        <f>IF(AND(BM$4=1,BM49=0),1,0)</f>
        <v/>
      </c>
      <c r="BN99">
        <f>IF(AND(BN$4=1,BN49=0),1,0)</f>
        <v/>
      </c>
      <c r="BO99">
        <f>IF(AND(BO$4=1,BO49=0),1,0)</f>
        <v/>
      </c>
      <c r="BP99">
        <f>IF(AND(BP$4=1,BP49=0),1,0)</f>
        <v/>
      </c>
      <c r="BQ99">
        <f>IF(AND(BQ$4=1,BQ49=0),1,0)</f>
        <v/>
      </c>
      <c r="BR99">
        <f>IF(AND(BR$4=1,BR49=0),1,0)</f>
        <v/>
      </c>
      <c r="BS99">
        <f>IF(AND(BS$4=1,BS49=0),1,0)</f>
        <v/>
      </c>
      <c r="BT99">
        <f>IF(AND(BT$4=1,BT49=0),1,0)</f>
        <v/>
      </c>
      <c r="BU99">
        <f>IF(AND(BU$4=1,BU49=0),1,0)</f>
        <v/>
      </c>
      <c r="BV99">
        <f>IF(AND(BV$4=1,BV49=0),1,0)</f>
        <v/>
      </c>
      <c r="BW99">
        <f>IF(AND(BW$4=1,BW49=0),1,0)</f>
        <v/>
      </c>
      <c r="BX99">
        <f>IF(AND(BX$4=1,BX49=0),1,0)</f>
        <v/>
      </c>
      <c r="BY99">
        <f>IF(AND(BY$4=1,BY49=0),1,0)</f>
        <v/>
      </c>
      <c r="BZ99">
        <f>IF(AND(BZ$4=1,BZ49=0),1,0)</f>
        <v/>
      </c>
      <c r="CA99">
        <f>IF(AND(CA$4=1,CA49=0),1,0)</f>
        <v/>
      </c>
      <c r="CB99">
        <f>IF(AND(CB$4=1,CB49=0),1,0)</f>
        <v/>
      </c>
      <c r="CC99">
        <f>IF(AND(CC$4=1,CC49=0),1,0)</f>
        <v/>
      </c>
      <c r="CD99">
        <f>IF(AND(CD$4=1,CD49=0),1,0)</f>
        <v/>
      </c>
      <c r="CE99">
        <f>IF(AND(CE$4=1,CE49=0),1,0)</f>
        <v/>
      </c>
      <c r="CF99">
        <f>IF(AND(CF$4=1,CF49=0),1,0)</f>
        <v/>
      </c>
      <c r="CG99">
        <f>IF(AND(CG$4=1,CG49=0),1,0)</f>
        <v/>
      </c>
      <c r="CH99">
        <f>IF(AND(CH$4=1,CH49=0),1,0)</f>
        <v/>
      </c>
      <c r="CI99">
        <f>IF(AND(CI$4=1,CI49=0),1,0)</f>
        <v/>
      </c>
      <c r="CJ99">
        <f>IF(AND(CJ$4=1,CJ49=0),1,0)</f>
        <v/>
      </c>
      <c r="CK99">
        <f>IF(AND(CK$4=1,CK49=0),1,0)</f>
        <v/>
      </c>
      <c r="CL99">
        <f>IF(AND(CL$4=1,CL49=0),1,0)</f>
        <v/>
      </c>
      <c r="CM99">
        <f>IF(AND(CM$4=1,CM49=0),1,0)</f>
        <v/>
      </c>
      <c r="CN99">
        <f>IF(AND(CN$4=1,CN49=0),1,0)</f>
        <v/>
      </c>
      <c r="CO99">
        <f>IF(AND(CO$4=1,CO49=0),1,0)</f>
        <v/>
      </c>
      <c r="CP99">
        <f>IF(AND(CP$4=1,CP49=0),1,0)</f>
        <v/>
      </c>
      <c r="CQ99">
        <f>IF(AND(CQ$4=1,CQ49=0),1,0)</f>
        <v/>
      </c>
      <c r="CR99">
        <f>IF(AND(CR$4=1,CR49=0),1,0)</f>
        <v/>
      </c>
      <c r="CS99">
        <f>IF(AND(CS$4=1,CS49=0),1,0)</f>
        <v/>
      </c>
      <c r="CT99">
        <f>IF(AND(CT$4=1,CT49=0),1,0)</f>
        <v/>
      </c>
      <c r="CU99">
        <f>IF(AND(CU$4=1,CU49=0),1,0)</f>
        <v/>
      </c>
      <c r="CV99">
        <f>IF(AND(CV$4=1,CV49=0),1,0)</f>
        <v/>
      </c>
      <c r="CW99">
        <f>IF(AND(CW$4=1,CW49=0),1,0)</f>
        <v/>
      </c>
      <c r="CX99">
        <f>IF(AND(CX$4=1,CX49=0),1,0)</f>
        <v/>
      </c>
      <c r="CY99">
        <f>IF(AND(CY$4=1,CY49=0),1,0)</f>
        <v/>
      </c>
      <c r="CZ99">
        <f>IF(AND(CZ$4=1,CZ49=0),1,0)</f>
        <v/>
      </c>
      <c r="DA99">
        <f>IF(AND(DA$4=1,DA49=0),1,0)</f>
        <v/>
      </c>
      <c r="DB99">
        <f>IF(AND(DB$4=1,DB49=0),1,0)</f>
        <v/>
      </c>
      <c r="DC99">
        <f>IF(AND(DC$4=1,DC49=0),1,0)</f>
        <v/>
      </c>
      <c r="DD99">
        <f>IF(AND(DD$4=1,DD49=0),1,0)</f>
        <v/>
      </c>
      <c r="DE99">
        <f>IF(AND(DE$4=1,DE49=0),1,0)</f>
        <v/>
      </c>
      <c r="DF99">
        <f>IF(AND(DF$4=1,DF49=0),1,0)</f>
        <v/>
      </c>
      <c r="DG99">
        <f>IF(AND(DG$4=1,DG49=0),1,0)</f>
        <v/>
      </c>
      <c r="DH99">
        <f>IF(AND(DH$4=1,DH49=0),1,0)</f>
        <v/>
      </c>
      <c r="DI99">
        <f>IF(AND(DI$4=1,DI49=0),1,0)</f>
        <v/>
      </c>
      <c r="DJ99">
        <f>IF(AND(DJ$4=1,DJ49=0),1,0)</f>
        <v/>
      </c>
      <c r="DK99">
        <f>IF(AND(DK$4=1,DK49=0),1,0)</f>
        <v/>
      </c>
      <c r="DL99">
        <f>IF(AND(DL$4=1,DL49=0),1,0)</f>
        <v/>
      </c>
      <c r="DM99">
        <f>IF(AND(DM$4=1,DM49=0),1,0)</f>
        <v/>
      </c>
      <c r="DN99">
        <f>IF(AND(DN$4=1,DN49=0),1,0)</f>
        <v/>
      </c>
      <c r="DO99">
        <f>IF(AND(DO$4=1,DO49=0),1,0)</f>
        <v/>
      </c>
      <c r="DP99">
        <f>IF(AND(DP$4=1,DP49=0),1,0)</f>
        <v/>
      </c>
      <c r="DQ99">
        <f>IF(AND(DQ$4=1,DQ49=0),1,0)</f>
        <v/>
      </c>
      <c r="DR99">
        <f>IF(AND(DR$4=1,DR49=0),1,0)</f>
        <v/>
      </c>
      <c r="DS99">
        <f>IF(AND(DS$4=1,DS49=0),1,0)</f>
        <v/>
      </c>
      <c r="DT99">
        <f>IF(AND(DT$4=1,DT49=0),1,0)</f>
        <v/>
      </c>
      <c r="DU99">
        <f>IF(AND(DU$4=1,DU49=0),1,0)</f>
        <v/>
      </c>
      <c r="DV99">
        <f>IF(AND(DV$4=1,DV49=0),1,0)</f>
        <v/>
      </c>
      <c r="DW99">
        <f>IF(AND(DW$4=1,DW49=0),1,0)</f>
        <v/>
      </c>
      <c r="DX99">
        <f>IF(AND(DX$4=1,DX49=0),1,0)</f>
        <v/>
      </c>
      <c r="DY99">
        <f>IF(AND(DY$4=1,DY49=0),1,0)</f>
        <v/>
      </c>
      <c r="DZ99">
        <f>IF(AND(DZ$4=1,DZ49=0),1,0)</f>
        <v/>
      </c>
      <c r="EA99">
        <f>IF(AND(EA$4=1,EA49=0),1,0)</f>
        <v/>
      </c>
      <c r="EB99">
        <f>IF(AND(EB$4=1,EB49=0),1,0)</f>
        <v/>
      </c>
      <c r="EC99">
        <f>IF(AND(EC$4=1,EC49=0),1,0)</f>
        <v/>
      </c>
      <c r="ED99">
        <f>IF(AND(ED$4=1,ED49=0),1,0)</f>
        <v/>
      </c>
      <c r="EE99">
        <f>IF(AND(EE$4=1,EE49=0),1,0)</f>
        <v/>
      </c>
      <c r="EF99">
        <f>IF(AND(EF$4=1,EF49=0),1,0)</f>
        <v/>
      </c>
      <c r="EG99">
        <f>IF(AND(EG$4=1,EG49=0),1,0)</f>
        <v/>
      </c>
      <c r="EH99">
        <f>IF(AND(EH$4=1,EH49=0),1,0)</f>
        <v/>
      </c>
      <c r="EI99">
        <f>IF(AND(EI$4=1,EI49=0),1,0)</f>
        <v/>
      </c>
      <c r="EJ99">
        <f>IF(AND(EJ$4=1,EJ49=0),1,0)</f>
        <v/>
      </c>
      <c r="EK99">
        <f>IF(AND(EK$4=1,EK49=0),1,0)</f>
        <v/>
      </c>
      <c r="EL99">
        <f>IF(AND(EL$4=1,EL49=0),1,0)</f>
        <v/>
      </c>
      <c r="EM99">
        <f>IF(AND(EM$4=1,EM49=0),1,0)</f>
        <v/>
      </c>
      <c r="EN99">
        <f>IF(AND(EN$4=1,EN49=0),1,0)</f>
        <v/>
      </c>
      <c r="EO99">
        <f>IF(AND(EO$4=1,EO49=0),1,0)</f>
        <v/>
      </c>
      <c r="EP99">
        <f>IF(AND(EP$4=1,EP49=0),1,0)</f>
        <v/>
      </c>
      <c r="EQ99">
        <f>IF(AND(EQ$4=1,EQ49=0),1,0)</f>
        <v/>
      </c>
    </row>
    <row r="106">
      <c r="C106" t="inlineStr">
        <is>
          <t>次の枠あり</t>
        </is>
      </c>
      <c r="D106">
        <f>IF(AND(E4=1,OR(D3&lt;&gt;$A$3,$A$4=0)),1,0)</f>
        <v/>
      </c>
      <c r="E106">
        <f>IF(AND(F4=1,OR(E3&lt;&gt;$A$3,$A$4=0)),1,0)</f>
        <v/>
      </c>
      <c r="F106">
        <f>IF(AND(G4=1,OR(F3&lt;&gt;$A$3,$A$4=0)),1,0)</f>
        <v/>
      </c>
      <c r="G106">
        <f>IF(AND(H4=1,OR(G3&lt;&gt;$A$3,$A$4=0)),1,0)</f>
        <v/>
      </c>
      <c r="H106">
        <f>IF(AND(I4=1,OR(H3&lt;&gt;$A$3,$A$4=0)),1,0)</f>
        <v/>
      </c>
      <c r="I106">
        <f>IF(AND(J4=1,OR(I3&lt;&gt;$A$3,$A$4=0)),1,0)</f>
        <v/>
      </c>
      <c r="J106">
        <f>IF(AND(K4=1,OR(J3&lt;&gt;$A$3,$A$4=0)),1,0)</f>
        <v/>
      </c>
      <c r="K106">
        <f>IF(AND(L4=1,OR(K3&lt;&gt;$A$3,$A$4=0)),1,0)</f>
        <v/>
      </c>
      <c r="L106">
        <f>IF(AND(M4=1,OR(L3&lt;&gt;$A$3,$A$4=0)),1,0)</f>
        <v/>
      </c>
      <c r="M106">
        <f>IF(AND(N4=1,OR(M3&lt;&gt;$A$3,$A$4=0)),1,0)</f>
        <v/>
      </c>
      <c r="N106">
        <f>IF(AND(O4=1,OR(N3&lt;&gt;$A$3,$A$4=0)),1,0)</f>
        <v/>
      </c>
      <c r="O106">
        <f>IF(AND(P4=1,OR(O3&lt;&gt;$A$3,$A$4=0)),1,0)</f>
        <v/>
      </c>
      <c r="P106">
        <f>IF(AND(Q4=1,OR(P3&lt;&gt;$A$3,$A$4=0)),1,0)</f>
        <v/>
      </c>
      <c r="Q106">
        <f>IF(AND(R4=1,OR(Q3&lt;&gt;$A$3,$A$4=0)),1,0)</f>
        <v/>
      </c>
      <c r="R106">
        <f>IF(AND(S4=1,OR(R3&lt;&gt;$A$3,$A$4=0)),1,0)</f>
        <v/>
      </c>
      <c r="S106">
        <f>IF(AND(T4=1,OR(S3&lt;&gt;$A$3,$A$4=0)),1,0)</f>
        <v/>
      </c>
      <c r="T106">
        <f>IF(AND(U4=1,OR(T3&lt;&gt;$A$3,$A$4=0)),1,0)</f>
        <v/>
      </c>
      <c r="U106">
        <f>IF(AND(V4=1,OR(U3&lt;&gt;$A$3,$A$4=0)),1,0)</f>
        <v/>
      </c>
      <c r="V106">
        <f>IF(AND(W4=1,OR(V3&lt;&gt;$A$3,$A$4=0)),1,0)</f>
        <v/>
      </c>
      <c r="W106">
        <f>IF(AND(X4=1,OR(W3&lt;&gt;$A$3,$A$4=0)),1,0)</f>
        <v/>
      </c>
      <c r="X106">
        <f>IF(AND(Y4=1,OR(X3&lt;&gt;$A$3,$A$4=0)),1,0)</f>
        <v/>
      </c>
      <c r="Y106">
        <f>IF(AND(Z4=1,OR(Y3&lt;&gt;$A$3,$A$4=0)),1,0)</f>
        <v/>
      </c>
      <c r="Z106">
        <f>IF(AND(AA4=1,OR(Z3&lt;&gt;$A$3,$A$4=0)),1,0)</f>
        <v/>
      </c>
      <c r="AA106" t="n">
        <v>0</v>
      </c>
      <c r="AB106">
        <f>IF(AND(AC4=1,OR(AB3&lt;&gt;$A$3,$A$4=0)),1,0)</f>
        <v/>
      </c>
      <c r="AC106">
        <f>IF(AND(AD4=1,OR(AC3&lt;&gt;$A$3,$A$4=0)),1,0)</f>
        <v/>
      </c>
      <c r="AD106">
        <f>IF(AND(AE4=1,OR(AD3&lt;&gt;$A$3,$A$4=0)),1,0)</f>
        <v/>
      </c>
      <c r="AE106">
        <f>IF(AND(AF4=1,OR(AE3&lt;&gt;$A$3,$A$4=0)),1,0)</f>
        <v/>
      </c>
      <c r="AF106">
        <f>IF(AND(AG4=1,OR(AF3&lt;&gt;$A$3,$A$4=0)),1,0)</f>
        <v/>
      </c>
      <c r="AG106">
        <f>IF(AND(AH4=1,OR(AG3&lt;&gt;$A$3,$A$4=0)),1,0)</f>
        <v/>
      </c>
      <c r="AH106">
        <f>IF(AND(AI4=1,OR(AH3&lt;&gt;$A$3,$A$4=0)),1,0)</f>
        <v/>
      </c>
      <c r="AI106">
        <f>IF(AND(AJ4=1,OR(AI3&lt;&gt;$A$3,$A$4=0)),1,0)</f>
        <v/>
      </c>
      <c r="AJ106">
        <f>IF(AND(AK4=1,OR(AJ3&lt;&gt;$A$3,$A$4=0)),1,0)</f>
        <v/>
      </c>
      <c r="AK106">
        <f>IF(AND(AL4=1,OR(AK3&lt;&gt;$A$3,$A$4=0)),1,0)</f>
        <v/>
      </c>
      <c r="AL106">
        <f>IF(AND(AM4=1,OR(AL3&lt;&gt;$A$3,$A$4=0)),1,0)</f>
        <v/>
      </c>
      <c r="AM106">
        <f>IF(AND(AN4=1,OR(AM3&lt;&gt;$A$3,$A$4=0)),1,0)</f>
        <v/>
      </c>
      <c r="AN106">
        <f>IF(AND(AO4=1,OR(AN3&lt;&gt;$A$3,$A$4=0)),1,0)</f>
        <v/>
      </c>
      <c r="AO106">
        <f>IF(AND(AP4=1,OR(AO3&lt;&gt;$A$3,$A$4=0)),1,0)</f>
        <v/>
      </c>
      <c r="AP106">
        <f>IF(AND(AQ4=1,OR(AP3&lt;&gt;$A$3,$A$4=0)),1,0)</f>
        <v/>
      </c>
      <c r="AQ106">
        <f>IF(AND(AR4=1,OR(AQ3&lt;&gt;$A$3,$A$4=0)),1,0)</f>
        <v/>
      </c>
      <c r="AR106">
        <f>IF(AND(AS4=1,OR(AR3&lt;&gt;$A$3,$A$4=0)),1,0)</f>
        <v/>
      </c>
      <c r="AS106">
        <f>IF(AND(AT4=1,OR(AS3&lt;&gt;$A$3,$A$4=0)),1,0)</f>
        <v/>
      </c>
      <c r="AT106">
        <f>IF(AND(AU4=1,OR(AT3&lt;&gt;$A$3,$A$4=0)),1,0)</f>
        <v/>
      </c>
      <c r="AU106">
        <f>IF(AND(AV4=1,OR(AU3&lt;&gt;$A$3,$A$4=0)),1,0)</f>
        <v/>
      </c>
      <c r="AV106">
        <f>IF(AND(AW4=1,OR(AV3&lt;&gt;$A$3,$A$4=0)),1,0)</f>
        <v/>
      </c>
      <c r="AW106">
        <f>IF(AND(AX4=1,OR(AW3&lt;&gt;$A$3,$A$4=0)),1,0)</f>
        <v/>
      </c>
      <c r="AX106">
        <f>IF(AND(AY4=1,OR(AX3&lt;&gt;$A$3,$A$4=0)),1,0)</f>
        <v/>
      </c>
      <c r="AY106" t="n">
        <v>0</v>
      </c>
      <c r="AZ106">
        <f>IF(AND(BA4=1,OR(AZ3&lt;&gt;$A$3,$A$4=0)),1,0)</f>
        <v/>
      </c>
      <c r="BA106">
        <f>IF(AND(BB4=1,OR(BA3&lt;&gt;$A$3,$A$4=0)),1,0)</f>
        <v/>
      </c>
      <c r="BB106">
        <f>IF(AND(BC4=1,OR(BB3&lt;&gt;$A$3,$A$4=0)),1,0)</f>
        <v/>
      </c>
      <c r="BC106">
        <f>IF(AND(BD4=1,OR(BC3&lt;&gt;$A$3,$A$4=0)),1,0)</f>
        <v/>
      </c>
      <c r="BD106">
        <f>IF(AND(BE4=1,OR(BD3&lt;&gt;$A$3,$A$4=0)),1,0)</f>
        <v/>
      </c>
      <c r="BE106">
        <f>IF(AND(BF4=1,OR(BE3&lt;&gt;$A$3,$A$4=0)),1,0)</f>
        <v/>
      </c>
      <c r="BF106">
        <f>IF(AND(BG4=1,OR(BF3&lt;&gt;$A$3,$A$4=0)),1,0)</f>
        <v/>
      </c>
      <c r="BG106">
        <f>IF(AND(BH4=1,OR(BG3&lt;&gt;$A$3,$A$4=0)),1,0)</f>
        <v/>
      </c>
      <c r="BH106">
        <f>IF(AND(BI4=1,OR(BH3&lt;&gt;$A$3,$A$4=0)),1,0)</f>
        <v/>
      </c>
      <c r="BI106">
        <f>IF(AND(BJ4=1,OR(BI3&lt;&gt;$A$3,$A$4=0)),1,0)</f>
        <v/>
      </c>
      <c r="BJ106">
        <f>IF(AND(BK4=1,OR(BJ3&lt;&gt;$A$3,$A$4=0)),1,0)</f>
        <v/>
      </c>
      <c r="BK106">
        <f>IF(AND(BL4=1,OR(BK3&lt;&gt;$A$3,$A$4=0)),1,0)</f>
        <v/>
      </c>
      <c r="BL106">
        <f>IF(AND(BM4=1,OR(BL3&lt;&gt;$A$3,$A$4=0)),1,0)</f>
        <v/>
      </c>
      <c r="BM106">
        <f>IF(AND(BN4=1,OR(BM3&lt;&gt;$A$3,$A$4=0)),1,0)</f>
        <v/>
      </c>
      <c r="BN106">
        <f>IF(AND(BO4=1,OR(BN3&lt;&gt;$A$3,$A$4=0)),1,0)</f>
        <v/>
      </c>
      <c r="BO106">
        <f>IF(AND(BP4=1,OR(BO3&lt;&gt;$A$3,$A$4=0)),1,0)</f>
        <v/>
      </c>
      <c r="BP106">
        <f>IF(AND(BQ4=1,OR(BP3&lt;&gt;$A$3,$A$4=0)),1,0)</f>
        <v/>
      </c>
      <c r="BQ106">
        <f>IF(AND(BR4=1,OR(BQ3&lt;&gt;$A$3,$A$4=0)),1,0)</f>
        <v/>
      </c>
      <c r="BR106">
        <f>IF(AND(BS4=1,OR(BR3&lt;&gt;$A$3,$A$4=0)),1,0)</f>
        <v/>
      </c>
      <c r="BS106">
        <f>IF(AND(BT4=1,OR(BS3&lt;&gt;$A$3,$A$4=0)),1,0)</f>
        <v/>
      </c>
      <c r="BT106">
        <f>IF(AND(BU4=1,OR(BT3&lt;&gt;$A$3,$A$4=0)),1,0)</f>
        <v/>
      </c>
      <c r="BU106">
        <f>IF(AND(BV4=1,OR(BU3&lt;&gt;$A$3,$A$4=0)),1,0)</f>
        <v/>
      </c>
      <c r="BV106">
        <f>IF(AND(BW4=1,OR(BV3&lt;&gt;$A$3,$A$4=0)),1,0)</f>
        <v/>
      </c>
      <c r="BW106" t="n">
        <v>0</v>
      </c>
      <c r="BX106">
        <f>IF(AND(BY4=1,OR(BX3&lt;&gt;$A$3,$A$4=0)),1,0)</f>
        <v/>
      </c>
      <c r="BY106">
        <f>IF(AND(BZ4=1,OR(BY3&lt;&gt;$A$3,$A$4=0)),1,0)</f>
        <v/>
      </c>
      <c r="BZ106">
        <f>IF(AND(CA4=1,OR(BZ3&lt;&gt;$A$3,$A$4=0)),1,0)</f>
        <v/>
      </c>
      <c r="CA106">
        <f>IF(AND(CB4=1,OR(CA3&lt;&gt;$A$3,$A$4=0)),1,0)</f>
        <v/>
      </c>
      <c r="CB106">
        <f>IF(AND(CC4=1,OR(CB3&lt;&gt;$A$3,$A$4=0)),1,0)</f>
        <v/>
      </c>
      <c r="CC106">
        <f>IF(AND(CD4=1,OR(CC3&lt;&gt;$A$3,$A$4=0)),1,0)</f>
        <v/>
      </c>
      <c r="CD106">
        <f>IF(AND(CE4=1,OR(CD3&lt;&gt;$A$3,$A$4=0)),1,0)</f>
        <v/>
      </c>
      <c r="CE106">
        <f>IF(AND(CF4=1,OR(CE3&lt;&gt;$A$3,$A$4=0)),1,0)</f>
        <v/>
      </c>
      <c r="CF106">
        <f>IF(AND(CG4=1,OR(CF3&lt;&gt;$A$3,$A$4=0)),1,0)</f>
        <v/>
      </c>
      <c r="CG106">
        <f>IF(AND(CH4=1,OR(CG3&lt;&gt;$A$3,$A$4=0)),1,0)</f>
        <v/>
      </c>
      <c r="CH106">
        <f>IF(AND(CI4=1,OR(CH3&lt;&gt;$A$3,$A$4=0)),1,0)</f>
        <v/>
      </c>
      <c r="CI106">
        <f>IF(AND(CJ4=1,OR(CI3&lt;&gt;$A$3,$A$4=0)),1,0)</f>
        <v/>
      </c>
      <c r="CJ106">
        <f>IF(AND(CK4=1,OR(CJ3&lt;&gt;$A$3,$A$4=0)),1,0)</f>
        <v/>
      </c>
      <c r="CK106">
        <f>IF(AND(CL4=1,OR(CK3&lt;&gt;$A$3,$A$4=0)),1,0)</f>
        <v/>
      </c>
      <c r="CL106">
        <f>IF(AND(CM4=1,OR(CL3&lt;&gt;$A$3,$A$4=0)),1,0)</f>
        <v/>
      </c>
      <c r="CM106">
        <f>IF(AND(CN4=1,OR(CM3&lt;&gt;$A$3,$A$4=0)),1,0)</f>
        <v/>
      </c>
      <c r="CN106">
        <f>IF(AND(CO4=1,OR(CN3&lt;&gt;$A$3,$A$4=0)),1,0)</f>
        <v/>
      </c>
      <c r="CO106">
        <f>IF(AND(CP4=1,OR(CO3&lt;&gt;$A$3,$A$4=0)),1,0)</f>
        <v/>
      </c>
      <c r="CP106">
        <f>IF(AND(CQ4=1,OR(CP3&lt;&gt;$A$3,$A$4=0)),1,0)</f>
        <v/>
      </c>
      <c r="CQ106">
        <f>IF(AND(CR4=1,OR(CQ3&lt;&gt;$A$3,$A$4=0)),1,0)</f>
        <v/>
      </c>
      <c r="CR106">
        <f>IF(AND(CS4=1,OR(CR3&lt;&gt;$A$3,$A$4=0)),1,0)</f>
        <v/>
      </c>
      <c r="CS106">
        <f>IF(AND(CT4=1,OR(CS3&lt;&gt;$A$3,$A$4=0)),1,0)</f>
        <v/>
      </c>
      <c r="CT106">
        <f>IF(AND(CU4=1,OR(CT3&lt;&gt;$A$3,$A$4=0)),1,0)</f>
        <v/>
      </c>
      <c r="CU106" t="n">
        <v>0</v>
      </c>
      <c r="CV106">
        <f>IF(AND(CW4=1,OR(CV3&lt;&gt;$A$3,$A$4=0)),1,0)</f>
        <v/>
      </c>
      <c r="CW106">
        <f>IF(AND(CX4=1,OR(CW3&lt;&gt;$A$3,$A$4=0)),1,0)</f>
        <v/>
      </c>
      <c r="CX106">
        <f>IF(AND(CY4=1,OR(CX3&lt;&gt;$A$3,$A$4=0)),1,0)</f>
        <v/>
      </c>
      <c r="CY106">
        <f>IF(AND(CZ4=1,OR(CY3&lt;&gt;$A$3,$A$4=0)),1,0)</f>
        <v/>
      </c>
      <c r="CZ106">
        <f>IF(AND(DA4=1,OR(CZ3&lt;&gt;$A$3,$A$4=0)),1,0)</f>
        <v/>
      </c>
      <c r="DA106">
        <f>IF(AND(DB4=1,OR(DA3&lt;&gt;$A$3,$A$4=0)),1,0)</f>
        <v/>
      </c>
      <c r="DB106">
        <f>IF(AND(DC4=1,OR(DB3&lt;&gt;$A$3,$A$4=0)),1,0)</f>
        <v/>
      </c>
      <c r="DC106">
        <f>IF(AND(DD4=1,OR(DC3&lt;&gt;$A$3,$A$4=0)),1,0)</f>
        <v/>
      </c>
      <c r="DD106">
        <f>IF(AND(DE4=1,OR(DD3&lt;&gt;$A$3,$A$4=0)),1,0)</f>
        <v/>
      </c>
      <c r="DE106">
        <f>IF(AND(DF4=1,OR(DE3&lt;&gt;$A$3,$A$4=0)),1,0)</f>
        <v/>
      </c>
      <c r="DF106">
        <f>IF(AND(DG4=1,OR(DF3&lt;&gt;$A$3,$A$4=0)),1,0)</f>
        <v/>
      </c>
      <c r="DG106">
        <f>IF(AND(DH4=1,OR(DG3&lt;&gt;$A$3,$A$4=0)),1,0)</f>
        <v/>
      </c>
      <c r="DH106">
        <f>IF(AND(DI4=1,OR(DH3&lt;&gt;$A$3,$A$4=0)),1,0)</f>
        <v/>
      </c>
      <c r="DI106">
        <f>IF(AND(DJ4=1,OR(DI3&lt;&gt;$A$3,$A$4=0)),1,0)</f>
        <v/>
      </c>
      <c r="DJ106">
        <f>IF(AND(DK4=1,OR(DJ3&lt;&gt;$A$3,$A$4=0)),1,0)</f>
        <v/>
      </c>
      <c r="DK106">
        <f>IF(AND(DL4=1,OR(DK3&lt;&gt;$A$3,$A$4=0)),1,0)</f>
        <v/>
      </c>
      <c r="DL106">
        <f>IF(AND(DM4=1,OR(DL3&lt;&gt;$A$3,$A$4=0)),1,0)</f>
        <v/>
      </c>
      <c r="DM106">
        <f>IF(AND(DN4=1,OR(DM3&lt;&gt;$A$3,$A$4=0)),1,0)</f>
        <v/>
      </c>
      <c r="DN106">
        <f>IF(AND(DO4=1,OR(DN3&lt;&gt;$A$3,$A$4=0)),1,0)</f>
        <v/>
      </c>
      <c r="DO106">
        <f>IF(AND(DP4=1,OR(DO3&lt;&gt;$A$3,$A$4=0)),1,0)</f>
        <v/>
      </c>
      <c r="DP106">
        <f>IF(AND(DQ4=1,OR(DP3&lt;&gt;$A$3,$A$4=0)),1,0)</f>
        <v/>
      </c>
      <c r="DQ106">
        <f>IF(AND(DR4=1,OR(DQ3&lt;&gt;$A$3,$A$4=0)),1,0)</f>
        <v/>
      </c>
      <c r="DR106">
        <f>IF(AND(DS4=1,OR(DR3&lt;&gt;$A$3,$A$4=0)),1,0)</f>
        <v/>
      </c>
      <c r="DS106" t="n">
        <v>0</v>
      </c>
      <c r="DT106">
        <f>IF(AND(DU4=1,OR(DT3&lt;&gt;$A$3,$A$4=0)),1,0)</f>
        <v/>
      </c>
      <c r="DU106">
        <f>IF(AND(DV4=1,OR(DU3&lt;&gt;$A$3,$A$4=0)),1,0)</f>
        <v/>
      </c>
      <c r="DV106">
        <f>IF(AND(DW4=1,OR(DV3&lt;&gt;$A$3,$A$4=0)),1,0)</f>
        <v/>
      </c>
      <c r="DW106">
        <f>IF(AND(DX4=1,OR(DW3&lt;&gt;$A$3,$A$4=0)),1,0)</f>
        <v/>
      </c>
      <c r="DX106">
        <f>IF(AND(DY4=1,OR(DX3&lt;&gt;$A$3,$A$4=0)),1,0)</f>
        <v/>
      </c>
      <c r="DY106">
        <f>IF(AND(DZ4=1,OR(DY3&lt;&gt;$A$3,$A$4=0)),1,0)</f>
        <v/>
      </c>
      <c r="DZ106">
        <f>IF(AND(EA4=1,OR(DZ3&lt;&gt;$A$3,$A$4=0)),1,0)</f>
        <v/>
      </c>
      <c r="EA106">
        <f>IF(AND(EB4=1,OR(EA3&lt;&gt;$A$3,$A$4=0)),1,0)</f>
        <v/>
      </c>
      <c r="EB106">
        <f>IF(AND(EC4=1,OR(EB3&lt;&gt;$A$3,$A$4=0)),1,0)</f>
        <v/>
      </c>
      <c r="EC106">
        <f>IF(AND(ED4=1,OR(EC3&lt;&gt;$A$3,$A$4=0)),1,0)</f>
        <v/>
      </c>
      <c r="ED106">
        <f>IF(AND(EE4=1,OR(ED3&lt;&gt;$A$3,$A$4=0)),1,0)</f>
        <v/>
      </c>
      <c r="EE106">
        <f>IF(AND(EF4=1,OR(EE3&lt;&gt;$A$3,$A$4=0)),1,0)</f>
        <v/>
      </c>
      <c r="EF106">
        <f>IF(AND(EG4=1,OR(EF3&lt;&gt;$A$3,$A$4=0)),1,0)</f>
        <v/>
      </c>
      <c r="EG106">
        <f>IF(AND(EH4=1,OR(EG3&lt;&gt;$A$3,$A$4=0)),1,0)</f>
        <v/>
      </c>
      <c r="EH106">
        <f>IF(AND(EI4=1,OR(EH3&lt;&gt;$A$3,$A$4=0)),1,0)</f>
        <v/>
      </c>
      <c r="EI106">
        <f>IF(AND(EJ4=1,OR(EI3&lt;&gt;$A$3,$A$4=0)),1,0)</f>
        <v/>
      </c>
      <c r="EJ106">
        <f>IF(AND(EK4=1,OR(EJ3&lt;&gt;$A$3,$A$4=0)),1,0)</f>
        <v/>
      </c>
      <c r="EK106">
        <f>IF(AND(EL4=1,OR(EK3&lt;&gt;$A$3,$A$4=0)),1,0)</f>
        <v/>
      </c>
      <c r="EL106">
        <f>IF(AND(EM4=1,OR(EL3&lt;&gt;$A$3,$A$4=0)),1,0)</f>
        <v/>
      </c>
      <c r="EM106">
        <f>IF(AND(EN4=1,OR(EM3&lt;&gt;$A$3,$A$4=0)),1,0)</f>
        <v/>
      </c>
      <c r="EN106">
        <f>IF(AND(EO4=1,OR(EN3&lt;&gt;$A$3,$A$4=0)),1,0)</f>
        <v/>
      </c>
      <c r="EO106">
        <f>IF(AND(EP4=1,OR(EO3&lt;&gt;$A$3,$A$4=0)),1,0)</f>
        <v/>
      </c>
      <c r="EP106">
        <f>IF(AND(EQ4=1,OR(EP3&lt;&gt;$A$3,$A$4=0)),1,0)</f>
        <v/>
      </c>
      <c r="EQ106" t="n">
        <v>0</v>
      </c>
    </row>
    <row r="107">
      <c r="C107" t="inlineStr">
        <is>
          <t>自動で空ける</t>
        </is>
      </c>
      <c r="D107">
        <f>IF(COUNTIF('calcB'!$G$3:$G$47,1)&gt;0,1,0)</f>
        <v/>
      </c>
      <c r="E107">
        <f>IF(COUNTIF('calcB'!$G$3:$G$47,2)&gt;0,1,0)</f>
        <v/>
      </c>
      <c r="F107">
        <f>IF(COUNTIF('calcB'!$G$3:$G$47,3)&gt;0,1,0)</f>
        <v/>
      </c>
      <c r="G107">
        <f>IF(COUNTIF('calcB'!$G$3:$G$47,4)&gt;0,1,0)</f>
        <v/>
      </c>
      <c r="H107">
        <f>IF(COUNTIF('calcB'!$G$3:$G$47,5)&gt;0,1,0)</f>
        <v/>
      </c>
      <c r="I107">
        <f>IF(COUNTIF('calcB'!$G$3:$G$47,6)&gt;0,1,0)</f>
        <v/>
      </c>
      <c r="J107">
        <f>IF(COUNTIF('calcB'!$G$3:$G$47,7)&gt;0,1,0)</f>
        <v/>
      </c>
      <c r="K107">
        <f>IF(COUNTIF('calcB'!$G$3:$G$47,8)&gt;0,1,0)</f>
        <v/>
      </c>
      <c r="L107">
        <f>IF(COUNTIF('calcB'!$G$3:$G$47,9)&gt;0,1,0)</f>
        <v/>
      </c>
      <c r="M107">
        <f>IF(COUNTIF('calcB'!$G$3:$G$47,10)&gt;0,1,0)</f>
        <v/>
      </c>
      <c r="N107">
        <f>IF(COUNTIF('calcB'!$G$3:$G$47,11)&gt;0,1,0)</f>
        <v/>
      </c>
      <c r="O107">
        <f>IF(COUNTIF('calcB'!$G$3:$G$47,12)&gt;0,1,0)</f>
        <v/>
      </c>
      <c r="P107">
        <f>IF(COUNTIF('calcB'!$G$3:$G$47,13)&gt;0,1,0)</f>
        <v/>
      </c>
      <c r="Q107">
        <f>IF(COUNTIF('calcB'!$G$3:$G$47,14)&gt;0,1,0)</f>
        <v/>
      </c>
      <c r="R107">
        <f>IF(COUNTIF('calcB'!$G$3:$G$47,15)&gt;0,1,0)</f>
        <v/>
      </c>
      <c r="S107">
        <f>IF(COUNTIF('calcB'!$G$3:$G$47,16)&gt;0,1,0)</f>
        <v/>
      </c>
      <c r="T107">
        <f>IF(COUNTIF('calcB'!$G$3:$G$47,17)&gt;0,1,0)</f>
        <v/>
      </c>
      <c r="U107">
        <f>IF(COUNTIF('calcB'!$G$3:$G$47,18)&gt;0,1,0)</f>
        <v/>
      </c>
      <c r="V107">
        <f>IF(COUNTIF('calcB'!$G$3:$G$47,19)&gt;0,1,0)</f>
        <v/>
      </c>
      <c r="W107">
        <f>IF(COUNTIF('calcB'!$G$3:$G$47,20)&gt;0,1,0)</f>
        <v/>
      </c>
      <c r="X107">
        <f>IF(COUNTIF('calcB'!$G$3:$G$47,21)&gt;0,1,0)</f>
        <v/>
      </c>
      <c r="Y107">
        <f>IF(COUNTIF('calcB'!$G$3:$G$47,22)&gt;0,1,0)</f>
        <v/>
      </c>
      <c r="Z107">
        <f>IF(COUNTIF('calcB'!$G$3:$G$47,23)&gt;0,1,0)</f>
        <v/>
      </c>
      <c r="AA107">
        <f>IF(COUNTIF('calcB'!$G$3:$G$47,24)&gt;0,1,0)</f>
        <v/>
      </c>
      <c r="AB107">
        <f>IF(COUNTIF('calcB'!$G$3:$G$47,25)&gt;0,1,0)</f>
        <v/>
      </c>
      <c r="AC107">
        <f>IF(COUNTIF('calcB'!$G$3:$G$47,26)&gt;0,1,0)</f>
        <v/>
      </c>
      <c r="AD107">
        <f>IF(COUNTIF('calcB'!$G$3:$G$47,27)&gt;0,1,0)</f>
        <v/>
      </c>
      <c r="AE107">
        <f>IF(COUNTIF('calcB'!$G$3:$G$47,28)&gt;0,1,0)</f>
        <v/>
      </c>
      <c r="AF107">
        <f>IF(COUNTIF('calcB'!$G$3:$G$47,29)&gt;0,1,0)</f>
        <v/>
      </c>
      <c r="AG107">
        <f>IF(COUNTIF('calcB'!$G$3:$G$47,30)&gt;0,1,0)</f>
        <v/>
      </c>
      <c r="AH107">
        <f>IF(COUNTIF('calcB'!$G$3:$G$47,31)&gt;0,1,0)</f>
        <v/>
      </c>
      <c r="AI107">
        <f>IF(COUNTIF('calcB'!$G$3:$G$47,32)&gt;0,1,0)</f>
        <v/>
      </c>
      <c r="AJ107">
        <f>IF(COUNTIF('calcB'!$G$3:$G$47,33)&gt;0,1,0)</f>
        <v/>
      </c>
      <c r="AK107">
        <f>IF(COUNTIF('calcB'!$G$3:$G$47,34)&gt;0,1,0)</f>
        <v/>
      </c>
      <c r="AL107">
        <f>IF(COUNTIF('calcB'!$G$3:$G$47,35)&gt;0,1,0)</f>
        <v/>
      </c>
      <c r="AM107">
        <f>IF(COUNTIF('calcB'!$G$3:$G$47,36)&gt;0,1,0)</f>
        <v/>
      </c>
      <c r="AN107">
        <f>IF(COUNTIF('calcB'!$G$3:$G$47,37)&gt;0,1,0)</f>
        <v/>
      </c>
      <c r="AO107">
        <f>IF(COUNTIF('calcB'!$G$3:$G$47,38)&gt;0,1,0)</f>
        <v/>
      </c>
      <c r="AP107">
        <f>IF(COUNTIF('calcB'!$G$3:$G$47,39)&gt;0,1,0)</f>
        <v/>
      </c>
      <c r="AQ107">
        <f>IF(COUNTIF('calcB'!$G$3:$G$47,40)&gt;0,1,0)</f>
        <v/>
      </c>
      <c r="AR107">
        <f>IF(COUNTIF('calcB'!$G$3:$G$47,41)&gt;0,1,0)</f>
        <v/>
      </c>
      <c r="AS107">
        <f>IF(COUNTIF('calcB'!$G$3:$G$47,42)&gt;0,1,0)</f>
        <v/>
      </c>
      <c r="AT107">
        <f>IF(COUNTIF('calcB'!$G$3:$G$47,43)&gt;0,1,0)</f>
        <v/>
      </c>
      <c r="AU107">
        <f>IF(COUNTIF('calcB'!$G$3:$G$47,44)&gt;0,1,0)</f>
        <v/>
      </c>
      <c r="AV107">
        <f>IF(COUNTIF('calcB'!$G$3:$G$47,45)&gt;0,1,0)</f>
        <v/>
      </c>
      <c r="AW107">
        <f>IF(COUNTIF('calcB'!$G$3:$G$47,46)&gt;0,1,0)</f>
        <v/>
      </c>
      <c r="AX107">
        <f>IF(COUNTIF('calcB'!$G$3:$G$47,47)&gt;0,1,0)</f>
        <v/>
      </c>
      <c r="AY107">
        <f>IF(COUNTIF('calcB'!$G$3:$G$47,48)&gt;0,1,0)</f>
        <v/>
      </c>
      <c r="AZ107">
        <f>IF(COUNTIF('calcB'!$G$3:$G$47,49)&gt;0,1,0)</f>
        <v/>
      </c>
      <c r="BA107">
        <f>IF(COUNTIF('calcB'!$G$3:$G$47,50)&gt;0,1,0)</f>
        <v/>
      </c>
      <c r="BB107">
        <f>IF(COUNTIF('calcB'!$G$3:$G$47,51)&gt;0,1,0)</f>
        <v/>
      </c>
      <c r="BC107">
        <f>IF(COUNTIF('calcB'!$G$3:$G$47,52)&gt;0,1,0)</f>
        <v/>
      </c>
      <c r="BD107">
        <f>IF(COUNTIF('calcB'!$G$3:$G$47,53)&gt;0,1,0)</f>
        <v/>
      </c>
      <c r="BE107">
        <f>IF(COUNTIF('calcB'!$G$3:$G$47,54)&gt;0,1,0)</f>
        <v/>
      </c>
      <c r="BF107">
        <f>IF(COUNTIF('calcB'!$G$3:$G$47,55)&gt;0,1,0)</f>
        <v/>
      </c>
      <c r="BG107">
        <f>IF(COUNTIF('calcB'!$G$3:$G$47,56)&gt;0,1,0)</f>
        <v/>
      </c>
      <c r="BH107">
        <f>IF(COUNTIF('calcB'!$G$3:$G$47,57)&gt;0,1,0)</f>
        <v/>
      </c>
      <c r="BI107">
        <f>IF(COUNTIF('calcB'!$G$3:$G$47,58)&gt;0,1,0)</f>
        <v/>
      </c>
      <c r="BJ107">
        <f>IF(COUNTIF('calcB'!$G$3:$G$47,59)&gt;0,1,0)</f>
        <v/>
      </c>
      <c r="BK107">
        <f>IF(COUNTIF('calcB'!$G$3:$G$47,60)&gt;0,1,0)</f>
        <v/>
      </c>
      <c r="BL107">
        <f>IF(COUNTIF('calcB'!$G$3:$G$47,61)&gt;0,1,0)</f>
        <v/>
      </c>
      <c r="BM107">
        <f>IF(COUNTIF('calcB'!$G$3:$G$47,62)&gt;0,1,0)</f>
        <v/>
      </c>
      <c r="BN107">
        <f>IF(COUNTIF('calcB'!$G$3:$G$47,63)&gt;0,1,0)</f>
        <v/>
      </c>
      <c r="BO107">
        <f>IF(COUNTIF('calcB'!$G$3:$G$47,64)&gt;0,1,0)</f>
        <v/>
      </c>
      <c r="BP107">
        <f>IF(COUNTIF('calcB'!$G$3:$G$47,65)&gt;0,1,0)</f>
        <v/>
      </c>
      <c r="BQ107">
        <f>IF(COUNTIF('calcB'!$G$3:$G$47,66)&gt;0,1,0)</f>
        <v/>
      </c>
      <c r="BR107">
        <f>IF(COUNTIF('calcB'!$G$3:$G$47,67)&gt;0,1,0)</f>
        <v/>
      </c>
      <c r="BS107">
        <f>IF(COUNTIF('calcB'!$G$3:$G$47,68)&gt;0,1,0)</f>
        <v/>
      </c>
      <c r="BT107">
        <f>IF(COUNTIF('calcB'!$G$3:$G$47,69)&gt;0,1,0)</f>
        <v/>
      </c>
      <c r="BU107">
        <f>IF(COUNTIF('calcB'!$G$3:$G$47,70)&gt;0,1,0)</f>
        <v/>
      </c>
      <c r="BV107">
        <f>IF(COUNTIF('calcB'!$G$3:$G$47,71)&gt;0,1,0)</f>
        <v/>
      </c>
      <c r="BW107">
        <f>IF(COUNTIF('calcB'!$G$3:$G$47,72)&gt;0,1,0)</f>
        <v/>
      </c>
      <c r="BX107">
        <f>IF(COUNTIF('calcB'!$G$3:$G$47,73)&gt;0,1,0)</f>
        <v/>
      </c>
      <c r="BY107">
        <f>IF(COUNTIF('calcB'!$G$3:$G$47,74)&gt;0,1,0)</f>
        <v/>
      </c>
      <c r="BZ107">
        <f>IF(COUNTIF('calcB'!$G$3:$G$47,75)&gt;0,1,0)</f>
        <v/>
      </c>
      <c r="CA107">
        <f>IF(COUNTIF('calcB'!$G$3:$G$47,76)&gt;0,1,0)</f>
        <v/>
      </c>
      <c r="CB107">
        <f>IF(COUNTIF('calcB'!$G$3:$G$47,77)&gt;0,1,0)</f>
        <v/>
      </c>
      <c r="CC107">
        <f>IF(COUNTIF('calcB'!$G$3:$G$47,78)&gt;0,1,0)</f>
        <v/>
      </c>
      <c r="CD107">
        <f>IF(COUNTIF('calcB'!$G$3:$G$47,79)&gt;0,1,0)</f>
        <v/>
      </c>
      <c r="CE107">
        <f>IF(COUNTIF('calcB'!$G$3:$G$47,80)&gt;0,1,0)</f>
        <v/>
      </c>
      <c r="CF107">
        <f>IF(COUNTIF('calcB'!$G$3:$G$47,81)&gt;0,1,0)</f>
        <v/>
      </c>
      <c r="CG107">
        <f>IF(COUNTIF('calcB'!$G$3:$G$47,82)&gt;0,1,0)</f>
        <v/>
      </c>
      <c r="CH107">
        <f>IF(COUNTIF('calcB'!$G$3:$G$47,83)&gt;0,1,0)</f>
        <v/>
      </c>
      <c r="CI107">
        <f>IF(COUNTIF('calcB'!$G$3:$G$47,84)&gt;0,1,0)</f>
        <v/>
      </c>
      <c r="CJ107">
        <f>IF(COUNTIF('calcB'!$G$3:$G$47,85)&gt;0,1,0)</f>
        <v/>
      </c>
      <c r="CK107">
        <f>IF(COUNTIF('calcB'!$G$3:$G$47,86)&gt;0,1,0)</f>
        <v/>
      </c>
      <c r="CL107">
        <f>IF(COUNTIF('calcB'!$G$3:$G$47,87)&gt;0,1,0)</f>
        <v/>
      </c>
      <c r="CM107">
        <f>IF(COUNTIF('calcB'!$G$3:$G$47,88)&gt;0,1,0)</f>
        <v/>
      </c>
      <c r="CN107">
        <f>IF(COUNTIF('calcB'!$G$3:$G$47,89)&gt;0,1,0)</f>
        <v/>
      </c>
      <c r="CO107">
        <f>IF(COUNTIF('calcB'!$G$3:$G$47,90)&gt;0,1,0)</f>
        <v/>
      </c>
      <c r="CP107">
        <f>IF(COUNTIF('calcB'!$G$3:$G$47,91)&gt;0,1,0)</f>
        <v/>
      </c>
      <c r="CQ107">
        <f>IF(COUNTIF('calcB'!$G$3:$G$47,92)&gt;0,1,0)</f>
        <v/>
      </c>
      <c r="CR107">
        <f>IF(COUNTIF('calcB'!$G$3:$G$47,93)&gt;0,1,0)</f>
        <v/>
      </c>
      <c r="CS107">
        <f>IF(COUNTIF('calcB'!$G$3:$G$47,94)&gt;0,1,0)</f>
        <v/>
      </c>
      <c r="CT107">
        <f>IF(COUNTIF('calcB'!$G$3:$G$47,95)&gt;0,1,0)</f>
        <v/>
      </c>
      <c r="CU107">
        <f>IF(COUNTIF('calcB'!$G$3:$G$47,96)&gt;0,1,0)</f>
        <v/>
      </c>
      <c r="CV107">
        <f>IF(COUNTIF('calcB'!$G$3:$G$47,97)&gt;0,1,0)</f>
        <v/>
      </c>
      <c r="CW107">
        <f>IF(COUNTIF('calcB'!$G$3:$G$47,98)&gt;0,1,0)</f>
        <v/>
      </c>
      <c r="CX107">
        <f>IF(COUNTIF('calcB'!$G$3:$G$47,99)&gt;0,1,0)</f>
        <v/>
      </c>
      <c r="CY107">
        <f>IF(COUNTIF('calcB'!$G$3:$G$47,100)&gt;0,1,0)</f>
        <v/>
      </c>
      <c r="CZ107">
        <f>IF(COUNTIF('calcB'!$G$3:$G$47,101)&gt;0,1,0)</f>
        <v/>
      </c>
      <c r="DA107">
        <f>IF(COUNTIF('calcB'!$G$3:$G$47,102)&gt;0,1,0)</f>
        <v/>
      </c>
      <c r="DB107">
        <f>IF(COUNTIF('calcB'!$G$3:$G$47,103)&gt;0,1,0)</f>
        <v/>
      </c>
      <c r="DC107">
        <f>IF(COUNTIF('calcB'!$G$3:$G$47,104)&gt;0,1,0)</f>
        <v/>
      </c>
      <c r="DD107">
        <f>IF(COUNTIF('calcB'!$G$3:$G$47,105)&gt;0,1,0)</f>
        <v/>
      </c>
      <c r="DE107">
        <f>IF(COUNTIF('calcB'!$G$3:$G$47,106)&gt;0,1,0)</f>
        <v/>
      </c>
      <c r="DF107">
        <f>IF(COUNTIF('calcB'!$G$3:$G$47,107)&gt;0,1,0)</f>
        <v/>
      </c>
      <c r="DG107">
        <f>IF(COUNTIF('calcB'!$G$3:$G$47,108)&gt;0,1,0)</f>
        <v/>
      </c>
      <c r="DH107">
        <f>IF(COUNTIF('calcB'!$G$3:$G$47,109)&gt;0,1,0)</f>
        <v/>
      </c>
      <c r="DI107">
        <f>IF(COUNTIF('calcB'!$G$3:$G$47,110)&gt;0,1,0)</f>
        <v/>
      </c>
      <c r="DJ107">
        <f>IF(COUNTIF('calcB'!$G$3:$G$47,111)&gt;0,1,0)</f>
        <v/>
      </c>
      <c r="DK107">
        <f>IF(COUNTIF('calcB'!$G$3:$G$47,112)&gt;0,1,0)</f>
        <v/>
      </c>
      <c r="DL107">
        <f>IF(COUNTIF('calcB'!$G$3:$G$47,113)&gt;0,1,0)</f>
        <v/>
      </c>
      <c r="DM107">
        <f>IF(COUNTIF('calcB'!$G$3:$G$47,114)&gt;0,1,0)</f>
        <v/>
      </c>
      <c r="DN107">
        <f>IF(COUNTIF('calcB'!$G$3:$G$47,115)&gt;0,1,0)</f>
        <v/>
      </c>
      <c r="DO107">
        <f>IF(COUNTIF('calcB'!$G$3:$G$47,116)&gt;0,1,0)</f>
        <v/>
      </c>
      <c r="DP107">
        <f>IF(COUNTIF('calcB'!$G$3:$G$47,117)&gt;0,1,0)</f>
        <v/>
      </c>
      <c r="DQ107">
        <f>IF(COUNTIF('calcB'!$G$3:$G$47,118)&gt;0,1,0)</f>
        <v/>
      </c>
      <c r="DR107">
        <f>IF(COUNTIF('calcB'!$G$3:$G$47,119)&gt;0,1,0)</f>
        <v/>
      </c>
      <c r="DS107">
        <f>IF(COUNTIF('calcB'!$G$3:$G$47,120)&gt;0,1,0)</f>
        <v/>
      </c>
      <c r="DT107">
        <f>IF(COUNTIF('calcB'!$G$3:$G$47,121)&gt;0,1,0)</f>
        <v/>
      </c>
      <c r="DU107">
        <f>IF(COUNTIF('calcB'!$G$3:$G$47,122)&gt;0,1,0)</f>
        <v/>
      </c>
      <c r="DV107">
        <f>IF(COUNTIF('calcB'!$G$3:$G$47,123)&gt;0,1,0)</f>
        <v/>
      </c>
      <c r="DW107">
        <f>IF(COUNTIF('calcB'!$G$3:$G$47,124)&gt;0,1,0)</f>
        <v/>
      </c>
      <c r="DX107">
        <f>IF(COUNTIF('calcB'!$G$3:$G$47,125)&gt;0,1,0)</f>
        <v/>
      </c>
      <c r="DY107">
        <f>IF(COUNTIF('calcB'!$G$3:$G$47,126)&gt;0,1,0)</f>
        <v/>
      </c>
      <c r="DZ107">
        <f>IF(COUNTIF('calcB'!$G$3:$G$47,127)&gt;0,1,0)</f>
        <v/>
      </c>
      <c r="EA107">
        <f>IF(COUNTIF('calcB'!$G$3:$G$47,128)&gt;0,1,0)</f>
        <v/>
      </c>
      <c r="EB107">
        <f>IF(COUNTIF('calcB'!$G$3:$G$47,129)&gt;0,1,0)</f>
        <v/>
      </c>
      <c r="EC107">
        <f>IF(COUNTIF('calcB'!$G$3:$G$47,130)&gt;0,1,0)</f>
        <v/>
      </c>
      <c r="ED107">
        <f>IF(COUNTIF('calcB'!$G$3:$G$47,131)&gt;0,1,0)</f>
        <v/>
      </c>
      <c r="EE107">
        <f>IF(COUNTIF('calcB'!$G$3:$G$47,132)&gt;0,1,0)</f>
        <v/>
      </c>
      <c r="EF107">
        <f>IF(COUNTIF('calcB'!$G$3:$G$47,133)&gt;0,1,0)</f>
        <v/>
      </c>
      <c r="EG107">
        <f>IF(COUNTIF('calcB'!$G$3:$G$47,134)&gt;0,1,0)</f>
        <v/>
      </c>
      <c r="EH107">
        <f>IF(COUNTIF('calcB'!$G$3:$G$47,135)&gt;0,1,0)</f>
        <v/>
      </c>
      <c r="EI107">
        <f>IF(COUNTIF('calcB'!$G$3:$G$47,136)&gt;0,1,0)</f>
        <v/>
      </c>
      <c r="EJ107">
        <f>IF(COUNTIF('calcB'!$G$3:$G$47,137)&gt;0,1,0)</f>
        <v/>
      </c>
      <c r="EK107">
        <f>IF(COUNTIF('calcB'!$G$3:$G$47,138)&gt;0,1,0)</f>
        <v/>
      </c>
      <c r="EL107">
        <f>IF(COUNTIF('calcB'!$G$3:$G$47,139)&gt;0,1,0)</f>
        <v/>
      </c>
      <c r="EM107">
        <f>IF(COUNTIF('calcB'!$G$3:$G$47,140)&gt;0,1,0)</f>
        <v/>
      </c>
      <c r="EN107">
        <f>IF(COUNTIF('calcB'!$G$3:$G$47,141)&gt;0,1,0)</f>
        <v/>
      </c>
      <c r="EO107">
        <f>IF(COUNTIF('calcB'!$G$3:$G$47,142)&gt;0,1,0)</f>
        <v/>
      </c>
      <c r="EP107">
        <f>IF(COUNTIF('calcB'!$G$3:$G$47,143)&gt;0,1,0)</f>
        <v/>
      </c>
      <c r="EQ107">
        <f>IF(COUNTIF('calcB'!$G$3:$G$47,144)&gt;0,1,0)</f>
        <v/>
      </c>
    </row>
    <row r="108">
      <c r="C108" t="inlineStr">
        <is>
          <t>後ろを空ける枠</t>
        </is>
      </c>
      <c r="D108" t="n">
        <v>0</v>
      </c>
      <c r="E108">
        <f>IF(OR(D106=0,INDEX('調整・決定'!$C$6:$H$29,E3-1,E2)=""),0,IF(RIGHT(IFERROR(INDEX('名簿'!$D$5:$D$49,MATCH(INDEX('調整・決定'!$C$6:$H$29,E3-1,E2),'名簿'!$P$5:$P$49,0)),""),4)="空けたい",1,0))</f>
        <v/>
      </c>
      <c r="F108">
        <f>IF(OR(E106=0,INDEX('調整・決定'!$C$6:$H$29,F3-1,F2)=""),0,IF(RIGHT(IFERROR(INDEX('名簿'!$D$5:$D$49,MATCH(INDEX('調整・決定'!$C$6:$H$29,F3-1,F2),'名簿'!$P$5:$P$49,0)),""),4)="空けたい",1,0))</f>
        <v/>
      </c>
      <c r="G108">
        <f>IF(OR(F106=0,INDEX('調整・決定'!$C$6:$H$29,G3-1,G2)=""),0,IF(RIGHT(IFERROR(INDEX('名簿'!$D$5:$D$49,MATCH(INDEX('調整・決定'!$C$6:$H$29,G3-1,G2),'名簿'!$P$5:$P$49,0)),""),4)="空けたい",1,0))</f>
        <v/>
      </c>
      <c r="H108">
        <f>IF(OR(G106=0,INDEX('調整・決定'!$C$6:$H$29,H3-1,H2)=""),0,IF(RIGHT(IFERROR(INDEX('名簿'!$D$5:$D$49,MATCH(INDEX('調整・決定'!$C$6:$H$29,H3-1,H2),'名簿'!$P$5:$P$49,0)),""),4)="空けたい",1,0))</f>
        <v/>
      </c>
      <c r="I108">
        <f>IF(OR(H106=0,INDEX('調整・決定'!$C$6:$H$29,I3-1,I2)=""),0,IF(RIGHT(IFERROR(INDEX('名簿'!$D$5:$D$49,MATCH(INDEX('調整・決定'!$C$6:$H$29,I3-1,I2),'名簿'!$P$5:$P$49,0)),""),4)="空けたい",1,0))</f>
        <v/>
      </c>
      <c r="J108">
        <f>IF(OR(I106=0,INDEX('調整・決定'!$C$6:$H$29,J3-1,J2)=""),0,IF(RIGHT(IFERROR(INDEX('名簿'!$D$5:$D$49,MATCH(INDEX('調整・決定'!$C$6:$H$29,J3-1,J2),'名簿'!$P$5:$P$49,0)),""),4)="空けたい",1,0))</f>
        <v/>
      </c>
      <c r="K108">
        <f>IF(OR(J106=0,INDEX('調整・決定'!$C$6:$H$29,K3-1,K2)=""),0,IF(RIGHT(IFERROR(INDEX('名簿'!$D$5:$D$49,MATCH(INDEX('調整・決定'!$C$6:$H$29,K3-1,K2),'名簿'!$P$5:$P$49,0)),""),4)="空けたい",1,0))</f>
        <v/>
      </c>
      <c r="L108">
        <f>IF(OR(K106=0,INDEX('調整・決定'!$C$6:$H$29,L3-1,L2)=""),0,IF(RIGHT(IFERROR(INDEX('名簿'!$D$5:$D$49,MATCH(INDEX('調整・決定'!$C$6:$H$29,L3-1,L2),'名簿'!$P$5:$P$49,0)),""),4)="空けたい",1,0))</f>
        <v/>
      </c>
      <c r="M108">
        <f>IF(OR(L106=0,INDEX('調整・決定'!$C$6:$H$29,M3-1,M2)=""),0,IF(RIGHT(IFERROR(INDEX('名簿'!$D$5:$D$49,MATCH(INDEX('調整・決定'!$C$6:$H$29,M3-1,M2),'名簿'!$P$5:$P$49,0)),""),4)="空けたい",1,0))</f>
        <v/>
      </c>
      <c r="N108">
        <f>IF(OR(M106=0,INDEX('調整・決定'!$C$6:$H$29,N3-1,N2)=""),0,IF(RIGHT(IFERROR(INDEX('名簿'!$D$5:$D$49,MATCH(INDEX('調整・決定'!$C$6:$H$29,N3-1,N2),'名簿'!$P$5:$P$49,0)),""),4)="空けたい",1,0))</f>
        <v/>
      </c>
      <c r="O108">
        <f>IF(OR(N106=0,INDEX('調整・決定'!$C$6:$H$29,O3-1,O2)=""),0,IF(RIGHT(IFERROR(INDEX('名簿'!$D$5:$D$49,MATCH(INDEX('調整・決定'!$C$6:$H$29,O3-1,O2),'名簿'!$P$5:$P$49,0)),""),4)="空けたい",1,0))</f>
        <v/>
      </c>
      <c r="P108">
        <f>IF(OR(O106=0,INDEX('調整・決定'!$C$6:$H$29,P3-1,P2)=""),0,IF(RIGHT(IFERROR(INDEX('名簿'!$D$5:$D$49,MATCH(INDEX('調整・決定'!$C$6:$H$29,P3-1,P2),'名簿'!$P$5:$P$49,0)),""),4)="空けたい",1,0))</f>
        <v/>
      </c>
      <c r="Q108">
        <f>IF(OR(P106=0,INDEX('調整・決定'!$C$6:$H$29,Q3-1,Q2)=""),0,IF(RIGHT(IFERROR(INDEX('名簿'!$D$5:$D$49,MATCH(INDEX('調整・決定'!$C$6:$H$29,Q3-1,Q2),'名簿'!$P$5:$P$49,0)),""),4)="空けたい",1,0))</f>
        <v/>
      </c>
      <c r="R108">
        <f>IF(OR(Q106=0,INDEX('調整・決定'!$C$6:$H$29,R3-1,R2)=""),0,IF(RIGHT(IFERROR(INDEX('名簿'!$D$5:$D$49,MATCH(INDEX('調整・決定'!$C$6:$H$29,R3-1,R2),'名簿'!$P$5:$P$49,0)),""),4)="空けたい",1,0))</f>
        <v/>
      </c>
      <c r="S108">
        <f>IF(OR(R106=0,INDEX('調整・決定'!$C$6:$H$29,S3-1,S2)=""),0,IF(RIGHT(IFERROR(INDEX('名簿'!$D$5:$D$49,MATCH(INDEX('調整・決定'!$C$6:$H$29,S3-1,S2),'名簿'!$P$5:$P$49,0)),""),4)="空けたい",1,0))</f>
        <v/>
      </c>
      <c r="T108">
        <f>IF(OR(S106=0,INDEX('調整・決定'!$C$6:$H$29,T3-1,T2)=""),0,IF(RIGHT(IFERROR(INDEX('名簿'!$D$5:$D$49,MATCH(INDEX('調整・決定'!$C$6:$H$29,T3-1,T2),'名簿'!$P$5:$P$49,0)),""),4)="空けたい",1,0))</f>
        <v/>
      </c>
      <c r="U108">
        <f>IF(OR(T106=0,INDEX('調整・決定'!$C$6:$H$29,U3-1,U2)=""),0,IF(RIGHT(IFERROR(INDEX('名簿'!$D$5:$D$49,MATCH(INDEX('調整・決定'!$C$6:$H$29,U3-1,U2),'名簿'!$P$5:$P$49,0)),""),4)="空けたい",1,0))</f>
        <v/>
      </c>
      <c r="V108">
        <f>IF(OR(U106=0,INDEX('調整・決定'!$C$6:$H$29,V3-1,V2)=""),0,IF(RIGHT(IFERROR(INDEX('名簿'!$D$5:$D$49,MATCH(INDEX('調整・決定'!$C$6:$H$29,V3-1,V2),'名簿'!$P$5:$P$49,0)),""),4)="空けたい",1,0))</f>
        <v/>
      </c>
      <c r="W108">
        <f>IF(OR(V106=0,INDEX('調整・決定'!$C$6:$H$29,W3-1,W2)=""),0,IF(RIGHT(IFERROR(INDEX('名簿'!$D$5:$D$49,MATCH(INDEX('調整・決定'!$C$6:$H$29,W3-1,W2),'名簿'!$P$5:$P$49,0)),""),4)="空けたい",1,0))</f>
        <v/>
      </c>
      <c r="X108">
        <f>IF(OR(W106=0,INDEX('調整・決定'!$C$6:$H$29,X3-1,X2)=""),0,IF(RIGHT(IFERROR(INDEX('名簿'!$D$5:$D$49,MATCH(INDEX('調整・決定'!$C$6:$H$29,X3-1,X2),'名簿'!$P$5:$P$49,0)),""),4)="空けたい",1,0))</f>
        <v/>
      </c>
      <c r="Y108">
        <f>IF(OR(X106=0,INDEX('調整・決定'!$C$6:$H$29,Y3-1,Y2)=""),0,IF(RIGHT(IFERROR(INDEX('名簿'!$D$5:$D$49,MATCH(INDEX('調整・決定'!$C$6:$H$29,Y3-1,Y2),'名簿'!$P$5:$P$49,0)),""),4)="空けたい",1,0))</f>
        <v/>
      </c>
      <c r="Z108">
        <f>IF(OR(Y106=0,INDEX('調整・決定'!$C$6:$H$29,Z3-1,Z2)=""),0,IF(RIGHT(IFERROR(INDEX('名簿'!$D$5:$D$49,MATCH(INDEX('調整・決定'!$C$6:$H$29,Z3-1,Z2),'名簿'!$P$5:$P$49,0)),""),4)="空けたい",1,0))</f>
        <v/>
      </c>
      <c r="AA108">
        <f>IF(OR(Z106=0,INDEX('調整・決定'!$C$6:$H$29,AA3-1,AA2)=""),0,IF(RIGHT(IFERROR(INDEX('名簿'!$D$5:$D$49,MATCH(INDEX('調整・決定'!$C$6:$H$29,AA3-1,AA2),'名簿'!$P$5:$P$49,0)),""),4)="空けたい",1,0))</f>
        <v/>
      </c>
      <c r="AB108" t="n">
        <v>0</v>
      </c>
      <c r="AC108">
        <f>IF(OR(AB106=0,INDEX('調整・決定'!$C$6:$H$29,AC3-1,AC2)=""),0,IF(RIGHT(IFERROR(INDEX('名簿'!$D$5:$D$49,MATCH(INDEX('調整・決定'!$C$6:$H$29,AC3-1,AC2),'名簿'!$P$5:$P$49,0)),""),4)="空けたい",1,0))</f>
        <v/>
      </c>
      <c r="AD108">
        <f>IF(OR(AC106=0,INDEX('調整・決定'!$C$6:$H$29,AD3-1,AD2)=""),0,IF(RIGHT(IFERROR(INDEX('名簿'!$D$5:$D$49,MATCH(INDEX('調整・決定'!$C$6:$H$29,AD3-1,AD2),'名簿'!$P$5:$P$49,0)),""),4)="空けたい",1,0))</f>
        <v/>
      </c>
      <c r="AE108">
        <f>IF(OR(AD106=0,INDEX('調整・決定'!$C$6:$H$29,AE3-1,AE2)=""),0,IF(RIGHT(IFERROR(INDEX('名簿'!$D$5:$D$49,MATCH(INDEX('調整・決定'!$C$6:$H$29,AE3-1,AE2),'名簿'!$P$5:$P$49,0)),""),4)="空けたい",1,0))</f>
        <v/>
      </c>
      <c r="AF108">
        <f>IF(OR(AE106=0,INDEX('調整・決定'!$C$6:$H$29,AF3-1,AF2)=""),0,IF(RIGHT(IFERROR(INDEX('名簿'!$D$5:$D$49,MATCH(INDEX('調整・決定'!$C$6:$H$29,AF3-1,AF2),'名簿'!$P$5:$P$49,0)),""),4)="空けたい",1,0))</f>
        <v/>
      </c>
      <c r="AG108">
        <f>IF(OR(AF106=0,INDEX('調整・決定'!$C$6:$H$29,AG3-1,AG2)=""),0,IF(RIGHT(IFERROR(INDEX('名簿'!$D$5:$D$49,MATCH(INDEX('調整・決定'!$C$6:$H$29,AG3-1,AG2),'名簿'!$P$5:$P$49,0)),""),4)="空けたい",1,0))</f>
        <v/>
      </c>
      <c r="AH108">
        <f>IF(OR(AG106=0,INDEX('調整・決定'!$C$6:$H$29,AH3-1,AH2)=""),0,IF(RIGHT(IFERROR(INDEX('名簿'!$D$5:$D$49,MATCH(INDEX('調整・決定'!$C$6:$H$29,AH3-1,AH2),'名簿'!$P$5:$P$49,0)),""),4)="空けたい",1,0))</f>
        <v/>
      </c>
      <c r="AI108">
        <f>IF(OR(AH106=0,INDEX('調整・決定'!$C$6:$H$29,AI3-1,AI2)=""),0,IF(RIGHT(IFERROR(INDEX('名簿'!$D$5:$D$49,MATCH(INDEX('調整・決定'!$C$6:$H$29,AI3-1,AI2),'名簿'!$P$5:$P$49,0)),""),4)="空けたい",1,0))</f>
        <v/>
      </c>
      <c r="AJ108">
        <f>IF(OR(AI106=0,INDEX('調整・決定'!$C$6:$H$29,AJ3-1,AJ2)=""),0,IF(RIGHT(IFERROR(INDEX('名簿'!$D$5:$D$49,MATCH(INDEX('調整・決定'!$C$6:$H$29,AJ3-1,AJ2),'名簿'!$P$5:$P$49,0)),""),4)="空けたい",1,0))</f>
        <v/>
      </c>
      <c r="AK108">
        <f>IF(OR(AJ106=0,INDEX('調整・決定'!$C$6:$H$29,AK3-1,AK2)=""),0,IF(RIGHT(IFERROR(INDEX('名簿'!$D$5:$D$49,MATCH(INDEX('調整・決定'!$C$6:$H$29,AK3-1,AK2),'名簿'!$P$5:$P$49,0)),""),4)="空けたい",1,0))</f>
        <v/>
      </c>
      <c r="AL108">
        <f>IF(OR(AK106=0,INDEX('調整・決定'!$C$6:$H$29,AL3-1,AL2)=""),0,IF(RIGHT(IFERROR(INDEX('名簿'!$D$5:$D$49,MATCH(INDEX('調整・決定'!$C$6:$H$29,AL3-1,AL2),'名簿'!$P$5:$P$49,0)),""),4)="空けたい",1,0))</f>
        <v/>
      </c>
      <c r="AM108">
        <f>IF(OR(AL106=0,INDEX('調整・決定'!$C$6:$H$29,AM3-1,AM2)=""),0,IF(RIGHT(IFERROR(INDEX('名簿'!$D$5:$D$49,MATCH(INDEX('調整・決定'!$C$6:$H$29,AM3-1,AM2),'名簿'!$P$5:$P$49,0)),""),4)="空けたい",1,0))</f>
        <v/>
      </c>
      <c r="AN108">
        <f>IF(OR(AM106=0,INDEX('調整・決定'!$C$6:$H$29,AN3-1,AN2)=""),0,IF(RIGHT(IFERROR(INDEX('名簿'!$D$5:$D$49,MATCH(INDEX('調整・決定'!$C$6:$H$29,AN3-1,AN2),'名簿'!$P$5:$P$49,0)),""),4)="空けたい",1,0))</f>
        <v/>
      </c>
      <c r="AO108">
        <f>IF(OR(AN106=0,INDEX('調整・決定'!$C$6:$H$29,AO3-1,AO2)=""),0,IF(RIGHT(IFERROR(INDEX('名簿'!$D$5:$D$49,MATCH(INDEX('調整・決定'!$C$6:$H$29,AO3-1,AO2),'名簿'!$P$5:$P$49,0)),""),4)="空けたい",1,0))</f>
        <v/>
      </c>
      <c r="AP108">
        <f>IF(OR(AO106=0,INDEX('調整・決定'!$C$6:$H$29,AP3-1,AP2)=""),0,IF(RIGHT(IFERROR(INDEX('名簿'!$D$5:$D$49,MATCH(INDEX('調整・決定'!$C$6:$H$29,AP3-1,AP2),'名簿'!$P$5:$P$49,0)),""),4)="空けたい",1,0))</f>
        <v/>
      </c>
      <c r="AQ108">
        <f>IF(OR(AP106=0,INDEX('調整・決定'!$C$6:$H$29,AQ3-1,AQ2)=""),0,IF(RIGHT(IFERROR(INDEX('名簿'!$D$5:$D$49,MATCH(INDEX('調整・決定'!$C$6:$H$29,AQ3-1,AQ2),'名簿'!$P$5:$P$49,0)),""),4)="空けたい",1,0))</f>
        <v/>
      </c>
      <c r="AR108">
        <f>IF(OR(AQ106=0,INDEX('調整・決定'!$C$6:$H$29,AR3-1,AR2)=""),0,IF(RIGHT(IFERROR(INDEX('名簿'!$D$5:$D$49,MATCH(INDEX('調整・決定'!$C$6:$H$29,AR3-1,AR2),'名簿'!$P$5:$P$49,0)),""),4)="空けたい",1,0))</f>
        <v/>
      </c>
      <c r="AS108">
        <f>IF(OR(AR106=0,INDEX('調整・決定'!$C$6:$H$29,AS3-1,AS2)=""),0,IF(RIGHT(IFERROR(INDEX('名簿'!$D$5:$D$49,MATCH(INDEX('調整・決定'!$C$6:$H$29,AS3-1,AS2),'名簿'!$P$5:$P$49,0)),""),4)="空けたい",1,0))</f>
        <v/>
      </c>
      <c r="AT108">
        <f>IF(OR(AS106=0,INDEX('調整・決定'!$C$6:$H$29,AT3-1,AT2)=""),0,IF(RIGHT(IFERROR(INDEX('名簿'!$D$5:$D$49,MATCH(INDEX('調整・決定'!$C$6:$H$29,AT3-1,AT2),'名簿'!$P$5:$P$49,0)),""),4)="空けたい",1,0))</f>
        <v/>
      </c>
      <c r="AU108">
        <f>IF(OR(AT106=0,INDEX('調整・決定'!$C$6:$H$29,AU3-1,AU2)=""),0,IF(RIGHT(IFERROR(INDEX('名簿'!$D$5:$D$49,MATCH(INDEX('調整・決定'!$C$6:$H$29,AU3-1,AU2),'名簿'!$P$5:$P$49,0)),""),4)="空けたい",1,0))</f>
        <v/>
      </c>
      <c r="AV108">
        <f>IF(OR(AU106=0,INDEX('調整・決定'!$C$6:$H$29,AV3-1,AV2)=""),0,IF(RIGHT(IFERROR(INDEX('名簿'!$D$5:$D$49,MATCH(INDEX('調整・決定'!$C$6:$H$29,AV3-1,AV2),'名簿'!$P$5:$P$49,0)),""),4)="空けたい",1,0))</f>
        <v/>
      </c>
      <c r="AW108">
        <f>IF(OR(AV106=0,INDEX('調整・決定'!$C$6:$H$29,AW3-1,AW2)=""),0,IF(RIGHT(IFERROR(INDEX('名簿'!$D$5:$D$49,MATCH(INDEX('調整・決定'!$C$6:$H$29,AW3-1,AW2),'名簿'!$P$5:$P$49,0)),""),4)="空けたい",1,0))</f>
        <v/>
      </c>
      <c r="AX108">
        <f>IF(OR(AW106=0,INDEX('調整・決定'!$C$6:$H$29,AX3-1,AX2)=""),0,IF(RIGHT(IFERROR(INDEX('名簿'!$D$5:$D$49,MATCH(INDEX('調整・決定'!$C$6:$H$29,AX3-1,AX2),'名簿'!$P$5:$P$49,0)),""),4)="空けたい",1,0))</f>
        <v/>
      </c>
      <c r="AY108">
        <f>IF(OR(AX106=0,INDEX('調整・決定'!$C$6:$H$29,AY3-1,AY2)=""),0,IF(RIGHT(IFERROR(INDEX('名簿'!$D$5:$D$49,MATCH(INDEX('調整・決定'!$C$6:$H$29,AY3-1,AY2),'名簿'!$P$5:$P$49,0)),""),4)="空けたい",1,0))</f>
        <v/>
      </c>
      <c r="AZ108" t="n">
        <v>0</v>
      </c>
      <c r="BA108">
        <f>IF(OR(AZ106=0,INDEX('調整・決定'!$C$6:$H$29,BA3-1,BA2)=""),0,IF(RIGHT(IFERROR(INDEX('名簿'!$D$5:$D$49,MATCH(INDEX('調整・決定'!$C$6:$H$29,BA3-1,BA2),'名簿'!$P$5:$P$49,0)),""),4)="空けたい",1,0))</f>
        <v/>
      </c>
      <c r="BB108">
        <f>IF(OR(BA106=0,INDEX('調整・決定'!$C$6:$H$29,BB3-1,BB2)=""),0,IF(RIGHT(IFERROR(INDEX('名簿'!$D$5:$D$49,MATCH(INDEX('調整・決定'!$C$6:$H$29,BB3-1,BB2),'名簿'!$P$5:$P$49,0)),""),4)="空けたい",1,0))</f>
        <v/>
      </c>
      <c r="BC108">
        <f>IF(OR(BB106=0,INDEX('調整・決定'!$C$6:$H$29,BC3-1,BC2)=""),0,IF(RIGHT(IFERROR(INDEX('名簿'!$D$5:$D$49,MATCH(INDEX('調整・決定'!$C$6:$H$29,BC3-1,BC2),'名簿'!$P$5:$P$49,0)),""),4)="空けたい",1,0))</f>
        <v/>
      </c>
      <c r="BD108">
        <f>IF(OR(BC106=0,INDEX('調整・決定'!$C$6:$H$29,BD3-1,BD2)=""),0,IF(RIGHT(IFERROR(INDEX('名簿'!$D$5:$D$49,MATCH(INDEX('調整・決定'!$C$6:$H$29,BD3-1,BD2),'名簿'!$P$5:$P$49,0)),""),4)="空けたい",1,0))</f>
        <v/>
      </c>
      <c r="BE108">
        <f>IF(OR(BD106=0,INDEX('調整・決定'!$C$6:$H$29,BE3-1,BE2)=""),0,IF(RIGHT(IFERROR(INDEX('名簿'!$D$5:$D$49,MATCH(INDEX('調整・決定'!$C$6:$H$29,BE3-1,BE2),'名簿'!$P$5:$P$49,0)),""),4)="空けたい",1,0))</f>
        <v/>
      </c>
      <c r="BF108">
        <f>IF(OR(BE106=0,INDEX('調整・決定'!$C$6:$H$29,BF3-1,BF2)=""),0,IF(RIGHT(IFERROR(INDEX('名簿'!$D$5:$D$49,MATCH(INDEX('調整・決定'!$C$6:$H$29,BF3-1,BF2),'名簿'!$P$5:$P$49,0)),""),4)="空けたい",1,0))</f>
        <v/>
      </c>
      <c r="BG108">
        <f>IF(OR(BF106=0,INDEX('調整・決定'!$C$6:$H$29,BG3-1,BG2)=""),0,IF(RIGHT(IFERROR(INDEX('名簿'!$D$5:$D$49,MATCH(INDEX('調整・決定'!$C$6:$H$29,BG3-1,BG2),'名簿'!$P$5:$P$49,0)),""),4)="空けたい",1,0))</f>
        <v/>
      </c>
      <c r="BH108">
        <f>IF(OR(BG106=0,INDEX('調整・決定'!$C$6:$H$29,BH3-1,BH2)=""),0,IF(RIGHT(IFERROR(INDEX('名簿'!$D$5:$D$49,MATCH(INDEX('調整・決定'!$C$6:$H$29,BH3-1,BH2),'名簿'!$P$5:$P$49,0)),""),4)="空けたい",1,0))</f>
        <v/>
      </c>
      <c r="BI108">
        <f>IF(OR(BH106=0,INDEX('調整・決定'!$C$6:$H$29,BI3-1,BI2)=""),0,IF(RIGHT(IFERROR(INDEX('名簿'!$D$5:$D$49,MATCH(INDEX('調整・決定'!$C$6:$H$29,BI3-1,BI2),'名簿'!$P$5:$P$49,0)),""),4)="空けたい",1,0))</f>
        <v/>
      </c>
      <c r="BJ108">
        <f>IF(OR(BI106=0,INDEX('調整・決定'!$C$6:$H$29,BJ3-1,BJ2)=""),0,IF(RIGHT(IFERROR(INDEX('名簿'!$D$5:$D$49,MATCH(INDEX('調整・決定'!$C$6:$H$29,BJ3-1,BJ2),'名簿'!$P$5:$P$49,0)),""),4)="空けたい",1,0))</f>
        <v/>
      </c>
      <c r="BK108">
        <f>IF(OR(BJ106=0,INDEX('調整・決定'!$C$6:$H$29,BK3-1,BK2)=""),0,IF(RIGHT(IFERROR(INDEX('名簿'!$D$5:$D$49,MATCH(INDEX('調整・決定'!$C$6:$H$29,BK3-1,BK2),'名簿'!$P$5:$P$49,0)),""),4)="空けたい",1,0))</f>
        <v/>
      </c>
      <c r="BL108">
        <f>IF(OR(BK106=0,INDEX('調整・決定'!$C$6:$H$29,BL3-1,BL2)=""),0,IF(RIGHT(IFERROR(INDEX('名簿'!$D$5:$D$49,MATCH(INDEX('調整・決定'!$C$6:$H$29,BL3-1,BL2),'名簿'!$P$5:$P$49,0)),""),4)="空けたい",1,0))</f>
        <v/>
      </c>
      <c r="BM108">
        <f>IF(OR(BL106=0,INDEX('調整・決定'!$C$6:$H$29,BM3-1,BM2)=""),0,IF(RIGHT(IFERROR(INDEX('名簿'!$D$5:$D$49,MATCH(INDEX('調整・決定'!$C$6:$H$29,BM3-1,BM2),'名簿'!$P$5:$P$49,0)),""),4)="空けたい",1,0))</f>
        <v/>
      </c>
      <c r="BN108">
        <f>IF(OR(BM106=0,INDEX('調整・決定'!$C$6:$H$29,BN3-1,BN2)=""),0,IF(RIGHT(IFERROR(INDEX('名簿'!$D$5:$D$49,MATCH(INDEX('調整・決定'!$C$6:$H$29,BN3-1,BN2),'名簿'!$P$5:$P$49,0)),""),4)="空けたい",1,0))</f>
        <v/>
      </c>
      <c r="BO108">
        <f>IF(OR(BN106=0,INDEX('調整・決定'!$C$6:$H$29,BO3-1,BO2)=""),0,IF(RIGHT(IFERROR(INDEX('名簿'!$D$5:$D$49,MATCH(INDEX('調整・決定'!$C$6:$H$29,BO3-1,BO2),'名簿'!$P$5:$P$49,0)),""),4)="空けたい",1,0))</f>
        <v/>
      </c>
      <c r="BP108">
        <f>IF(OR(BO106=0,INDEX('調整・決定'!$C$6:$H$29,BP3-1,BP2)=""),0,IF(RIGHT(IFERROR(INDEX('名簿'!$D$5:$D$49,MATCH(INDEX('調整・決定'!$C$6:$H$29,BP3-1,BP2),'名簿'!$P$5:$P$49,0)),""),4)="空けたい",1,0))</f>
        <v/>
      </c>
      <c r="BQ108">
        <f>IF(OR(BP106=0,INDEX('調整・決定'!$C$6:$H$29,BQ3-1,BQ2)=""),0,IF(RIGHT(IFERROR(INDEX('名簿'!$D$5:$D$49,MATCH(INDEX('調整・決定'!$C$6:$H$29,BQ3-1,BQ2),'名簿'!$P$5:$P$49,0)),""),4)="空けたい",1,0))</f>
        <v/>
      </c>
      <c r="BR108">
        <f>IF(OR(BQ106=0,INDEX('調整・決定'!$C$6:$H$29,BR3-1,BR2)=""),0,IF(RIGHT(IFERROR(INDEX('名簿'!$D$5:$D$49,MATCH(INDEX('調整・決定'!$C$6:$H$29,BR3-1,BR2),'名簿'!$P$5:$P$49,0)),""),4)="空けたい",1,0))</f>
        <v/>
      </c>
      <c r="BS108">
        <f>IF(OR(BR106=0,INDEX('調整・決定'!$C$6:$H$29,BS3-1,BS2)=""),0,IF(RIGHT(IFERROR(INDEX('名簿'!$D$5:$D$49,MATCH(INDEX('調整・決定'!$C$6:$H$29,BS3-1,BS2),'名簿'!$P$5:$P$49,0)),""),4)="空けたい",1,0))</f>
        <v/>
      </c>
      <c r="BT108">
        <f>IF(OR(BS106=0,INDEX('調整・決定'!$C$6:$H$29,BT3-1,BT2)=""),0,IF(RIGHT(IFERROR(INDEX('名簿'!$D$5:$D$49,MATCH(INDEX('調整・決定'!$C$6:$H$29,BT3-1,BT2),'名簿'!$P$5:$P$49,0)),""),4)="空けたい",1,0))</f>
        <v/>
      </c>
      <c r="BU108">
        <f>IF(OR(BT106=0,INDEX('調整・決定'!$C$6:$H$29,BU3-1,BU2)=""),0,IF(RIGHT(IFERROR(INDEX('名簿'!$D$5:$D$49,MATCH(INDEX('調整・決定'!$C$6:$H$29,BU3-1,BU2),'名簿'!$P$5:$P$49,0)),""),4)="空けたい",1,0))</f>
        <v/>
      </c>
      <c r="BV108">
        <f>IF(OR(BU106=0,INDEX('調整・決定'!$C$6:$H$29,BV3-1,BV2)=""),0,IF(RIGHT(IFERROR(INDEX('名簿'!$D$5:$D$49,MATCH(INDEX('調整・決定'!$C$6:$H$29,BV3-1,BV2),'名簿'!$P$5:$P$49,0)),""),4)="空けたい",1,0))</f>
        <v/>
      </c>
      <c r="BW108">
        <f>IF(OR(BV106=0,INDEX('調整・決定'!$C$6:$H$29,BW3-1,BW2)=""),0,IF(RIGHT(IFERROR(INDEX('名簿'!$D$5:$D$49,MATCH(INDEX('調整・決定'!$C$6:$H$29,BW3-1,BW2),'名簿'!$P$5:$P$49,0)),""),4)="空けたい",1,0))</f>
        <v/>
      </c>
      <c r="BX108" t="n">
        <v>0</v>
      </c>
      <c r="BY108">
        <f>IF(OR(BX106=0,INDEX('調整・決定'!$C$6:$H$29,BY3-1,BY2)=""),0,IF(RIGHT(IFERROR(INDEX('名簿'!$D$5:$D$49,MATCH(INDEX('調整・決定'!$C$6:$H$29,BY3-1,BY2),'名簿'!$P$5:$P$49,0)),""),4)="空けたい",1,0))</f>
        <v/>
      </c>
      <c r="BZ108">
        <f>IF(OR(BY106=0,INDEX('調整・決定'!$C$6:$H$29,BZ3-1,BZ2)=""),0,IF(RIGHT(IFERROR(INDEX('名簿'!$D$5:$D$49,MATCH(INDEX('調整・決定'!$C$6:$H$29,BZ3-1,BZ2),'名簿'!$P$5:$P$49,0)),""),4)="空けたい",1,0))</f>
        <v/>
      </c>
      <c r="CA108">
        <f>IF(OR(BZ106=0,INDEX('調整・決定'!$C$6:$H$29,CA3-1,CA2)=""),0,IF(RIGHT(IFERROR(INDEX('名簿'!$D$5:$D$49,MATCH(INDEX('調整・決定'!$C$6:$H$29,CA3-1,CA2),'名簿'!$P$5:$P$49,0)),""),4)="空けたい",1,0))</f>
        <v/>
      </c>
      <c r="CB108">
        <f>IF(OR(CA106=0,INDEX('調整・決定'!$C$6:$H$29,CB3-1,CB2)=""),0,IF(RIGHT(IFERROR(INDEX('名簿'!$D$5:$D$49,MATCH(INDEX('調整・決定'!$C$6:$H$29,CB3-1,CB2),'名簿'!$P$5:$P$49,0)),""),4)="空けたい",1,0))</f>
        <v/>
      </c>
      <c r="CC108">
        <f>IF(OR(CB106=0,INDEX('調整・決定'!$C$6:$H$29,CC3-1,CC2)=""),0,IF(RIGHT(IFERROR(INDEX('名簿'!$D$5:$D$49,MATCH(INDEX('調整・決定'!$C$6:$H$29,CC3-1,CC2),'名簿'!$P$5:$P$49,0)),""),4)="空けたい",1,0))</f>
        <v/>
      </c>
      <c r="CD108">
        <f>IF(OR(CC106=0,INDEX('調整・決定'!$C$6:$H$29,CD3-1,CD2)=""),0,IF(RIGHT(IFERROR(INDEX('名簿'!$D$5:$D$49,MATCH(INDEX('調整・決定'!$C$6:$H$29,CD3-1,CD2),'名簿'!$P$5:$P$49,0)),""),4)="空けたい",1,0))</f>
        <v/>
      </c>
      <c r="CE108">
        <f>IF(OR(CD106=0,INDEX('調整・決定'!$C$6:$H$29,CE3-1,CE2)=""),0,IF(RIGHT(IFERROR(INDEX('名簿'!$D$5:$D$49,MATCH(INDEX('調整・決定'!$C$6:$H$29,CE3-1,CE2),'名簿'!$P$5:$P$49,0)),""),4)="空けたい",1,0))</f>
        <v/>
      </c>
      <c r="CF108">
        <f>IF(OR(CE106=0,INDEX('調整・決定'!$C$6:$H$29,CF3-1,CF2)=""),0,IF(RIGHT(IFERROR(INDEX('名簿'!$D$5:$D$49,MATCH(INDEX('調整・決定'!$C$6:$H$29,CF3-1,CF2),'名簿'!$P$5:$P$49,0)),""),4)="空けたい",1,0))</f>
        <v/>
      </c>
      <c r="CG108">
        <f>IF(OR(CF106=0,INDEX('調整・決定'!$C$6:$H$29,CG3-1,CG2)=""),0,IF(RIGHT(IFERROR(INDEX('名簿'!$D$5:$D$49,MATCH(INDEX('調整・決定'!$C$6:$H$29,CG3-1,CG2),'名簿'!$P$5:$P$49,0)),""),4)="空けたい",1,0))</f>
        <v/>
      </c>
      <c r="CH108">
        <f>IF(OR(CG106=0,INDEX('調整・決定'!$C$6:$H$29,CH3-1,CH2)=""),0,IF(RIGHT(IFERROR(INDEX('名簿'!$D$5:$D$49,MATCH(INDEX('調整・決定'!$C$6:$H$29,CH3-1,CH2),'名簿'!$P$5:$P$49,0)),""),4)="空けたい",1,0))</f>
        <v/>
      </c>
      <c r="CI108">
        <f>IF(OR(CH106=0,INDEX('調整・決定'!$C$6:$H$29,CI3-1,CI2)=""),0,IF(RIGHT(IFERROR(INDEX('名簿'!$D$5:$D$49,MATCH(INDEX('調整・決定'!$C$6:$H$29,CI3-1,CI2),'名簿'!$P$5:$P$49,0)),""),4)="空けたい",1,0))</f>
        <v/>
      </c>
      <c r="CJ108">
        <f>IF(OR(CI106=0,INDEX('調整・決定'!$C$6:$H$29,CJ3-1,CJ2)=""),0,IF(RIGHT(IFERROR(INDEX('名簿'!$D$5:$D$49,MATCH(INDEX('調整・決定'!$C$6:$H$29,CJ3-1,CJ2),'名簿'!$P$5:$P$49,0)),""),4)="空けたい",1,0))</f>
        <v/>
      </c>
      <c r="CK108">
        <f>IF(OR(CJ106=0,INDEX('調整・決定'!$C$6:$H$29,CK3-1,CK2)=""),0,IF(RIGHT(IFERROR(INDEX('名簿'!$D$5:$D$49,MATCH(INDEX('調整・決定'!$C$6:$H$29,CK3-1,CK2),'名簿'!$P$5:$P$49,0)),""),4)="空けたい",1,0))</f>
        <v/>
      </c>
      <c r="CL108">
        <f>IF(OR(CK106=0,INDEX('調整・決定'!$C$6:$H$29,CL3-1,CL2)=""),0,IF(RIGHT(IFERROR(INDEX('名簿'!$D$5:$D$49,MATCH(INDEX('調整・決定'!$C$6:$H$29,CL3-1,CL2),'名簿'!$P$5:$P$49,0)),""),4)="空けたい",1,0))</f>
        <v/>
      </c>
      <c r="CM108">
        <f>IF(OR(CL106=0,INDEX('調整・決定'!$C$6:$H$29,CM3-1,CM2)=""),0,IF(RIGHT(IFERROR(INDEX('名簿'!$D$5:$D$49,MATCH(INDEX('調整・決定'!$C$6:$H$29,CM3-1,CM2),'名簿'!$P$5:$P$49,0)),""),4)="空けたい",1,0))</f>
        <v/>
      </c>
      <c r="CN108">
        <f>IF(OR(CM106=0,INDEX('調整・決定'!$C$6:$H$29,CN3-1,CN2)=""),0,IF(RIGHT(IFERROR(INDEX('名簿'!$D$5:$D$49,MATCH(INDEX('調整・決定'!$C$6:$H$29,CN3-1,CN2),'名簿'!$P$5:$P$49,0)),""),4)="空けたい",1,0))</f>
        <v/>
      </c>
      <c r="CO108">
        <f>IF(OR(CN106=0,INDEX('調整・決定'!$C$6:$H$29,CO3-1,CO2)=""),0,IF(RIGHT(IFERROR(INDEX('名簿'!$D$5:$D$49,MATCH(INDEX('調整・決定'!$C$6:$H$29,CO3-1,CO2),'名簿'!$P$5:$P$49,0)),""),4)="空けたい",1,0))</f>
        <v/>
      </c>
      <c r="CP108">
        <f>IF(OR(CO106=0,INDEX('調整・決定'!$C$6:$H$29,CP3-1,CP2)=""),0,IF(RIGHT(IFERROR(INDEX('名簿'!$D$5:$D$49,MATCH(INDEX('調整・決定'!$C$6:$H$29,CP3-1,CP2),'名簿'!$P$5:$P$49,0)),""),4)="空けたい",1,0))</f>
        <v/>
      </c>
      <c r="CQ108">
        <f>IF(OR(CP106=0,INDEX('調整・決定'!$C$6:$H$29,CQ3-1,CQ2)=""),0,IF(RIGHT(IFERROR(INDEX('名簿'!$D$5:$D$49,MATCH(INDEX('調整・決定'!$C$6:$H$29,CQ3-1,CQ2),'名簿'!$P$5:$P$49,0)),""),4)="空けたい",1,0))</f>
        <v/>
      </c>
      <c r="CR108">
        <f>IF(OR(CQ106=0,INDEX('調整・決定'!$C$6:$H$29,CR3-1,CR2)=""),0,IF(RIGHT(IFERROR(INDEX('名簿'!$D$5:$D$49,MATCH(INDEX('調整・決定'!$C$6:$H$29,CR3-1,CR2),'名簿'!$P$5:$P$49,0)),""),4)="空けたい",1,0))</f>
        <v/>
      </c>
      <c r="CS108">
        <f>IF(OR(CR106=0,INDEX('調整・決定'!$C$6:$H$29,CS3-1,CS2)=""),0,IF(RIGHT(IFERROR(INDEX('名簿'!$D$5:$D$49,MATCH(INDEX('調整・決定'!$C$6:$H$29,CS3-1,CS2),'名簿'!$P$5:$P$49,0)),""),4)="空けたい",1,0))</f>
        <v/>
      </c>
      <c r="CT108">
        <f>IF(OR(CS106=0,INDEX('調整・決定'!$C$6:$H$29,CT3-1,CT2)=""),0,IF(RIGHT(IFERROR(INDEX('名簿'!$D$5:$D$49,MATCH(INDEX('調整・決定'!$C$6:$H$29,CT3-1,CT2),'名簿'!$P$5:$P$49,0)),""),4)="空けたい",1,0))</f>
        <v/>
      </c>
      <c r="CU108">
        <f>IF(OR(CT106=0,INDEX('調整・決定'!$C$6:$H$29,CU3-1,CU2)=""),0,IF(RIGHT(IFERROR(INDEX('名簿'!$D$5:$D$49,MATCH(INDEX('調整・決定'!$C$6:$H$29,CU3-1,CU2),'名簿'!$P$5:$P$49,0)),""),4)="空けたい",1,0))</f>
        <v/>
      </c>
      <c r="CV108" t="n">
        <v>0</v>
      </c>
      <c r="CW108">
        <f>IF(OR(CV106=0,INDEX('調整・決定'!$C$6:$H$29,CW3-1,CW2)=""),0,IF(RIGHT(IFERROR(INDEX('名簿'!$D$5:$D$49,MATCH(INDEX('調整・決定'!$C$6:$H$29,CW3-1,CW2),'名簿'!$P$5:$P$49,0)),""),4)="空けたい",1,0))</f>
        <v/>
      </c>
      <c r="CX108">
        <f>IF(OR(CW106=0,INDEX('調整・決定'!$C$6:$H$29,CX3-1,CX2)=""),0,IF(RIGHT(IFERROR(INDEX('名簿'!$D$5:$D$49,MATCH(INDEX('調整・決定'!$C$6:$H$29,CX3-1,CX2),'名簿'!$P$5:$P$49,0)),""),4)="空けたい",1,0))</f>
        <v/>
      </c>
      <c r="CY108">
        <f>IF(OR(CX106=0,INDEX('調整・決定'!$C$6:$H$29,CY3-1,CY2)=""),0,IF(RIGHT(IFERROR(INDEX('名簿'!$D$5:$D$49,MATCH(INDEX('調整・決定'!$C$6:$H$29,CY3-1,CY2),'名簿'!$P$5:$P$49,0)),""),4)="空けたい",1,0))</f>
        <v/>
      </c>
      <c r="CZ108">
        <f>IF(OR(CY106=0,INDEX('調整・決定'!$C$6:$H$29,CZ3-1,CZ2)=""),0,IF(RIGHT(IFERROR(INDEX('名簿'!$D$5:$D$49,MATCH(INDEX('調整・決定'!$C$6:$H$29,CZ3-1,CZ2),'名簿'!$P$5:$P$49,0)),""),4)="空けたい",1,0))</f>
        <v/>
      </c>
      <c r="DA108">
        <f>IF(OR(CZ106=0,INDEX('調整・決定'!$C$6:$H$29,DA3-1,DA2)=""),0,IF(RIGHT(IFERROR(INDEX('名簿'!$D$5:$D$49,MATCH(INDEX('調整・決定'!$C$6:$H$29,DA3-1,DA2),'名簿'!$P$5:$P$49,0)),""),4)="空けたい",1,0))</f>
        <v/>
      </c>
      <c r="DB108">
        <f>IF(OR(DA106=0,INDEX('調整・決定'!$C$6:$H$29,DB3-1,DB2)=""),0,IF(RIGHT(IFERROR(INDEX('名簿'!$D$5:$D$49,MATCH(INDEX('調整・決定'!$C$6:$H$29,DB3-1,DB2),'名簿'!$P$5:$P$49,0)),""),4)="空けたい",1,0))</f>
        <v/>
      </c>
      <c r="DC108">
        <f>IF(OR(DB106=0,INDEX('調整・決定'!$C$6:$H$29,DC3-1,DC2)=""),0,IF(RIGHT(IFERROR(INDEX('名簿'!$D$5:$D$49,MATCH(INDEX('調整・決定'!$C$6:$H$29,DC3-1,DC2),'名簿'!$P$5:$P$49,0)),""),4)="空けたい",1,0))</f>
        <v/>
      </c>
      <c r="DD108">
        <f>IF(OR(DC106=0,INDEX('調整・決定'!$C$6:$H$29,DD3-1,DD2)=""),0,IF(RIGHT(IFERROR(INDEX('名簿'!$D$5:$D$49,MATCH(INDEX('調整・決定'!$C$6:$H$29,DD3-1,DD2),'名簿'!$P$5:$P$49,0)),""),4)="空けたい",1,0))</f>
        <v/>
      </c>
      <c r="DE108">
        <f>IF(OR(DD106=0,INDEX('調整・決定'!$C$6:$H$29,DE3-1,DE2)=""),0,IF(RIGHT(IFERROR(INDEX('名簿'!$D$5:$D$49,MATCH(INDEX('調整・決定'!$C$6:$H$29,DE3-1,DE2),'名簿'!$P$5:$P$49,0)),""),4)="空けたい",1,0))</f>
        <v/>
      </c>
      <c r="DF108">
        <f>IF(OR(DE106=0,INDEX('調整・決定'!$C$6:$H$29,DF3-1,DF2)=""),0,IF(RIGHT(IFERROR(INDEX('名簿'!$D$5:$D$49,MATCH(INDEX('調整・決定'!$C$6:$H$29,DF3-1,DF2),'名簿'!$P$5:$P$49,0)),""),4)="空けたい",1,0))</f>
        <v/>
      </c>
      <c r="DG108">
        <f>IF(OR(DF106=0,INDEX('調整・決定'!$C$6:$H$29,DG3-1,DG2)=""),0,IF(RIGHT(IFERROR(INDEX('名簿'!$D$5:$D$49,MATCH(INDEX('調整・決定'!$C$6:$H$29,DG3-1,DG2),'名簿'!$P$5:$P$49,0)),""),4)="空けたい",1,0))</f>
        <v/>
      </c>
      <c r="DH108">
        <f>IF(OR(DG106=0,INDEX('調整・決定'!$C$6:$H$29,DH3-1,DH2)=""),0,IF(RIGHT(IFERROR(INDEX('名簿'!$D$5:$D$49,MATCH(INDEX('調整・決定'!$C$6:$H$29,DH3-1,DH2),'名簿'!$P$5:$P$49,0)),""),4)="空けたい",1,0))</f>
        <v/>
      </c>
      <c r="DI108">
        <f>IF(OR(DH106=0,INDEX('調整・決定'!$C$6:$H$29,DI3-1,DI2)=""),0,IF(RIGHT(IFERROR(INDEX('名簿'!$D$5:$D$49,MATCH(INDEX('調整・決定'!$C$6:$H$29,DI3-1,DI2),'名簿'!$P$5:$P$49,0)),""),4)="空けたい",1,0))</f>
        <v/>
      </c>
      <c r="DJ108">
        <f>IF(OR(DI106=0,INDEX('調整・決定'!$C$6:$H$29,DJ3-1,DJ2)=""),0,IF(RIGHT(IFERROR(INDEX('名簿'!$D$5:$D$49,MATCH(INDEX('調整・決定'!$C$6:$H$29,DJ3-1,DJ2),'名簿'!$P$5:$P$49,0)),""),4)="空けたい",1,0))</f>
        <v/>
      </c>
      <c r="DK108">
        <f>IF(OR(DJ106=0,INDEX('調整・決定'!$C$6:$H$29,DK3-1,DK2)=""),0,IF(RIGHT(IFERROR(INDEX('名簿'!$D$5:$D$49,MATCH(INDEX('調整・決定'!$C$6:$H$29,DK3-1,DK2),'名簿'!$P$5:$P$49,0)),""),4)="空けたい",1,0))</f>
        <v/>
      </c>
      <c r="DL108">
        <f>IF(OR(DK106=0,INDEX('調整・決定'!$C$6:$H$29,DL3-1,DL2)=""),0,IF(RIGHT(IFERROR(INDEX('名簿'!$D$5:$D$49,MATCH(INDEX('調整・決定'!$C$6:$H$29,DL3-1,DL2),'名簿'!$P$5:$P$49,0)),""),4)="空けたい",1,0))</f>
        <v/>
      </c>
      <c r="DM108">
        <f>IF(OR(DL106=0,INDEX('調整・決定'!$C$6:$H$29,DM3-1,DM2)=""),0,IF(RIGHT(IFERROR(INDEX('名簿'!$D$5:$D$49,MATCH(INDEX('調整・決定'!$C$6:$H$29,DM3-1,DM2),'名簿'!$P$5:$P$49,0)),""),4)="空けたい",1,0))</f>
        <v/>
      </c>
      <c r="DN108">
        <f>IF(OR(DM106=0,INDEX('調整・決定'!$C$6:$H$29,DN3-1,DN2)=""),0,IF(RIGHT(IFERROR(INDEX('名簿'!$D$5:$D$49,MATCH(INDEX('調整・決定'!$C$6:$H$29,DN3-1,DN2),'名簿'!$P$5:$P$49,0)),""),4)="空けたい",1,0))</f>
        <v/>
      </c>
      <c r="DO108">
        <f>IF(OR(DN106=0,INDEX('調整・決定'!$C$6:$H$29,DO3-1,DO2)=""),0,IF(RIGHT(IFERROR(INDEX('名簿'!$D$5:$D$49,MATCH(INDEX('調整・決定'!$C$6:$H$29,DO3-1,DO2),'名簿'!$P$5:$P$49,0)),""),4)="空けたい",1,0))</f>
        <v/>
      </c>
      <c r="DP108">
        <f>IF(OR(DO106=0,INDEX('調整・決定'!$C$6:$H$29,DP3-1,DP2)=""),0,IF(RIGHT(IFERROR(INDEX('名簿'!$D$5:$D$49,MATCH(INDEX('調整・決定'!$C$6:$H$29,DP3-1,DP2),'名簿'!$P$5:$P$49,0)),""),4)="空けたい",1,0))</f>
        <v/>
      </c>
      <c r="DQ108">
        <f>IF(OR(DP106=0,INDEX('調整・決定'!$C$6:$H$29,DQ3-1,DQ2)=""),0,IF(RIGHT(IFERROR(INDEX('名簿'!$D$5:$D$49,MATCH(INDEX('調整・決定'!$C$6:$H$29,DQ3-1,DQ2),'名簿'!$P$5:$P$49,0)),""),4)="空けたい",1,0))</f>
        <v/>
      </c>
      <c r="DR108">
        <f>IF(OR(DQ106=0,INDEX('調整・決定'!$C$6:$H$29,DR3-1,DR2)=""),0,IF(RIGHT(IFERROR(INDEX('名簿'!$D$5:$D$49,MATCH(INDEX('調整・決定'!$C$6:$H$29,DR3-1,DR2),'名簿'!$P$5:$P$49,0)),""),4)="空けたい",1,0))</f>
        <v/>
      </c>
      <c r="DS108">
        <f>IF(OR(DR106=0,INDEX('調整・決定'!$C$6:$H$29,DS3-1,DS2)=""),0,IF(RIGHT(IFERROR(INDEX('名簿'!$D$5:$D$49,MATCH(INDEX('調整・決定'!$C$6:$H$29,DS3-1,DS2),'名簿'!$P$5:$P$49,0)),""),4)="空けたい",1,0))</f>
        <v/>
      </c>
      <c r="DT108" t="n">
        <v>0</v>
      </c>
      <c r="DU108">
        <f>IF(OR(DT106=0,INDEX('調整・決定'!$C$6:$H$29,DU3-1,DU2)=""),0,IF(RIGHT(IFERROR(INDEX('名簿'!$D$5:$D$49,MATCH(INDEX('調整・決定'!$C$6:$H$29,DU3-1,DU2),'名簿'!$P$5:$P$49,0)),""),4)="空けたい",1,0))</f>
        <v/>
      </c>
      <c r="DV108">
        <f>IF(OR(DU106=0,INDEX('調整・決定'!$C$6:$H$29,DV3-1,DV2)=""),0,IF(RIGHT(IFERROR(INDEX('名簿'!$D$5:$D$49,MATCH(INDEX('調整・決定'!$C$6:$H$29,DV3-1,DV2),'名簿'!$P$5:$P$49,0)),""),4)="空けたい",1,0))</f>
        <v/>
      </c>
      <c r="DW108">
        <f>IF(OR(DV106=0,INDEX('調整・決定'!$C$6:$H$29,DW3-1,DW2)=""),0,IF(RIGHT(IFERROR(INDEX('名簿'!$D$5:$D$49,MATCH(INDEX('調整・決定'!$C$6:$H$29,DW3-1,DW2),'名簿'!$P$5:$P$49,0)),""),4)="空けたい",1,0))</f>
        <v/>
      </c>
      <c r="DX108">
        <f>IF(OR(DW106=0,INDEX('調整・決定'!$C$6:$H$29,DX3-1,DX2)=""),0,IF(RIGHT(IFERROR(INDEX('名簿'!$D$5:$D$49,MATCH(INDEX('調整・決定'!$C$6:$H$29,DX3-1,DX2),'名簿'!$P$5:$P$49,0)),""),4)="空けたい",1,0))</f>
        <v/>
      </c>
      <c r="DY108">
        <f>IF(OR(DX106=0,INDEX('調整・決定'!$C$6:$H$29,DY3-1,DY2)=""),0,IF(RIGHT(IFERROR(INDEX('名簿'!$D$5:$D$49,MATCH(INDEX('調整・決定'!$C$6:$H$29,DY3-1,DY2),'名簿'!$P$5:$P$49,0)),""),4)="空けたい",1,0))</f>
        <v/>
      </c>
      <c r="DZ108">
        <f>IF(OR(DY106=0,INDEX('調整・決定'!$C$6:$H$29,DZ3-1,DZ2)=""),0,IF(RIGHT(IFERROR(INDEX('名簿'!$D$5:$D$49,MATCH(INDEX('調整・決定'!$C$6:$H$29,DZ3-1,DZ2),'名簿'!$P$5:$P$49,0)),""),4)="空けたい",1,0))</f>
        <v/>
      </c>
      <c r="EA108">
        <f>IF(OR(DZ106=0,INDEX('調整・決定'!$C$6:$H$29,EA3-1,EA2)=""),0,IF(RIGHT(IFERROR(INDEX('名簿'!$D$5:$D$49,MATCH(INDEX('調整・決定'!$C$6:$H$29,EA3-1,EA2),'名簿'!$P$5:$P$49,0)),""),4)="空けたい",1,0))</f>
        <v/>
      </c>
      <c r="EB108">
        <f>IF(OR(EA106=0,INDEX('調整・決定'!$C$6:$H$29,EB3-1,EB2)=""),0,IF(RIGHT(IFERROR(INDEX('名簿'!$D$5:$D$49,MATCH(INDEX('調整・決定'!$C$6:$H$29,EB3-1,EB2),'名簿'!$P$5:$P$49,0)),""),4)="空けたい",1,0))</f>
        <v/>
      </c>
      <c r="EC108">
        <f>IF(OR(EB106=0,INDEX('調整・決定'!$C$6:$H$29,EC3-1,EC2)=""),0,IF(RIGHT(IFERROR(INDEX('名簿'!$D$5:$D$49,MATCH(INDEX('調整・決定'!$C$6:$H$29,EC3-1,EC2),'名簿'!$P$5:$P$49,0)),""),4)="空けたい",1,0))</f>
        <v/>
      </c>
      <c r="ED108">
        <f>IF(OR(EC106=0,INDEX('調整・決定'!$C$6:$H$29,ED3-1,ED2)=""),0,IF(RIGHT(IFERROR(INDEX('名簿'!$D$5:$D$49,MATCH(INDEX('調整・決定'!$C$6:$H$29,ED3-1,ED2),'名簿'!$P$5:$P$49,0)),""),4)="空けたい",1,0))</f>
        <v/>
      </c>
      <c r="EE108">
        <f>IF(OR(ED106=0,INDEX('調整・決定'!$C$6:$H$29,EE3-1,EE2)=""),0,IF(RIGHT(IFERROR(INDEX('名簿'!$D$5:$D$49,MATCH(INDEX('調整・決定'!$C$6:$H$29,EE3-1,EE2),'名簿'!$P$5:$P$49,0)),""),4)="空けたい",1,0))</f>
        <v/>
      </c>
      <c r="EF108">
        <f>IF(OR(EE106=0,INDEX('調整・決定'!$C$6:$H$29,EF3-1,EF2)=""),0,IF(RIGHT(IFERROR(INDEX('名簿'!$D$5:$D$49,MATCH(INDEX('調整・決定'!$C$6:$H$29,EF3-1,EF2),'名簿'!$P$5:$P$49,0)),""),4)="空けたい",1,0))</f>
        <v/>
      </c>
      <c r="EG108">
        <f>IF(OR(EF106=0,INDEX('調整・決定'!$C$6:$H$29,EG3-1,EG2)=""),0,IF(RIGHT(IFERROR(INDEX('名簿'!$D$5:$D$49,MATCH(INDEX('調整・決定'!$C$6:$H$29,EG3-1,EG2),'名簿'!$P$5:$P$49,0)),""),4)="空けたい",1,0))</f>
        <v/>
      </c>
      <c r="EH108">
        <f>IF(OR(EG106=0,INDEX('調整・決定'!$C$6:$H$29,EH3-1,EH2)=""),0,IF(RIGHT(IFERROR(INDEX('名簿'!$D$5:$D$49,MATCH(INDEX('調整・決定'!$C$6:$H$29,EH3-1,EH2),'名簿'!$P$5:$P$49,0)),""),4)="空けたい",1,0))</f>
        <v/>
      </c>
      <c r="EI108">
        <f>IF(OR(EH106=0,INDEX('調整・決定'!$C$6:$H$29,EI3-1,EI2)=""),0,IF(RIGHT(IFERROR(INDEX('名簿'!$D$5:$D$49,MATCH(INDEX('調整・決定'!$C$6:$H$29,EI3-1,EI2),'名簿'!$P$5:$P$49,0)),""),4)="空けたい",1,0))</f>
        <v/>
      </c>
      <c r="EJ108">
        <f>IF(OR(EI106=0,INDEX('調整・決定'!$C$6:$H$29,EJ3-1,EJ2)=""),0,IF(RIGHT(IFERROR(INDEX('名簿'!$D$5:$D$49,MATCH(INDEX('調整・決定'!$C$6:$H$29,EJ3-1,EJ2),'名簿'!$P$5:$P$49,0)),""),4)="空けたい",1,0))</f>
        <v/>
      </c>
      <c r="EK108">
        <f>IF(OR(EJ106=0,INDEX('調整・決定'!$C$6:$H$29,EK3-1,EK2)=""),0,IF(RIGHT(IFERROR(INDEX('名簿'!$D$5:$D$49,MATCH(INDEX('調整・決定'!$C$6:$H$29,EK3-1,EK2),'名簿'!$P$5:$P$49,0)),""),4)="空けたい",1,0))</f>
        <v/>
      </c>
      <c r="EL108">
        <f>IF(OR(EK106=0,INDEX('調整・決定'!$C$6:$H$29,EL3-1,EL2)=""),0,IF(RIGHT(IFERROR(INDEX('名簿'!$D$5:$D$49,MATCH(INDEX('調整・決定'!$C$6:$H$29,EL3-1,EL2),'名簿'!$P$5:$P$49,0)),""),4)="空けたい",1,0))</f>
        <v/>
      </c>
      <c r="EM108">
        <f>IF(OR(EL106=0,INDEX('調整・決定'!$C$6:$H$29,EM3-1,EM2)=""),0,IF(RIGHT(IFERROR(INDEX('名簿'!$D$5:$D$49,MATCH(INDEX('調整・決定'!$C$6:$H$29,EM3-1,EM2),'名簿'!$P$5:$P$49,0)),""),4)="空けたい",1,0))</f>
        <v/>
      </c>
      <c r="EN108">
        <f>IF(OR(EM106=0,INDEX('調整・決定'!$C$6:$H$29,EN3-1,EN2)=""),0,IF(RIGHT(IFERROR(INDEX('名簿'!$D$5:$D$49,MATCH(INDEX('調整・決定'!$C$6:$H$29,EN3-1,EN2),'名簿'!$P$5:$P$49,0)),""),4)="空けたい",1,0))</f>
        <v/>
      </c>
      <c r="EO108">
        <f>IF(OR(EN106=0,INDEX('調整・決定'!$C$6:$H$29,EO3-1,EO2)=""),0,IF(RIGHT(IFERROR(INDEX('名簿'!$D$5:$D$49,MATCH(INDEX('調整・決定'!$C$6:$H$29,EO3-1,EO2),'名簿'!$P$5:$P$49,0)),""),4)="空けたい",1,0))</f>
        <v/>
      </c>
      <c r="EP108">
        <f>IF(OR(EO106=0,INDEX('調整・決定'!$C$6:$H$29,EP3-1,EP2)=""),0,IF(RIGHT(IFERROR(INDEX('名簿'!$D$5:$D$49,MATCH(INDEX('調整・決定'!$C$6:$H$29,EP3-1,EP2),'名簿'!$P$5:$P$49,0)),""),4)="空けたい",1,0))</f>
        <v/>
      </c>
      <c r="EQ108">
        <f>IF(OR(EP106=0,INDEX('調整・決定'!$C$6:$H$29,EQ3-1,EQ2)=""),0,IF(RIGHT(IFERROR(INDEX('名簿'!$D$5:$D$49,MATCH(INDEX('調整・決定'!$C$6:$H$29,EQ3-1,EQ2),'名簿'!$P$5:$P$49,0)),""),4)="空けたい",1,0))</f>
        <v/>
      </c>
    </row>
    <row r="109">
      <c r="C109" t="inlineStr">
        <is>
          <t>人がいる</t>
        </is>
      </c>
      <c r="D109">
        <f>IF(INDEX('調整・決定'!$C$6:$H$29,D3,D2)&lt;&gt;"",1,0)</f>
        <v/>
      </c>
      <c r="E109">
        <f>IF(INDEX('調整・決定'!$C$6:$H$29,E3,E2)&lt;&gt;"",1,0)</f>
        <v/>
      </c>
      <c r="F109">
        <f>IF(INDEX('調整・決定'!$C$6:$H$29,F3,F2)&lt;&gt;"",1,0)</f>
        <v/>
      </c>
      <c r="G109">
        <f>IF(INDEX('調整・決定'!$C$6:$H$29,G3,G2)&lt;&gt;"",1,0)</f>
        <v/>
      </c>
      <c r="H109">
        <f>IF(INDEX('調整・決定'!$C$6:$H$29,H3,H2)&lt;&gt;"",1,0)</f>
        <v/>
      </c>
      <c r="I109">
        <f>IF(INDEX('調整・決定'!$C$6:$H$29,I3,I2)&lt;&gt;"",1,0)</f>
        <v/>
      </c>
      <c r="J109">
        <f>IF(INDEX('調整・決定'!$C$6:$H$29,J3,J2)&lt;&gt;"",1,0)</f>
        <v/>
      </c>
      <c r="K109">
        <f>IF(INDEX('調整・決定'!$C$6:$H$29,K3,K2)&lt;&gt;"",1,0)</f>
        <v/>
      </c>
      <c r="L109">
        <f>IF(INDEX('調整・決定'!$C$6:$H$29,L3,L2)&lt;&gt;"",1,0)</f>
        <v/>
      </c>
      <c r="M109">
        <f>IF(INDEX('調整・決定'!$C$6:$H$29,M3,M2)&lt;&gt;"",1,0)</f>
        <v/>
      </c>
      <c r="N109">
        <f>IF(INDEX('調整・決定'!$C$6:$H$29,N3,N2)&lt;&gt;"",1,0)</f>
        <v/>
      </c>
      <c r="O109">
        <f>IF(INDEX('調整・決定'!$C$6:$H$29,O3,O2)&lt;&gt;"",1,0)</f>
        <v/>
      </c>
      <c r="P109">
        <f>IF(INDEX('調整・決定'!$C$6:$H$29,P3,P2)&lt;&gt;"",1,0)</f>
        <v/>
      </c>
      <c r="Q109">
        <f>IF(INDEX('調整・決定'!$C$6:$H$29,Q3,Q2)&lt;&gt;"",1,0)</f>
        <v/>
      </c>
      <c r="R109">
        <f>IF(INDEX('調整・決定'!$C$6:$H$29,R3,R2)&lt;&gt;"",1,0)</f>
        <v/>
      </c>
      <c r="S109">
        <f>IF(INDEX('調整・決定'!$C$6:$H$29,S3,S2)&lt;&gt;"",1,0)</f>
        <v/>
      </c>
      <c r="T109">
        <f>IF(INDEX('調整・決定'!$C$6:$H$29,T3,T2)&lt;&gt;"",1,0)</f>
        <v/>
      </c>
      <c r="U109">
        <f>IF(INDEX('調整・決定'!$C$6:$H$29,U3,U2)&lt;&gt;"",1,0)</f>
        <v/>
      </c>
      <c r="V109">
        <f>IF(INDEX('調整・決定'!$C$6:$H$29,V3,V2)&lt;&gt;"",1,0)</f>
        <v/>
      </c>
      <c r="W109">
        <f>IF(INDEX('調整・決定'!$C$6:$H$29,W3,W2)&lt;&gt;"",1,0)</f>
        <v/>
      </c>
      <c r="X109">
        <f>IF(INDEX('調整・決定'!$C$6:$H$29,X3,X2)&lt;&gt;"",1,0)</f>
        <v/>
      </c>
      <c r="Y109">
        <f>IF(INDEX('調整・決定'!$C$6:$H$29,Y3,Y2)&lt;&gt;"",1,0)</f>
        <v/>
      </c>
      <c r="Z109">
        <f>IF(INDEX('調整・決定'!$C$6:$H$29,Z3,Z2)&lt;&gt;"",1,0)</f>
        <v/>
      </c>
      <c r="AA109">
        <f>IF(INDEX('調整・決定'!$C$6:$H$29,AA3,AA2)&lt;&gt;"",1,0)</f>
        <v/>
      </c>
      <c r="AB109">
        <f>IF(INDEX('調整・決定'!$C$6:$H$29,AB3,AB2)&lt;&gt;"",1,0)</f>
        <v/>
      </c>
      <c r="AC109">
        <f>IF(INDEX('調整・決定'!$C$6:$H$29,AC3,AC2)&lt;&gt;"",1,0)</f>
        <v/>
      </c>
      <c r="AD109">
        <f>IF(INDEX('調整・決定'!$C$6:$H$29,AD3,AD2)&lt;&gt;"",1,0)</f>
        <v/>
      </c>
      <c r="AE109">
        <f>IF(INDEX('調整・決定'!$C$6:$H$29,AE3,AE2)&lt;&gt;"",1,0)</f>
        <v/>
      </c>
      <c r="AF109">
        <f>IF(INDEX('調整・決定'!$C$6:$H$29,AF3,AF2)&lt;&gt;"",1,0)</f>
        <v/>
      </c>
      <c r="AG109">
        <f>IF(INDEX('調整・決定'!$C$6:$H$29,AG3,AG2)&lt;&gt;"",1,0)</f>
        <v/>
      </c>
      <c r="AH109">
        <f>IF(INDEX('調整・決定'!$C$6:$H$29,AH3,AH2)&lt;&gt;"",1,0)</f>
        <v/>
      </c>
      <c r="AI109">
        <f>IF(INDEX('調整・決定'!$C$6:$H$29,AI3,AI2)&lt;&gt;"",1,0)</f>
        <v/>
      </c>
      <c r="AJ109">
        <f>IF(INDEX('調整・決定'!$C$6:$H$29,AJ3,AJ2)&lt;&gt;"",1,0)</f>
        <v/>
      </c>
      <c r="AK109">
        <f>IF(INDEX('調整・決定'!$C$6:$H$29,AK3,AK2)&lt;&gt;"",1,0)</f>
        <v/>
      </c>
      <c r="AL109">
        <f>IF(INDEX('調整・決定'!$C$6:$H$29,AL3,AL2)&lt;&gt;"",1,0)</f>
        <v/>
      </c>
      <c r="AM109">
        <f>IF(INDEX('調整・決定'!$C$6:$H$29,AM3,AM2)&lt;&gt;"",1,0)</f>
        <v/>
      </c>
      <c r="AN109">
        <f>IF(INDEX('調整・決定'!$C$6:$H$29,AN3,AN2)&lt;&gt;"",1,0)</f>
        <v/>
      </c>
      <c r="AO109">
        <f>IF(INDEX('調整・決定'!$C$6:$H$29,AO3,AO2)&lt;&gt;"",1,0)</f>
        <v/>
      </c>
      <c r="AP109">
        <f>IF(INDEX('調整・決定'!$C$6:$H$29,AP3,AP2)&lt;&gt;"",1,0)</f>
        <v/>
      </c>
      <c r="AQ109">
        <f>IF(INDEX('調整・決定'!$C$6:$H$29,AQ3,AQ2)&lt;&gt;"",1,0)</f>
        <v/>
      </c>
      <c r="AR109">
        <f>IF(INDEX('調整・決定'!$C$6:$H$29,AR3,AR2)&lt;&gt;"",1,0)</f>
        <v/>
      </c>
      <c r="AS109">
        <f>IF(INDEX('調整・決定'!$C$6:$H$29,AS3,AS2)&lt;&gt;"",1,0)</f>
        <v/>
      </c>
      <c r="AT109">
        <f>IF(INDEX('調整・決定'!$C$6:$H$29,AT3,AT2)&lt;&gt;"",1,0)</f>
        <v/>
      </c>
      <c r="AU109">
        <f>IF(INDEX('調整・決定'!$C$6:$H$29,AU3,AU2)&lt;&gt;"",1,0)</f>
        <v/>
      </c>
      <c r="AV109">
        <f>IF(INDEX('調整・決定'!$C$6:$H$29,AV3,AV2)&lt;&gt;"",1,0)</f>
        <v/>
      </c>
      <c r="AW109">
        <f>IF(INDEX('調整・決定'!$C$6:$H$29,AW3,AW2)&lt;&gt;"",1,0)</f>
        <v/>
      </c>
      <c r="AX109">
        <f>IF(INDEX('調整・決定'!$C$6:$H$29,AX3,AX2)&lt;&gt;"",1,0)</f>
        <v/>
      </c>
      <c r="AY109">
        <f>IF(INDEX('調整・決定'!$C$6:$H$29,AY3,AY2)&lt;&gt;"",1,0)</f>
        <v/>
      </c>
      <c r="AZ109">
        <f>IF(INDEX('調整・決定'!$C$6:$H$29,AZ3,AZ2)&lt;&gt;"",1,0)</f>
        <v/>
      </c>
      <c r="BA109">
        <f>IF(INDEX('調整・決定'!$C$6:$H$29,BA3,BA2)&lt;&gt;"",1,0)</f>
        <v/>
      </c>
      <c r="BB109">
        <f>IF(INDEX('調整・決定'!$C$6:$H$29,BB3,BB2)&lt;&gt;"",1,0)</f>
        <v/>
      </c>
      <c r="BC109">
        <f>IF(INDEX('調整・決定'!$C$6:$H$29,BC3,BC2)&lt;&gt;"",1,0)</f>
        <v/>
      </c>
      <c r="BD109">
        <f>IF(INDEX('調整・決定'!$C$6:$H$29,BD3,BD2)&lt;&gt;"",1,0)</f>
        <v/>
      </c>
      <c r="BE109">
        <f>IF(INDEX('調整・決定'!$C$6:$H$29,BE3,BE2)&lt;&gt;"",1,0)</f>
        <v/>
      </c>
      <c r="BF109">
        <f>IF(INDEX('調整・決定'!$C$6:$H$29,BF3,BF2)&lt;&gt;"",1,0)</f>
        <v/>
      </c>
      <c r="BG109">
        <f>IF(INDEX('調整・決定'!$C$6:$H$29,BG3,BG2)&lt;&gt;"",1,0)</f>
        <v/>
      </c>
      <c r="BH109">
        <f>IF(INDEX('調整・決定'!$C$6:$H$29,BH3,BH2)&lt;&gt;"",1,0)</f>
        <v/>
      </c>
      <c r="BI109">
        <f>IF(INDEX('調整・決定'!$C$6:$H$29,BI3,BI2)&lt;&gt;"",1,0)</f>
        <v/>
      </c>
      <c r="BJ109">
        <f>IF(INDEX('調整・決定'!$C$6:$H$29,BJ3,BJ2)&lt;&gt;"",1,0)</f>
        <v/>
      </c>
      <c r="BK109">
        <f>IF(INDEX('調整・決定'!$C$6:$H$29,BK3,BK2)&lt;&gt;"",1,0)</f>
        <v/>
      </c>
      <c r="BL109">
        <f>IF(INDEX('調整・決定'!$C$6:$H$29,BL3,BL2)&lt;&gt;"",1,0)</f>
        <v/>
      </c>
      <c r="BM109">
        <f>IF(INDEX('調整・決定'!$C$6:$H$29,BM3,BM2)&lt;&gt;"",1,0)</f>
        <v/>
      </c>
      <c r="BN109">
        <f>IF(INDEX('調整・決定'!$C$6:$H$29,BN3,BN2)&lt;&gt;"",1,0)</f>
        <v/>
      </c>
      <c r="BO109">
        <f>IF(INDEX('調整・決定'!$C$6:$H$29,BO3,BO2)&lt;&gt;"",1,0)</f>
        <v/>
      </c>
      <c r="BP109">
        <f>IF(INDEX('調整・決定'!$C$6:$H$29,BP3,BP2)&lt;&gt;"",1,0)</f>
        <v/>
      </c>
      <c r="BQ109">
        <f>IF(INDEX('調整・決定'!$C$6:$H$29,BQ3,BQ2)&lt;&gt;"",1,0)</f>
        <v/>
      </c>
      <c r="BR109">
        <f>IF(INDEX('調整・決定'!$C$6:$H$29,BR3,BR2)&lt;&gt;"",1,0)</f>
        <v/>
      </c>
      <c r="BS109">
        <f>IF(INDEX('調整・決定'!$C$6:$H$29,BS3,BS2)&lt;&gt;"",1,0)</f>
        <v/>
      </c>
      <c r="BT109">
        <f>IF(INDEX('調整・決定'!$C$6:$H$29,BT3,BT2)&lt;&gt;"",1,0)</f>
        <v/>
      </c>
      <c r="BU109">
        <f>IF(INDEX('調整・決定'!$C$6:$H$29,BU3,BU2)&lt;&gt;"",1,0)</f>
        <v/>
      </c>
      <c r="BV109">
        <f>IF(INDEX('調整・決定'!$C$6:$H$29,BV3,BV2)&lt;&gt;"",1,0)</f>
        <v/>
      </c>
      <c r="BW109">
        <f>IF(INDEX('調整・決定'!$C$6:$H$29,BW3,BW2)&lt;&gt;"",1,0)</f>
        <v/>
      </c>
      <c r="BX109">
        <f>IF(INDEX('調整・決定'!$C$6:$H$29,BX3,BX2)&lt;&gt;"",1,0)</f>
        <v/>
      </c>
      <c r="BY109">
        <f>IF(INDEX('調整・決定'!$C$6:$H$29,BY3,BY2)&lt;&gt;"",1,0)</f>
        <v/>
      </c>
      <c r="BZ109">
        <f>IF(INDEX('調整・決定'!$C$6:$H$29,BZ3,BZ2)&lt;&gt;"",1,0)</f>
        <v/>
      </c>
      <c r="CA109">
        <f>IF(INDEX('調整・決定'!$C$6:$H$29,CA3,CA2)&lt;&gt;"",1,0)</f>
        <v/>
      </c>
      <c r="CB109">
        <f>IF(INDEX('調整・決定'!$C$6:$H$29,CB3,CB2)&lt;&gt;"",1,0)</f>
        <v/>
      </c>
      <c r="CC109">
        <f>IF(INDEX('調整・決定'!$C$6:$H$29,CC3,CC2)&lt;&gt;"",1,0)</f>
        <v/>
      </c>
      <c r="CD109">
        <f>IF(INDEX('調整・決定'!$C$6:$H$29,CD3,CD2)&lt;&gt;"",1,0)</f>
        <v/>
      </c>
      <c r="CE109">
        <f>IF(INDEX('調整・決定'!$C$6:$H$29,CE3,CE2)&lt;&gt;"",1,0)</f>
        <v/>
      </c>
      <c r="CF109">
        <f>IF(INDEX('調整・決定'!$C$6:$H$29,CF3,CF2)&lt;&gt;"",1,0)</f>
        <v/>
      </c>
      <c r="CG109">
        <f>IF(INDEX('調整・決定'!$C$6:$H$29,CG3,CG2)&lt;&gt;"",1,0)</f>
        <v/>
      </c>
      <c r="CH109">
        <f>IF(INDEX('調整・決定'!$C$6:$H$29,CH3,CH2)&lt;&gt;"",1,0)</f>
        <v/>
      </c>
      <c r="CI109">
        <f>IF(INDEX('調整・決定'!$C$6:$H$29,CI3,CI2)&lt;&gt;"",1,0)</f>
        <v/>
      </c>
      <c r="CJ109">
        <f>IF(INDEX('調整・決定'!$C$6:$H$29,CJ3,CJ2)&lt;&gt;"",1,0)</f>
        <v/>
      </c>
      <c r="CK109">
        <f>IF(INDEX('調整・決定'!$C$6:$H$29,CK3,CK2)&lt;&gt;"",1,0)</f>
        <v/>
      </c>
      <c r="CL109">
        <f>IF(INDEX('調整・決定'!$C$6:$H$29,CL3,CL2)&lt;&gt;"",1,0)</f>
        <v/>
      </c>
      <c r="CM109">
        <f>IF(INDEX('調整・決定'!$C$6:$H$29,CM3,CM2)&lt;&gt;"",1,0)</f>
        <v/>
      </c>
      <c r="CN109">
        <f>IF(INDEX('調整・決定'!$C$6:$H$29,CN3,CN2)&lt;&gt;"",1,0)</f>
        <v/>
      </c>
      <c r="CO109">
        <f>IF(INDEX('調整・決定'!$C$6:$H$29,CO3,CO2)&lt;&gt;"",1,0)</f>
        <v/>
      </c>
      <c r="CP109">
        <f>IF(INDEX('調整・決定'!$C$6:$H$29,CP3,CP2)&lt;&gt;"",1,0)</f>
        <v/>
      </c>
      <c r="CQ109">
        <f>IF(INDEX('調整・決定'!$C$6:$H$29,CQ3,CQ2)&lt;&gt;"",1,0)</f>
        <v/>
      </c>
      <c r="CR109">
        <f>IF(INDEX('調整・決定'!$C$6:$H$29,CR3,CR2)&lt;&gt;"",1,0)</f>
        <v/>
      </c>
      <c r="CS109">
        <f>IF(INDEX('調整・決定'!$C$6:$H$29,CS3,CS2)&lt;&gt;"",1,0)</f>
        <v/>
      </c>
      <c r="CT109">
        <f>IF(INDEX('調整・決定'!$C$6:$H$29,CT3,CT2)&lt;&gt;"",1,0)</f>
        <v/>
      </c>
      <c r="CU109">
        <f>IF(INDEX('調整・決定'!$C$6:$H$29,CU3,CU2)&lt;&gt;"",1,0)</f>
        <v/>
      </c>
      <c r="CV109">
        <f>IF(INDEX('調整・決定'!$C$6:$H$29,CV3,CV2)&lt;&gt;"",1,0)</f>
        <v/>
      </c>
      <c r="CW109">
        <f>IF(INDEX('調整・決定'!$C$6:$H$29,CW3,CW2)&lt;&gt;"",1,0)</f>
        <v/>
      </c>
      <c r="CX109">
        <f>IF(INDEX('調整・決定'!$C$6:$H$29,CX3,CX2)&lt;&gt;"",1,0)</f>
        <v/>
      </c>
      <c r="CY109">
        <f>IF(INDEX('調整・決定'!$C$6:$H$29,CY3,CY2)&lt;&gt;"",1,0)</f>
        <v/>
      </c>
      <c r="CZ109">
        <f>IF(INDEX('調整・決定'!$C$6:$H$29,CZ3,CZ2)&lt;&gt;"",1,0)</f>
        <v/>
      </c>
      <c r="DA109">
        <f>IF(INDEX('調整・決定'!$C$6:$H$29,DA3,DA2)&lt;&gt;"",1,0)</f>
        <v/>
      </c>
      <c r="DB109">
        <f>IF(INDEX('調整・決定'!$C$6:$H$29,DB3,DB2)&lt;&gt;"",1,0)</f>
        <v/>
      </c>
      <c r="DC109">
        <f>IF(INDEX('調整・決定'!$C$6:$H$29,DC3,DC2)&lt;&gt;"",1,0)</f>
        <v/>
      </c>
      <c r="DD109">
        <f>IF(INDEX('調整・決定'!$C$6:$H$29,DD3,DD2)&lt;&gt;"",1,0)</f>
        <v/>
      </c>
      <c r="DE109">
        <f>IF(INDEX('調整・決定'!$C$6:$H$29,DE3,DE2)&lt;&gt;"",1,0)</f>
        <v/>
      </c>
      <c r="DF109">
        <f>IF(INDEX('調整・決定'!$C$6:$H$29,DF3,DF2)&lt;&gt;"",1,0)</f>
        <v/>
      </c>
      <c r="DG109">
        <f>IF(INDEX('調整・決定'!$C$6:$H$29,DG3,DG2)&lt;&gt;"",1,0)</f>
        <v/>
      </c>
      <c r="DH109">
        <f>IF(INDEX('調整・決定'!$C$6:$H$29,DH3,DH2)&lt;&gt;"",1,0)</f>
        <v/>
      </c>
      <c r="DI109">
        <f>IF(INDEX('調整・決定'!$C$6:$H$29,DI3,DI2)&lt;&gt;"",1,0)</f>
        <v/>
      </c>
      <c r="DJ109">
        <f>IF(INDEX('調整・決定'!$C$6:$H$29,DJ3,DJ2)&lt;&gt;"",1,0)</f>
        <v/>
      </c>
      <c r="DK109">
        <f>IF(INDEX('調整・決定'!$C$6:$H$29,DK3,DK2)&lt;&gt;"",1,0)</f>
        <v/>
      </c>
      <c r="DL109">
        <f>IF(INDEX('調整・決定'!$C$6:$H$29,DL3,DL2)&lt;&gt;"",1,0)</f>
        <v/>
      </c>
      <c r="DM109">
        <f>IF(INDEX('調整・決定'!$C$6:$H$29,DM3,DM2)&lt;&gt;"",1,0)</f>
        <v/>
      </c>
      <c r="DN109">
        <f>IF(INDEX('調整・決定'!$C$6:$H$29,DN3,DN2)&lt;&gt;"",1,0)</f>
        <v/>
      </c>
      <c r="DO109">
        <f>IF(INDEX('調整・決定'!$C$6:$H$29,DO3,DO2)&lt;&gt;"",1,0)</f>
        <v/>
      </c>
      <c r="DP109">
        <f>IF(INDEX('調整・決定'!$C$6:$H$29,DP3,DP2)&lt;&gt;"",1,0)</f>
        <v/>
      </c>
      <c r="DQ109">
        <f>IF(INDEX('調整・決定'!$C$6:$H$29,DQ3,DQ2)&lt;&gt;"",1,0)</f>
        <v/>
      </c>
      <c r="DR109">
        <f>IF(INDEX('調整・決定'!$C$6:$H$29,DR3,DR2)&lt;&gt;"",1,0)</f>
        <v/>
      </c>
      <c r="DS109">
        <f>IF(INDEX('調整・決定'!$C$6:$H$29,DS3,DS2)&lt;&gt;"",1,0)</f>
        <v/>
      </c>
      <c r="DT109">
        <f>IF(INDEX('調整・決定'!$C$6:$H$29,DT3,DT2)&lt;&gt;"",1,0)</f>
        <v/>
      </c>
      <c r="DU109">
        <f>IF(INDEX('調整・決定'!$C$6:$H$29,DU3,DU2)&lt;&gt;"",1,0)</f>
        <v/>
      </c>
      <c r="DV109">
        <f>IF(INDEX('調整・決定'!$C$6:$H$29,DV3,DV2)&lt;&gt;"",1,0)</f>
        <v/>
      </c>
      <c r="DW109">
        <f>IF(INDEX('調整・決定'!$C$6:$H$29,DW3,DW2)&lt;&gt;"",1,0)</f>
        <v/>
      </c>
      <c r="DX109">
        <f>IF(INDEX('調整・決定'!$C$6:$H$29,DX3,DX2)&lt;&gt;"",1,0)</f>
        <v/>
      </c>
      <c r="DY109">
        <f>IF(INDEX('調整・決定'!$C$6:$H$29,DY3,DY2)&lt;&gt;"",1,0)</f>
        <v/>
      </c>
      <c r="DZ109">
        <f>IF(INDEX('調整・決定'!$C$6:$H$29,DZ3,DZ2)&lt;&gt;"",1,0)</f>
        <v/>
      </c>
      <c r="EA109">
        <f>IF(INDEX('調整・決定'!$C$6:$H$29,EA3,EA2)&lt;&gt;"",1,0)</f>
        <v/>
      </c>
      <c r="EB109">
        <f>IF(INDEX('調整・決定'!$C$6:$H$29,EB3,EB2)&lt;&gt;"",1,0)</f>
        <v/>
      </c>
      <c r="EC109">
        <f>IF(INDEX('調整・決定'!$C$6:$H$29,EC3,EC2)&lt;&gt;"",1,0)</f>
        <v/>
      </c>
      <c r="ED109">
        <f>IF(INDEX('調整・決定'!$C$6:$H$29,ED3,ED2)&lt;&gt;"",1,0)</f>
        <v/>
      </c>
      <c r="EE109">
        <f>IF(INDEX('調整・決定'!$C$6:$H$29,EE3,EE2)&lt;&gt;"",1,0)</f>
        <v/>
      </c>
      <c r="EF109">
        <f>IF(INDEX('調整・決定'!$C$6:$H$29,EF3,EF2)&lt;&gt;"",1,0)</f>
        <v/>
      </c>
      <c r="EG109">
        <f>IF(INDEX('調整・決定'!$C$6:$H$29,EG3,EG2)&lt;&gt;"",1,0)</f>
        <v/>
      </c>
      <c r="EH109">
        <f>IF(INDEX('調整・決定'!$C$6:$H$29,EH3,EH2)&lt;&gt;"",1,0)</f>
        <v/>
      </c>
      <c r="EI109">
        <f>IF(INDEX('調整・決定'!$C$6:$H$29,EI3,EI2)&lt;&gt;"",1,0)</f>
        <v/>
      </c>
      <c r="EJ109">
        <f>IF(INDEX('調整・決定'!$C$6:$H$29,EJ3,EJ2)&lt;&gt;"",1,0)</f>
        <v/>
      </c>
      <c r="EK109">
        <f>IF(INDEX('調整・決定'!$C$6:$H$29,EK3,EK2)&lt;&gt;"",1,0)</f>
        <v/>
      </c>
      <c r="EL109">
        <f>IF(INDEX('調整・決定'!$C$6:$H$29,EL3,EL2)&lt;&gt;"",1,0)</f>
        <v/>
      </c>
      <c r="EM109">
        <f>IF(INDEX('調整・決定'!$C$6:$H$29,EM3,EM2)&lt;&gt;"",1,0)</f>
        <v/>
      </c>
      <c r="EN109">
        <f>IF(INDEX('調整・決定'!$C$6:$H$29,EN3,EN2)&lt;&gt;"",1,0)</f>
        <v/>
      </c>
      <c r="EO109">
        <f>IF(INDEX('調整・決定'!$C$6:$H$29,EO3,EO2)&lt;&gt;"",1,0)</f>
        <v/>
      </c>
      <c r="EP109">
        <f>IF(INDEX('調整・決定'!$C$6:$H$29,EP3,EP2)&lt;&gt;"",1,0)</f>
        <v/>
      </c>
      <c r="EQ109">
        <f>IF(INDEX('調整・決定'!$C$6:$H$29,EQ3,EQ2)&lt;&gt;"",1,0)</f>
        <v/>
      </c>
    </row>
    <row r="110">
      <c r="C110" t="inlineStr">
        <is>
          <t>優先：全体</t>
        </is>
      </c>
      <c r="D110">
        <f>D6</f>
        <v/>
      </c>
      <c r="E110">
        <f>E6</f>
        <v/>
      </c>
      <c r="F110">
        <f>F6</f>
        <v/>
      </c>
      <c r="G110">
        <f>G6</f>
        <v/>
      </c>
      <c r="H110">
        <f>H6</f>
        <v/>
      </c>
      <c r="I110">
        <f>I6</f>
        <v/>
      </c>
      <c r="J110">
        <f>J6</f>
        <v/>
      </c>
      <c r="K110">
        <f>K6</f>
        <v/>
      </c>
      <c r="L110">
        <f>L6</f>
        <v/>
      </c>
      <c r="M110">
        <f>M6</f>
        <v/>
      </c>
      <c r="N110">
        <f>N6</f>
        <v/>
      </c>
      <c r="O110">
        <f>O6</f>
        <v/>
      </c>
      <c r="P110">
        <f>P6</f>
        <v/>
      </c>
      <c r="Q110">
        <f>Q6</f>
        <v/>
      </c>
      <c r="R110">
        <f>R6</f>
        <v/>
      </c>
      <c r="S110">
        <f>S6</f>
        <v/>
      </c>
      <c r="T110">
        <f>T6</f>
        <v/>
      </c>
      <c r="U110">
        <f>U6</f>
        <v/>
      </c>
      <c r="V110">
        <f>V6</f>
        <v/>
      </c>
      <c r="W110">
        <f>W6</f>
        <v/>
      </c>
      <c r="X110">
        <f>X6</f>
        <v/>
      </c>
      <c r="Y110">
        <f>Y6</f>
        <v/>
      </c>
      <c r="Z110">
        <f>Z6</f>
        <v/>
      </c>
      <c r="AA110">
        <f>AA6</f>
        <v/>
      </c>
      <c r="AB110">
        <f>AB6</f>
        <v/>
      </c>
      <c r="AC110">
        <f>AC6</f>
        <v/>
      </c>
      <c r="AD110">
        <f>AD6</f>
        <v/>
      </c>
      <c r="AE110">
        <f>AE6</f>
        <v/>
      </c>
      <c r="AF110">
        <f>AF6</f>
        <v/>
      </c>
      <c r="AG110">
        <f>AG6</f>
        <v/>
      </c>
      <c r="AH110">
        <f>AH6</f>
        <v/>
      </c>
      <c r="AI110">
        <f>AI6</f>
        <v/>
      </c>
      <c r="AJ110">
        <f>AJ6</f>
        <v/>
      </c>
      <c r="AK110">
        <f>AK6</f>
        <v/>
      </c>
      <c r="AL110">
        <f>AL6</f>
        <v/>
      </c>
      <c r="AM110">
        <f>AM6</f>
        <v/>
      </c>
      <c r="AN110">
        <f>AN6</f>
        <v/>
      </c>
      <c r="AO110">
        <f>AO6</f>
        <v/>
      </c>
      <c r="AP110">
        <f>AP6</f>
        <v/>
      </c>
      <c r="AQ110">
        <f>AQ6</f>
        <v/>
      </c>
      <c r="AR110">
        <f>AR6</f>
        <v/>
      </c>
      <c r="AS110">
        <f>AS6</f>
        <v/>
      </c>
      <c r="AT110">
        <f>AT6</f>
        <v/>
      </c>
      <c r="AU110">
        <f>AU6</f>
        <v/>
      </c>
      <c r="AV110">
        <f>AV6</f>
        <v/>
      </c>
      <c r="AW110">
        <f>AW6</f>
        <v/>
      </c>
      <c r="AX110">
        <f>AX6</f>
        <v/>
      </c>
      <c r="AY110">
        <f>AY6</f>
        <v/>
      </c>
      <c r="AZ110">
        <f>AZ6</f>
        <v/>
      </c>
      <c r="BA110">
        <f>BA6</f>
        <v/>
      </c>
      <c r="BB110">
        <f>BB6</f>
        <v/>
      </c>
      <c r="BC110">
        <f>BC6</f>
        <v/>
      </c>
      <c r="BD110">
        <f>BD6</f>
        <v/>
      </c>
      <c r="BE110">
        <f>BE6</f>
        <v/>
      </c>
      <c r="BF110">
        <f>BF6</f>
        <v/>
      </c>
      <c r="BG110">
        <f>BG6</f>
        <v/>
      </c>
      <c r="BH110">
        <f>BH6</f>
        <v/>
      </c>
      <c r="BI110">
        <f>BI6</f>
        <v/>
      </c>
      <c r="BJ110">
        <f>BJ6</f>
        <v/>
      </c>
      <c r="BK110">
        <f>BK6</f>
        <v/>
      </c>
      <c r="BL110">
        <f>BL6</f>
        <v/>
      </c>
      <c r="BM110">
        <f>BM6</f>
        <v/>
      </c>
      <c r="BN110">
        <f>BN6</f>
        <v/>
      </c>
      <c r="BO110">
        <f>BO6</f>
        <v/>
      </c>
      <c r="BP110">
        <f>BP6</f>
        <v/>
      </c>
      <c r="BQ110">
        <f>BQ6</f>
        <v/>
      </c>
      <c r="BR110">
        <f>BR6</f>
        <v/>
      </c>
      <c r="BS110">
        <f>BS6</f>
        <v/>
      </c>
      <c r="BT110">
        <f>BT6</f>
        <v/>
      </c>
      <c r="BU110">
        <f>BU6</f>
        <v/>
      </c>
      <c r="BV110">
        <f>BV6</f>
        <v/>
      </c>
      <c r="BW110">
        <f>BW6</f>
        <v/>
      </c>
      <c r="BX110">
        <f>BX6</f>
        <v/>
      </c>
      <c r="BY110">
        <f>BY6</f>
        <v/>
      </c>
      <c r="BZ110">
        <f>BZ6</f>
        <v/>
      </c>
      <c r="CA110">
        <f>CA6</f>
        <v/>
      </c>
      <c r="CB110">
        <f>CB6</f>
        <v/>
      </c>
      <c r="CC110">
        <f>CC6</f>
        <v/>
      </c>
      <c r="CD110">
        <f>CD6</f>
        <v/>
      </c>
      <c r="CE110">
        <f>CE6</f>
        <v/>
      </c>
      <c r="CF110">
        <f>CF6</f>
        <v/>
      </c>
      <c r="CG110">
        <f>CG6</f>
        <v/>
      </c>
      <c r="CH110">
        <f>CH6</f>
        <v/>
      </c>
      <c r="CI110">
        <f>CI6</f>
        <v/>
      </c>
      <c r="CJ110">
        <f>CJ6</f>
        <v/>
      </c>
      <c r="CK110">
        <f>CK6</f>
        <v/>
      </c>
      <c r="CL110">
        <f>CL6</f>
        <v/>
      </c>
      <c r="CM110">
        <f>CM6</f>
        <v/>
      </c>
      <c r="CN110">
        <f>CN6</f>
        <v/>
      </c>
      <c r="CO110">
        <f>CO6</f>
        <v/>
      </c>
      <c r="CP110">
        <f>CP6</f>
        <v/>
      </c>
      <c r="CQ110">
        <f>CQ6</f>
        <v/>
      </c>
      <c r="CR110">
        <f>CR6</f>
        <v/>
      </c>
      <c r="CS110">
        <f>CS6</f>
        <v/>
      </c>
      <c r="CT110">
        <f>CT6</f>
        <v/>
      </c>
      <c r="CU110">
        <f>CU6</f>
        <v/>
      </c>
      <c r="CV110">
        <f>CV6</f>
        <v/>
      </c>
      <c r="CW110">
        <f>CW6</f>
        <v/>
      </c>
      <c r="CX110">
        <f>CX6</f>
        <v/>
      </c>
      <c r="CY110">
        <f>CY6</f>
        <v/>
      </c>
      <c r="CZ110">
        <f>CZ6</f>
        <v/>
      </c>
      <c r="DA110">
        <f>DA6</f>
        <v/>
      </c>
      <c r="DB110">
        <f>DB6</f>
        <v/>
      </c>
      <c r="DC110">
        <f>DC6</f>
        <v/>
      </c>
      <c r="DD110">
        <f>DD6</f>
        <v/>
      </c>
      <c r="DE110">
        <f>DE6</f>
        <v/>
      </c>
      <c r="DF110">
        <f>DF6</f>
        <v/>
      </c>
      <c r="DG110">
        <f>DG6</f>
        <v/>
      </c>
      <c r="DH110">
        <f>DH6</f>
        <v/>
      </c>
      <c r="DI110">
        <f>DI6</f>
        <v/>
      </c>
      <c r="DJ110">
        <f>DJ6</f>
        <v/>
      </c>
      <c r="DK110">
        <f>DK6</f>
        <v/>
      </c>
      <c r="DL110">
        <f>DL6</f>
        <v/>
      </c>
      <c r="DM110">
        <f>DM6</f>
        <v/>
      </c>
      <c r="DN110">
        <f>DN6</f>
        <v/>
      </c>
      <c r="DO110">
        <f>DO6</f>
        <v/>
      </c>
      <c r="DP110">
        <f>DP6</f>
        <v/>
      </c>
      <c r="DQ110">
        <f>DQ6</f>
        <v/>
      </c>
      <c r="DR110">
        <f>DR6</f>
        <v/>
      </c>
      <c r="DS110">
        <f>DS6</f>
        <v/>
      </c>
      <c r="DT110">
        <f>DT6</f>
        <v/>
      </c>
      <c r="DU110">
        <f>DU6</f>
        <v/>
      </c>
      <c r="DV110">
        <f>DV6</f>
        <v/>
      </c>
      <c r="DW110">
        <f>DW6</f>
        <v/>
      </c>
      <c r="DX110">
        <f>DX6</f>
        <v/>
      </c>
      <c r="DY110">
        <f>DY6</f>
        <v/>
      </c>
      <c r="DZ110">
        <f>DZ6</f>
        <v/>
      </c>
      <c r="EA110">
        <f>EA6</f>
        <v/>
      </c>
      <c r="EB110">
        <f>EB6</f>
        <v/>
      </c>
      <c r="EC110">
        <f>EC6</f>
        <v/>
      </c>
      <c r="ED110">
        <f>ED6</f>
        <v/>
      </c>
      <c r="EE110">
        <f>EE6</f>
        <v/>
      </c>
      <c r="EF110">
        <f>EF6</f>
        <v/>
      </c>
      <c r="EG110">
        <f>EG6</f>
        <v/>
      </c>
      <c r="EH110">
        <f>EH6</f>
        <v/>
      </c>
      <c r="EI110">
        <f>EI6</f>
        <v/>
      </c>
      <c r="EJ110">
        <f>EJ6</f>
        <v/>
      </c>
      <c r="EK110">
        <f>EK6</f>
        <v/>
      </c>
      <c r="EL110">
        <f>EL6</f>
        <v/>
      </c>
      <c r="EM110">
        <f>EM6</f>
        <v/>
      </c>
      <c r="EN110">
        <f>EN6</f>
        <v/>
      </c>
      <c r="EO110">
        <f>EO6</f>
        <v/>
      </c>
      <c r="EP110">
        <f>EP6</f>
        <v/>
      </c>
      <c r="EQ110">
        <f>EQ6</f>
        <v/>
      </c>
    </row>
    <row r="111">
      <c r="C111" t="inlineStr">
        <is>
          <t>早い時刻</t>
        </is>
      </c>
      <c r="D111">
        <f>(D3-1)*6+D2+D5*10000</f>
        <v/>
      </c>
      <c r="E111">
        <f>(E3-1)*6+E2+E5*10000</f>
        <v/>
      </c>
      <c r="F111">
        <f>(F3-1)*6+F2+F5*10000</f>
        <v/>
      </c>
      <c r="G111">
        <f>(G3-1)*6+G2+G5*10000</f>
        <v/>
      </c>
      <c r="H111">
        <f>(H3-1)*6+H2+H5*10000</f>
        <v/>
      </c>
      <c r="I111">
        <f>(I3-1)*6+I2+I5*10000</f>
        <v/>
      </c>
      <c r="J111">
        <f>(J3-1)*6+J2+J5*10000</f>
        <v/>
      </c>
      <c r="K111">
        <f>(K3-1)*6+K2+K5*10000</f>
        <v/>
      </c>
      <c r="L111">
        <f>(L3-1)*6+L2+L5*10000</f>
        <v/>
      </c>
      <c r="M111">
        <f>(M3-1)*6+M2+M5*10000</f>
        <v/>
      </c>
      <c r="N111">
        <f>(N3-1)*6+N2+N5*10000</f>
        <v/>
      </c>
      <c r="O111">
        <f>(O3-1)*6+O2+O5*10000</f>
        <v/>
      </c>
      <c r="P111">
        <f>(P3-1)*6+P2+P5*10000</f>
        <v/>
      </c>
      <c r="Q111">
        <f>(Q3-1)*6+Q2+Q5*10000</f>
        <v/>
      </c>
      <c r="R111">
        <f>(R3-1)*6+R2+R5*10000</f>
        <v/>
      </c>
      <c r="S111">
        <f>(S3-1)*6+S2+S5*10000</f>
        <v/>
      </c>
      <c r="T111">
        <f>(T3-1)*6+T2+T5*10000</f>
        <v/>
      </c>
      <c r="U111">
        <f>(U3-1)*6+U2+U5*10000</f>
        <v/>
      </c>
      <c r="V111">
        <f>(V3-1)*6+V2+V5*10000</f>
        <v/>
      </c>
      <c r="W111">
        <f>(W3-1)*6+W2+W5*10000</f>
        <v/>
      </c>
      <c r="X111">
        <f>(X3-1)*6+X2+X5*10000</f>
        <v/>
      </c>
      <c r="Y111">
        <f>(Y3-1)*6+Y2+Y5*10000</f>
        <v/>
      </c>
      <c r="Z111">
        <f>(Z3-1)*6+Z2+Z5*10000</f>
        <v/>
      </c>
      <c r="AA111">
        <f>(AA3-1)*6+AA2+AA5*10000</f>
        <v/>
      </c>
      <c r="AB111">
        <f>(AB3-1)*6+AB2+AB5*10000</f>
        <v/>
      </c>
      <c r="AC111">
        <f>(AC3-1)*6+AC2+AC5*10000</f>
        <v/>
      </c>
      <c r="AD111">
        <f>(AD3-1)*6+AD2+AD5*10000</f>
        <v/>
      </c>
      <c r="AE111">
        <f>(AE3-1)*6+AE2+AE5*10000</f>
        <v/>
      </c>
      <c r="AF111">
        <f>(AF3-1)*6+AF2+AF5*10000</f>
        <v/>
      </c>
      <c r="AG111">
        <f>(AG3-1)*6+AG2+AG5*10000</f>
        <v/>
      </c>
      <c r="AH111">
        <f>(AH3-1)*6+AH2+AH5*10000</f>
        <v/>
      </c>
      <c r="AI111">
        <f>(AI3-1)*6+AI2+AI5*10000</f>
        <v/>
      </c>
      <c r="AJ111">
        <f>(AJ3-1)*6+AJ2+AJ5*10000</f>
        <v/>
      </c>
      <c r="AK111">
        <f>(AK3-1)*6+AK2+AK5*10000</f>
        <v/>
      </c>
      <c r="AL111">
        <f>(AL3-1)*6+AL2+AL5*10000</f>
        <v/>
      </c>
      <c r="AM111">
        <f>(AM3-1)*6+AM2+AM5*10000</f>
        <v/>
      </c>
      <c r="AN111">
        <f>(AN3-1)*6+AN2+AN5*10000</f>
        <v/>
      </c>
      <c r="AO111">
        <f>(AO3-1)*6+AO2+AO5*10000</f>
        <v/>
      </c>
      <c r="AP111">
        <f>(AP3-1)*6+AP2+AP5*10000</f>
        <v/>
      </c>
      <c r="AQ111">
        <f>(AQ3-1)*6+AQ2+AQ5*10000</f>
        <v/>
      </c>
      <c r="AR111">
        <f>(AR3-1)*6+AR2+AR5*10000</f>
        <v/>
      </c>
      <c r="AS111">
        <f>(AS3-1)*6+AS2+AS5*10000</f>
        <v/>
      </c>
      <c r="AT111">
        <f>(AT3-1)*6+AT2+AT5*10000</f>
        <v/>
      </c>
      <c r="AU111">
        <f>(AU3-1)*6+AU2+AU5*10000</f>
        <v/>
      </c>
      <c r="AV111">
        <f>(AV3-1)*6+AV2+AV5*10000</f>
        <v/>
      </c>
      <c r="AW111">
        <f>(AW3-1)*6+AW2+AW5*10000</f>
        <v/>
      </c>
      <c r="AX111">
        <f>(AX3-1)*6+AX2+AX5*10000</f>
        <v/>
      </c>
      <c r="AY111">
        <f>(AY3-1)*6+AY2+AY5*10000</f>
        <v/>
      </c>
      <c r="AZ111">
        <f>(AZ3-1)*6+AZ2+AZ5*10000</f>
        <v/>
      </c>
      <c r="BA111">
        <f>(BA3-1)*6+BA2+BA5*10000</f>
        <v/>
      </c>
      <c r="BB111">
        <f>(BB3-1)*6+BB2+BB5*10000</f>
        <v/>
      </c>
      <c r="BC111">
        <f>(BC3-1)*6+BC2+BC5*10000</f>
        <v/>
      </c>
      <c r="BD111">
        <f>(BD3-1)*6+BD2+BD5*10000</f>
        <v/>
      </c>
      <c r="BE111">
        <f>(BE3-1)*6+BE2+BE5*10000</f>
        <v/>
      </c>
      <c r="BF111">
        <f>(BF3-1)*6+BF2+BF5*10000</f>
        <v/>
      </c>
      <c r="BG111">
        <f>(BG3-1)*6+BG2+BG5*10000</f>
        <v/>
      </c>
      <c r="BH111">
        <f>(BH3-1)*6+BH2+BH5*10000</f>
        <v/>
      </c>
      <c r="BI111">
        <f>(BI3-1)*6+BI2+BI5*10000</f>
        <v/>
      </c>
      <c r="BJ111">
        <f>(BJ3-1)*6+BJ2+BJ5*10000</f>
        <v/>
      </c>
      <c r="BK111">
        <f>(BK3-1)*6+BK2+BK5*10000</f>
        <v/>
      </c>
      <c r="BL111">
        <f>(BL3-1)*6+BL2+BL5*10000</f>
        <v/>
      </c>
      <c r="BM111">
        <f>(BM3-1)*6+BM2+BM5*10000</f>
        <v/>
      </c>
      <c r="BN111">
        <f>(BN3-1)*6+BN2+BN5*10000</f>
        <v/>
      </c>
      <c r="BO111">
        <f>(BO3-1)*6+BO2+BO5*10000</f>
        <v/>
      </c>
      <c r="BP111">
        <f>(BP3-1)*6+BP2+BP5*10000</f>
        <v/>
      </c>
      <c r="BQ111">
        <f>(BQ3-1)*6+BQ2+BQ5*10000</f>
        <v/>
      </c>
      <c r="BR111">
        <f>(BR3-1)*6+BR2+BR5*10000</f>
        <v/>
      </c>
      <c r="BS111">
        <f>(BS3-1)*6+BS2+BS5*10000</f>
        <v/>
      </c>
      <c r="BT111">
        <f>(BT3-1)*6+BT2+BT5*10000</f>
        <v/>
      </c>
      <c r="BU111">
        <f>(BU3-1)*6+BU2+BU5*10000</f>
        <v/>
      </c>
      <c r="BV111">
        <f>(BV3-1)*6+BV2+BV5*10000</f>
        <v/>
      </c>
      <c r="BW111">
        <f>(BW3-1)*6+BW2+BW5*10000</f>
        <v/>
      </c>
      <c r="BX111">
        <f>(BX3-1)*6+BX2+BX5*10000</f>
        <v/>
      </c>
      <c r="BY111">
        <f>(BY3-1)*6+BY2+BY5*10000</f>
        <v/>
      </c>
      <c r="BZ111">
        <f>(BZ3-1)*6+BZ2+BZ5*10000</f>
        <v/>
      </c>
      <c r="CA111">
        <f>(CA3-1)*6+CA2+CA5*10000</f>
        <v/>
      </c>
      <c r="CB111">
        <f>(CB3-1)*6+CB2+CB5*10000</f>
        <v/>
      </c>
      <c r="CC111">
        <f>(CC3-1)*6+CC2+CC5*10000</f>
        <v/>
      </c>
      <c r="CD111">
        <f>(CD3-1)*6+CD2+CD5*10000</f>
        <v/>
      </c>
      <c r="CE111">
        <f>(CE3-1)*6+CE2+CE5*10000</f>
        <v/>
      </c>
      <c r="CF111">
        <f>(CF3-1)*6+CF2+CF5*10000</f>
        <v/>
      </c>
      <c r="CG111">
        <f>(CG3-1)*6+CG2+CG5*10000</f>
        <v/>
      </c>
      <c r="CH111">
        <f>(CH3-1)*6+CH2+CH5*10000</f>
        <v/>
      </c>
      <c r="CI111">
        <f>(CI3-1)*6+CI2+CI5*10000</f>
        <v/>
      </c>
      <c r="CJ111">
        <f>(CJ3-1)*6+CJ2+CJ5*10000</f>
        <v/>
      </c>
      <c r="CK111">
        <f>(CK3-1)*6+CK2+CK5*10000</f>
        <v/>
      </c>
      <c r="CL111">
        <f>(CL3-1)*6+CL2+CL5*10000</f>
        <v/>
      </c>
      <c r="CM111">
        <f>(CM3-1)*6+CM2+CM5*10000</f>
        <v/>
      </c>
      <c r="CN111">
        <f>(CN3-1)*6+CN2+CN5*10000</f>
        <v/>
      </c>
      <c r="CO111">
        <f>(CO3-1)*6+CO2+CO5*10000</f>
        <v/>
      </c>
      <c r="CP111">
        <f>(CP3-1)*6+CP2+CP5*10000</f>
        <v/>
      </c>
      <c r="CQ111">
        <f>(CQ3-1)*6+CQ2+CQ5*10000</f>
        <v/>
      </c>
      <c r="CR111">
        <f>(CR3-1)*6+CR2+CR5*10000</f>
        <v/>
      </c>
      <c r="CS111">
        <f>(CS3-1)*6+CS2+CS5*10000</f>
        <v/>
      </c>
      <c r="CT111">
        <f>(CT3-1)*6+CT2+CT5*10000</f>
        <v/>
      </c>
      <c r="CU111">
        <f>(CU3-1)*6+CU2+CU5*10000</f>
        <v/>
      </c>
      <c r="CV111">
        <f>(CV3-1)*6+CV2+CV5*10000</f>
        <v/>
      </c>
      <c r="CW111">
        <f>(CW3-1)*6+CW2+CW5*10000</f>
        <v/>
      </c>
      <c r="CX111">
        <f>(CX3-1)*6+CX2+CX5*10000</f>
        <v/>
      </c>
      <c r="CY111">
        <f>(CY3-1)*6+CY2+CY5*10000</f>
        <v/>
      </c>
      <c r="CZ111">
        <f>(CZ3-1)*6+CZ2+CZ5*10000</f>
        <v/>
      </c>
      <c r="DA111">
        <f>(DA3-1)*6+DA2+DA5*10000</f>
        <v/>
      </c>
      <c r="DB111">
        <f>(DB3-1)*6+DB2+DB5*10000</f>
        <v/>
      </c>
      <c r="DC111">
        <f>(DC3-1)*6+DC2+DC5*10000</f>
        <v/>
      </c>
      <c r="DD111">
        <f>(DD3-1)*6+DD2+DD5*10000</f>
        <v/>
      </c>
      <c r="DE111">
        <f>(DE3-1)*6+DE2+DE5*10000</f>
        <v/>
      </c>
      <c r="DF111">
        <f>(DF3-1)*6+DF2+DF5*10000</f>
        <v/>
      </c>
      <c r="DG111">
        <f>(DG3-1)*6+DG2+DG5*10000</f>
        <v/>
      </c>
      <c r="DH111">
        <f>(DH3-1)*6+DH2+DH5*10000</f>
        <v/>
      </c>
      <c r="DI111">
        <f>(DI3-1)*6+DI2+DI5*10000</f>
        <v/>
      </c>
      <c r="DJ111">
        <f>(DJ3-1)*6+DJ2+DJ5*10000</f>
        <v/>
      </c>
      <c r="DK111">
        <f>(DK3-1)*6+DK2+DK5*10000</f>
        <v/>
      </c>
      <c r="DL111">
        <f>(DL3-1)*6+DL2+DL5*10000</f>
        <v/>
      </c>
      <c r="DM111">
        <f>(DM3-1)*6+DM2+DM5*10000</f>
        <v/>
      </c>
      <c r="DN111">
        <f>(DN3-1)*6+DN2+DN5*10000</f>
        <v/>
      </c>
      <c r="DO111">
        <f>(DO3-1)*6+DO2+DO5*10000</f>
        <v/>
      </c>
      <c r="DP111">
        <f>(DP3-1)*6+DP2+DP5*10000</f>
        <v/>
      </c>
      <c r="DQ111">
        <f>(DQ3-1)*6+DQ2+DQ5*10000</f>
        <v/>
      </c>
      <c r="DR111">
        <f>(DR3-1)*6+DR2+DR5*10000</f>
        <v/>
      </c>
      <c r="DS111">
        <f>(DS3-1)*6+DS2+DS5*10000</f>
        <v/>
      </c>
      <c r="DT111">
        <f>(DT3-1)*6+DT2+DT5*10000</f>
        <v/>
      </c>
      <c r="DU111">
        <f>(DU3-1)*6+DU2+DU5*10000</f>
        <v/>
      </c>
      <c r="DV111">
        <f>(DV3-1)*6+DV2+DV5*10000</f>
        <v/>
      </c>
      <c r="DW111">
        <f>(DW3-1)*6+DW2+DW5*10000</f>
        <v/>
      </c>
      <c r="DX111">
        <f>(DX3-1)*6+DX2+DX5*10000</f>
        <v/>
      </c>
      <c r="DY111">
        <f>(DY3-1)*6+DY2+DY5*10000</f>
        <v/>
      </c>
      <c r="DZ111">
        <f>(DZ3-1)*6+DZ2+DZ5*10000</f>
        <v/>
      </c>
      <c r="EA111">
        <f>(EA3-1)*6+EA2+EA5*10000</f>
        <v/>
      </c>
      <c r="EB111">
        <f>(EB3-1)*6+EB2+EB5*10000</f>
        <v/>
      </c>
      <c r="EC111">
        <f>(EC3-1)*6+EC2+EC5*10000</f>
        <v/>
      </c>
      <c r="ED111">
        <f>(ED3-1)*6+ED2+ED5*10000</f>
        <v/>
      </c>
      <c r="EE111">
        <f>(EE3-1)*6+EE2+EE5*10000</f>
        <v/>
      </c>
      <c r="EF111">
        <f>(EF3-1)*6+EF2+EF5*10000</f>
        <v/>
      </c>
      <c r="EG111">
        <f>(EG3-1)*6+EG2+EG5*10000</f>
        <v/>
      </c>
      <c r="EH111">
        <f>(EH3-1)*6+EH2+EH5*10000</f>
        <v/>
      </c>
      <c r="EI111">
        <f>(EI3-1)*6+EI2+EI5*10000</f>
        <v/>
      </c>
      <c r="EJ111">
        <f>(EJ3-1)*6+EJ2+EJ5*10000</f>
        <v/>
      </c>
      <c r="EK111">
        <f>(EK3-1)*6+EK2+EK5*10000</f>
        <v/>
      </c>
      <c r="EL111">
        <f>(EL3-1)*6+EL2+EL5*10000</f>
        <v/>
      </c>
      <c r="EM111">
        <f>(EM3-1)*6+EM2+EM5*10000</f>
        <v/>
      </c>
      <c r="EN111">
        <f>(EN3-1)*6+EN2+EN5*10000</f>
        <v/>
      </c>
      <c r="EO111">
        <f>(EO3-1)*6+EO2+EO5*10000</f>
        <v/>
      </c>
      <c r="EP111">
        <f>(EP3-1)*6+EP2+EP5*10000</f>
        <v/>
      </c>
      <c r="EQ111">
        <f>(EQ3-1)*6+EQ2+EQ5*10000</f>
        <v/>
      </c>
    </row>
    <row r="112">
      <c r="C112" t="inlineStr">
        <is>
          <t>遅い時刻</t>
        </is>
      </c>
      <c r="D112">
        <f>(24-D3)*6+D2+D5*10000</f>
        <v/>
      </c>
      <c r="E112">
        <f>(24-E3)*6+E2+E5*10000</f>
        <v/>
      </c>
      <c r="F112">
        <f>(24-F3)*6+F2+F5*10000</f>
        <v/>
      </c>
      <c r="G112">
        <f>(24-G3)*6+G2+G5*10000</f>
        <v/>
      </c>
      <c r="H112">
        <f>(24-H3)*6+H2+H5*10000</f>
        <v/>
      </c>
      <c r="I112">
        <f>(24-I3)*6+I2+I5*10000</f>
        <v/>
      </c>
      <c r="J112">
        <f>(24-J3)*6+J2+J5*10000</f>
        <v/>
      </c>
      <c r="K112">
        <f>(24-K3)*6+K2+K5*10000</f>
        <v/>
      </c>
      <c r="L112">
        <f>(24-L3)*6+L2+L5*10000</f>
        <v/>
      </c>
      <c r="M112">
        <f>(24-M3)*6+M2+M5*10000</f>
        <v/>
      </c>
      <c r="N112">
        <f>(24-N3)*6+N2+N5*10000</f>
        <v/>
      </c>
      <c r="O112">
        <f>(24-O3)*6+O2+O5*10000</f>
        <v/>
      </c>
      <c r="P112">
        <f>(24-P3)*6+P2+P5*10000</f>
        <v/>
      </c>
      <c r="Q112">
        <f>(24-Q3)*6+Q2+Q5*10000</f>
        <v/>
      </c>
      <c r="R112">
        <f>(24-R3)*6+R2+R5*10000</f>
        <v/>
      </c>
      <c r="S112">
        <f>(24-S3)*6+S2+S5*10000</f>
        <v/>
      </c>
      <c r="T112">
        <f>(24-T3)*6+T2+T5*10000</f>
        <v/>
      </c>
      <c r="U112">
        <f>(24-U3)*6+U2+U5*10000</f>
        <v/>
      </c>
      <c r="V112">
        <f>(24-V3)*6+V2+V5*10000</f>
        <v/>
      </c>
      <c r="W112">
        <f>(24-W3)*6+W2+W5*10000</f>
        <v/>
      </c>
      <c r="X112">
        <f>(24-X3)*6+X2+X5*10000</f>
        <v/>
      </c>
      <c r="Y112">
        <f>(24-Y3)*6+Y2+Y5*10000</f>
        <v/>
      </c>
      <c r="Z112">
        <f>(24-Z3)*6+Z2+Z5*10000</f>
        <v/>
      </c>
      <c r="AA112">
        <f>(24-AA3)*6+AA2+AA5*10000</f>
        <v/>
      </c>
      <c r="AB112">
        <f>(24-AB3)*6+AB2+AB5*10000</f>
        <v/>
      </c>
      <c r="AC112">
        <f>(24-AC3)*6+AC2+AC5*10000</f>
        <v/>
      </c>
      <c r="AD112">
        <f>(24-AD3)*6+AD2+AD5*10000</f>
        <v/>
      </c>
      <c r="AE112">
        <f>(24-AE3)*6+AE2+AE5*10000</f>
        <v/>
      </c>
      <c r="AF112">
        <f>(24-AF3)*6+AF2+AF5*10000</f>
        <v/>
      </c>
      <c r="AG112">
        <f>(24-AG3)*6+AG2+AG5*10000</f>
        <v/>
      </c>
      <c r="AH112">
        <f>(24-AH3)*6+AH2+AH5*10000</f>
        <v/>
      </c>
      <c r="AI112">
        <f>(24-AI3)*6+AI2+AI5*10000</f>
        <v/>
      </c>
      <c r="AJ112">
        <f>(24-AJ3)*6+AJ2+AJ5*10000</f>
        <v/>
      </c>
      <c r="AK112">
        <f>(24-AK3)*6+AK2+AK5*10000</f>
        <v/>
      </c>
      <c r="AL112">
        <f>(24-AL3)*6+AL2+AL5*10000</f>
        <v/>
      </c>
      <c r="AM112">
        <f>(24-AM3)*6+AM2+AM5*10000</f>
        <v/>
      </c>
      <c r="AN112">
        <f>(24-AN3)*6+AN2+AN5*10000</f>
        <v/>
      </c>
      <c r="AO112">
        <f>(24-AO3)*6+AO2+AO5*10000</f>
        <v/>
      </c>
      <c r="AP112">
        <f>(24-AP3)*6+AP2+AP5*10000</f>
        <v/>
      </c>
      <c r="AQ112">
        <f>(24-AQ3)*6+AQ2+AQ5*10000</f>
        <v/>
      </c>
      <c r="AR112">
        <f>(24-AR3)*6+AR2+AR5*10000</f>
        <v/>
      </c>
      <c r="AS112">
        <f>(24-AS3)*6+AS2+AS5*10000</f>
        <v/>
      </c>
      <c r="AT112">
        <f>(24-AT3)*6+AT2+AT5*10000</f>
        <v/>
      </c>
      <c r="AU112">
        <f>(24-AU3)*6+AU2+AU5*10000</f>
        <v/>
      </c>
      <c r="AV112">
        <f>(24-AV3)*6+AV2+AV5*10000</f>
        <v/>
      </c>
      <c r="AW112">
        <f>(24-AW3)*6+AW2+AW5*10000</f>
        <v/>
      </c>
      <c r="AX112">
        <f>(24-AX3)*6+AX2+AX5*10000</f>
        <v/>
      </c>
      <c r="AY112">
        <f>(24-AY3)*6+AY2+AY5*10000</f>
        <v/>
      </c>
      <c r="AZ112">
        <f>(24-AZ3)*6+AZ2+AZ5*10000</f>
        <v/>
      </c>
      <c r="BA112">
        <f>(24-BA3)*6+BA2+BA5*10000</f>
        <v/>
      </c>
      <c r="BB112">
        <f>(24-BB3)*6+BB2+BB5*10000</f>
        <v/>
      </c>
      <c r="BC112">
        <f>(24-BC3)*6+BC2+BC5*10000</f>
        <v/>
      </c>
      <c r="BD112">
        <f>(24-BD3)*6+BD2+BD5*10000</f>
        <v/>
      </c>
      <c r="BE112">
        <f>(24-BE3)*6+BE2+BE5*10000</f>
        <v/>
      </c>
      <c r="BF112">
        <f>(24-BF3)*6+BF2+BF5*10000</f>
        <v/>
      </c>
      <c r="BG112">
        <f>(24-BG3)*6+BG2+BG5*10000</f>
        <v/>
      </c>
      <c r="BH112">
        <f>(24-BH3)*6+BH2+BH5*10000</f>
        <v/>
      </c>
      <c r="BI112">
        <f>(24-BI3)*6+BI2+BI5*10000</f>
        <v/>
      </c>
      <c r="BJ112">
        <f>(24-BJ3)*6+BJ2+BJ5*10000</f>
        <v/>
      </c>
      <c r="BK112">
        <f>(24-BK3)*6+BK2+BK5*10000</f>
        <v/>
      </c>
      <c r="BL112">
        <f>(24-BL3)*6+BL2+BL5*10000</f>
        <v/>
      </c>
      <c r="BM112">
        <f>(24-BM3)*6+BM2+BM5*10000</f>
        <v/>
      </c>
      <c r="BN112">
        <f>(24-BN3)*6+BN2+BN5*10000</f>
        <v/>
      </c>
      <c r="BO112">
        <f>(24-BO3)*6+BO2+BO5*10000</f>
        <v/>
      </c>
      <c r="BP112">
        <f>(24-BP3)*6+BP2+BP5*10000</f>
        <v/>
      </c>
      <c r="BQ112">
        <f>(24-BQ3)*6+BQ2+BQ5*10000</f>
        <v/>
      </c>
      <c r="BR112">
        <f>(24-BR3)*6+BR2+BR5*10000</f>
        <v/>
      </c>
      <c r="BS112">
        <f>(24-BS3)*6+BS2+BS5*10000</f>
        <v/>
      </c>
      <c r="BT112">
        <f>(24-BT3)*6+BT2+BT5*10000</f>
        <v/>
      </c>
      <c r="BU112">
        <f>(24-BU3)*6+BU2+BU5*10000</f>
        <v/>
      </c>
      <c r="BV112">
        <f>(24-BV3)*6+BV2+BV5*10000</f>
        <v/>
      </c>
      <c r="BW112">
        <f>(24-BW3)*6+BW2+BW5*10000</f>
        <v/>
      </c>
      <c r="BX112">
        <f>(24-BX3)*6+BX2+BX5*10000</f>
        <v/>
      </c>
      <c r="BY112">
        <f>(24-BY3)*6+BY2+BY5*10000</f>
        <v/>
      </c>
      <c r="BZ112">
        <f>(24-BZ3)*6+BZ2+BZ5*10000</f>
        <v/>
      </c>
      <c r="CA112">
        <f>(24-CA3)*6+CA2+CA5*10000</f>
        <v/>
      </c>
      <c r="CB112">
        <f>(24-CB3)*6+CB2+CB5*10000</f>
        <v/>
      </c>
      <c r="CC112">
        <f>(24-CC3)*6+CC2+CC5*10000</f>
        <v/>
      </c>
      <c r="CD112">
        <f>(24-CD3)*6+CD2+CD5*10000</f>
        <v/>
      </c>
      <c r="CE112">
        <f>(24-CE3)*6+CE2+CE5*10000</f>
        <v/>
      </c>
      <c r="CF112">
        <f>(24-CF3)*6+CF2+CF5*10000</f>
        <v/>
      </c>
      <c r="CG112">
        <f>(24-CG3)*6+CG2+CG5*10000</f>
        <v/>
      </c>
      <c r="CH112">
        <f>(24-CH3)*6+CH2+CH5*10000</f>
        <v/>
      </c>
      <c r="CI112">
        <f>(24-CI3)*6+CI2+CI5*10000</f>
        <v/>
      </c>
      <c r="CJ112">
        <f>(24-CJ3)*6+CJ2+CJ5*10000</f>
        <v/>
      </c>
      <c r="CK112">
        <f>(24-CK3)*6+CK2+CK5*10000</f>
        <v/>
      </c>
      <c r="CL112">
        <f>(24-CL3)*6+CL2+CL5*10000</f>
        <v/>
      </c>
      <c r="CM112">
        <f>(24-CM3)*6+CM2+CM5*10000</f>
        <v/>
      </c>
      <c r="CN112">
        <f>(24-CN3)*6+CN2+CN5*10000</f>
        <v/>
      </c>
      <c r="CO112">
        <f>(24-CO3)*6+CO2+CO5*10000</f>
        <v/>
      </c>
      <c r="CP112">
        <f>(24-CP3)*6+CP2+CP5*10000</f>
        <v/>
      </c>
      <c r="CQ112">
        <f>(24-CQ3)*6+CQ2+CQ5*10000</f>
        <v/>
      </c>
      <c r="CR112">
        <f>(24-CR3)*6+CR2+CR5*10000</f>
        <v/>
      </c>
      <c r="CS112">
        <f>(24-CS3)*6+CS2+CS5*10000</f>
        <v/>
      </c>
      <c r="CT112">
        <f>(24-CT3)*6+CT2+CT5*10000</f>
        <v/>
      </c>
      <c r="CU112">
        <f>(24-CU3)*6+CU2+CU5*10000</f>
        <v/>
      </c>
      <c r="CV112">
        <f>(24-CV3)*6+CV2+CV5*10000</f>
        <v/>
      </c>
      <c r="CW112">
        <f>(24-CW3)*6+CW2+CW5*10000</f>
        <v/>
      </c>
      <c r="CX112">
        <f>(24-CX3)*6+CX2+CX5*10000</f>
        <v/>
      </c>
      <c r="CY112">
        <f>(24-CY3)*6+CY2+CY5*10000</f>
        <v/>
      </c>
      <c r="CZ112">
        <f>(24-CZ3)*6+CZ2+CZ5*10000</f>
        <v/>
      </c>
      <c r="DA112">
        <f>(24-DA3)*6+DA2+DA5*10000</f>
        <v/>
      </c>
      <c r="DB112">
        <f>(24-DB3)*6+DB2+DB5*10000</f>
        <v/>
      </c>
      <c r="DC112">
        <f>(24-DC3)*6+DC2+DC5*10000</f>
        <v/>
      </c>
      <c r="DD112">
        <f>(24-DD3)*6+DD2+DD5*10000</f>
        <v/>
      </c>
      <c r="DE112">
        <f>(24-DE3)*6+DE2+DE5*10000</f>
        <v/>
      </c>
      <c r="DF112">
        <f>(24-DF3)*6+DF2+DF5*10000</f>
        <v/>
      </c>
      <c r="DG112">
        <f>(24-DG3)*6+DG2+DG5*10000</f>
        <v/>
      </c>
      <c r="DH112">
        <f>(24-DH3)*6+DH2+DH5*10000</f>
        <v/>
      </c>
      <c r="DI112">
        <f>(24-DI3)*6+DI2+DI5*10000</f>
        <v/>
      </c>
      <c r="DJ112">
        <f>(24-DJ3)*6+DJ2+DJ5*10000</f>
        <v/>
      </c>
      <c r="DK112">
        <f>(24-DK3)*6+DK2+DK5*10000</f>
        <v/>
      </c>
      <c r="DL112">
        <f>(24-DL3)*6+DL2+DL5*10000</f>
        <v/>
      </c>
      <c r="DM112">
        <f>(24-DM3)*6+DM2+DM5*10000</f>
        <v/>
      </c>
      <c r="DN112">
        <f>(24-DN3)*6+DN2+DN5*10000</f>
        <v/>
      </c>
      <c r="DO112">
        <f>(24-DO3)*6+DO2+DO5*10000</f>
        <v/>
      </c>
      <c r="DP112">
        <f>(24-DP3)*6+DP2+DP5*10000</f>
        <v/>
      </c>
      <c r="DQ112">
        <f>(24-DQ3)*6+DQ2+DQ5*10000</f>
        <v/>
      </c>
      <c r="DR112">
        <f>(24-DR3)*6+DR2+DR5*10000</f>
        <v/>
      </c>
      <c r="DS112">
        <f>(24-DS3)*6+DS2+DS5*10000</f>
        <v/>
      </c>
      <c r="DT112">
        <f>(24-DT3)*6+DT2+DT5*10000</f>
        <v/>
      </c>
      <c r="DU112">
        <f>(24-DU3)*6+DU2+DU5*10000</f>
        <v/>
      </c>
      <c r="DV112">
        <f>(24-DV3)*6+DV2+DV5*10000</f>
        <v/>
      </c>
      <c r="DW112">
        <f>(24-DW3)*6+DW2+DW5*10000</f>
        <v/>
      </c>
      <c r="DX112">
        <f>(24-DX3)*6+DX2+DX5*10000</f>
        <v/>
      </c>
      <c r="DY112">
        <f>(24-DY3)*6+DY2+DY5*10000</f>
        <v/>
      </c>
      <c r="DZ112">
        <f>(24-DZ3)*6+DZ2+DZ5*10000</f>
        <v/>
      </c>
      <c r="EA112">
        <f>(24-EA3)*6+EA2+EA5*10000</f>
        <v/>
      </c>
      <c r="EB112">
        <f>(24-EB3)*6+EB2+EB5*10000</f>
        <v/>
      </c>
      <c r="EC112">
        <f>(24-EC3)*6+EC2+EC5*10000</f>
        <v/>
      </c>
      <c r="ED112">
        <f>(24-ED3)*6+ED2+ED5*10000</f>
        <v/>
      </c>
      <c r="EE112">
        <f>(24-EE3)*6+EE2+EE5*10000</f>
        <v/>
      </c>
      <c r="EF112">
        <f>(24-EF3)*6+EF2+EF5*10000</f>
        <v/>
      </c>
      <c r="EG112">
        <f>(24-EG3)*6+EG2+EG5*10000</f>
        <v/>
      </c>
      <c r="EH112">
        <f>(24-EH3)*6+EH2+EH5*10000</f>
        <v/>
      </c>
      <c r="EI112">
        <f>(24-EI3)*6+EI2+EI5*10000</f>
        <v/>
      </c>
      <c r="EJ112">
        <f>(24-EJ3)*6+EJ2+EJ5*10000</f>
        <v/>
      </c>
      <c r="EK112">
        <f>(24-EK3)*6+EK2+EK5*10000</f>
        <v/>
      </c>
      <c r="EL112">
        <f>(24-EL3)*6+EL2+EL5*10000</f>
        <v/>
      </c>
      <c r="EM112">
        <f>(24-EM3)*6+EM2+EM5*10000</f>
        <v/>
      </c>
      <c r="EN112">
        <f>(24-EN3)*6+EN2+EN5*10000</f>
        <v/>
      </c>
      <c r="EO112">
        <f>(24-EO3)*6+EO2+EO5*10000</f>
        <v/>
      </c>
      <c r="EP112">
        <f>(24-EP3)*6+EP2+EP5*10000</f>
        <v/>
      </c>
      <c r="EQ112">
        <f>(24-EQ3)*6+EQ2+EQ5*10000</f>
        <v/>
      </c>
    </row>
    <row r="113">
      <c r="C113" t="inlineStr">
        <is>
          <t>早い日</t>
        </is>
      </c>
      <c r="D113">
        <f>(D2-1)*24+D3+D5*10000</f>
        <v/>
      </c>
      <c r="E113">
        <f>(E2-1)*24+E3+E5*10000</f>
        <v/>
      </c>
      <c r="F113">
        <f>(F2-1)*24+F3+F5*10000</f>
        <v/>
      </c>
      <c r="G113">
        <f>(G2-1)*24+G3+G5*10000</f>
        <v/>
      </c>
      <c r="H113">
        <f>(H2-1)*24+H3+H5*10000</f>
        <v/>
      </c>
      <c r="I113">
        <f>(I2-1)*24+I3+I5*10000</f>
        <v/>
      </c>
      <c r="J113">
        <f>(J2-1)*24+J3+J5*10000</f>
        <v/>
      </c>
      <c r="K113">
        <f>(K2-1)*24+K3+K5*10000</f>
        <v/>
      </c>
      <c r="L113">
        <f>(L2-1)*24+L3+L5*10000</f>
        <v/>
      </c>
      <c r="M113">
        <f>(M2-1)*24+M3+M5*10000</f>
        <v/>
      </c>
      <c r="N113">
        <f>(N2-1)*24+N3+N5*10000</f>
        <v/>
      </c>
      <c r="O113">
        <f>(O2-1)*24+O3+O5*10000</f>
        <v/>
      </c>
      <c r="P113">
        <f>(P2-1)*24+P3+P5*10000</f>
        <v/>
      </c>
      <c r="Q113">
        <f>(Q2-1)*24+Q3+Q5*10000</f>
        <v/>
      </c>
      <c r="R113">
        <f>(R2-1)*24+R3+R5*10000</f>
        <v/>
      </c>
      <c r="S113">
        <f>(S2-1)*24+S3+S5*10000</f>
        <v/>
      </c>
      <c r="T113">
        <f>(T2-1)*24+T3+T5*10000</f>
        <v/>
      </c>
      <c r="U113">
        <f>(U2-1)*24+U3+U5*10000</f>
        <v/>
      </c>
      <c r="V113">
        <f>(V2-1)*24+V3+V5*10000</f>
        <v/>
      </c>
      <c r="W113">
        <f>(W2-1)*24+W3+W5*10000</f>
        <v/>
      </c>
      <c r="X113">
        <f>(X2-1)*24+X3+X5*10000</f>
        <v/>
      </c>
      <c r="Y113">
        <f>(Y2-1)*24+Y3+Y5*10000</f>
        <v/>
      </c>
      <c r="Z113">
        <f>(Z2-1)*24+Z3+Z5*10000</f>
        <v/>
      </c>
      <c r="AA113">
        <f>(AA2-1)*24+AA3+AA5*10000</f>
        <v/>
      </c>
      <c r="AB113">
        <f>(AB2-1)*24+AB3+AB5*10000</f>
        <v/>
      </c>
      <c r="AC113">
        <f>(AC2-1)*24+AC3+AC5*10000</f>
        <v/>
      </c>
      <c r="AD113">
        <f>(AD2-1)*24+AD3+AD5*10000</f>
        <v/>
      </c>
      <c r="AE113">
        <f>(AE2-1)*24+AE3+AE5*10000</f>
        <v/>
      </c>
      <c r="AF113">
        <f>(AF2-1)*24+AF3+AF5*10000</f>
        <v/>
      </c>
      <c r="AG113">
        <f>(AG2-1)*24+AG3+AG5*10000</f>
        <v/>
      </c>
      <c r="AH113">
        <f>(AH2-1)*24+AH3+AH5*10000</f>
        <v/>
      </c>
      <c r="AI113">
        <f>(AI2-1)*24+AI3+AI5*10000</f>
        <v/>
      </c>
      <c r="AJ113">
        <f>(AJ2-1)*24+AJ3+AJ5*10000</f>
        <v/>
      </c>
      <c r="AK113">
        <f>(AK2-1)*24+AK3+AK5*10000</f>
        <v/>
      </c>
      <c r="AL113">
        <f>(AL2-1)*24+AL3+AL5*10000</f>
        <v/>
      </c>
      <c r="AM113">
        <f>(AM2-1)*24+AM3+AM5*10000</f>
        <v/>
      </c>
      <c r="AN113">
        <f>(AN2-1)*24+AN3+AN5*10000</f>
        <v/>
      </c>
      <c r="AO113">
        <f>(AO2-1)*24+AO3+AO5*10000</f>
        <v/>
      </c>
      <c r="AP113">
        <f>(AP2-1)*24+AP3+AP5*10000</f>
        <v/>
      </c>
      <c r="AQ113">
        <f>(AQ2-1)*24+AQ3+AQ5*10000</f>
        <v/>
      </c>
      <c r="AR113">
        <f>(AR2-1)*24+AR3+AR5*10000</f>
        <v/>
      </c>
      <c r="AS113">
        <f>(AS2-1)*24+AS3+AS5*10000</f>
        <v/>
      </c>
      <c r="AT113">
        <f>(AT2-1)*24+AT3+AT5*10000</f>
        <v/>
      </c>
      <c r="AU113">
        <f>(AU2-1)*24+AU3+AU5*10000</f>
        <v/>
      </c>
      <c r="AV113">
        <f>(AV2-1)*24+AV3+AV5*10000</f>
        <v/>
      </c>
      <c r="AW113">
        <f>(AW2-1)*24+AW3+AW5*10000</f>
        <v/>
      </c>
      <c r="AX113">
        <f>(AX2-1)*24+AX3+AX5*10000</f>
        <v/>
      </c>
      <c r="AY113">
        <f>(AY2-1)*24+AY3+AY5*10000</f>
        <v/>
      </c>
      <c r="AZ113">
        <f>(AZ2-1)*24+AZ3+AZ5*10000</f>
        <v/>
      </c>
      <c r="BA113">
        <f>(BA2-1)*24+BA3+BA5*10000</f>
        <v/>
      </c>
      <c r="BB113">
        <f>(BB2-1)*24+BB3+BB5*10000</f>
        <v/>
      </c>
      <c r="BC113">
        <f>(BC2-1)*24+BC3+BC5*10000</f>
        <v/>
      </c>
      <c r="BD113">
        <f>(BD2-1)*24+BD3+BD5*10000</f>
        <v/>
      </c>
      <c r="BE113">
        <f>(BE2-1)*24+BE3+BE5*10000</f>
        <v/>
      </c>
      <c r="BF113">
        <f>(BF2-1)*24+BF3+BF5*10000</f>
        <v/>
      </c>
      <c r="BG113">
        <f>(BG2-1)*24+BG3+BG5*10000</f>
        <v/>
      </c>
      <c r="BH113">
        <f>(BH2-1)*24+BH3+BH5*10000</f>
        <v/>
      </c>
      <c r="BI113">
        <f>(BI2-1)*24+BI3+BI5*10000</f>
        <v/>
      </c>
      <c r="BJ113">
        <f>(BJ2-1)*24+BJ3+BJ5*10000</f>
        <v/>
      </c>
      <c r="BK113">
        <f>(BK2-1)*24+BK3+BK5*10000</f>
        <v/>
      </c>
      <c r="BL113">
        <f>(BL2-1)*24+BL3+BL5*10000</f>
        <v/>
      </c>
      <c r="BM113">
        <f>(BM2-1)*24+BM3+BM5*10000</f>
        <v/>
      </c>
      <c r="BN113">
        <f>(BN2-1)*24+BN3+BN5*10000</f>
        <v/>
      </c>
      <c r="BO113">
        <f>(BO2-1)*24+BO3+BO5*10000</f>
        <v/>
      </c>
      <c r="BP113">
        <f>(BP2-1)*24+BP3+BP5*10000</f>
        <v/>
      </c>
      <c r="BQ113">
        <f>(BQ2-1)*24+BQ3+BQ5*10000</f>
        <v/>
      </c>
      <c r="BR113">
        <f>(BR2-1)*24+BR3+BR5*10000</f>
        <v/>
      </c>
      <c r="BS113">
        <f>(BS2-1)*24+BS3+BS5*10000</f>
        <v/>
      </c>
      <c r="BT113">
        <f>(BT2-1)*24+BT3+BT5*10000</f>
        <v/>
      </c>
      <c r="BU113">
        <f>(BU2-1)*24+BU3+BU5*10000</f>
        <v/>
      </c>
      <c r="BV113">
        <f>(BV2-1)*24+BV3+BV5*10000</f>
        <v/>
      </c>
      <c r="BW113">
        <f>(BW2-1)*24+BW3+BW5*10000</f>
        <v/>
      </c>
      <c r="BX113">
        <f>(BX2-1)*24+BX3+BX5*10000</f>
        <v/>
      </c>
      <c r="BY113">
        <f>(BY2-1)*24+BY3+BY5*10000</f>
        <v/>
      </c>
      <c r="BZ113">
        <f>(BZ2-1)*24+BZ3+BZ5*10000</f>
        <v/>
      </c>
      <c r="CA113">
        <f>(CA2-1)*24+CA3+CA5*10000</f>
        <v/>
      </c>
      <c r="CB113">
        <f>(CB2-1)*24+CB3+CB5*10000</f>
        <v/>
      </c>
      <c r="CC113">
        <f>(CC2-1)*24+CC3+CC5*10000</f>
        <v/>
      </c>
      <c r="CD113">
        <f>(CD2-1)*24+CD3+CD5*10000</f>
        <v/>
      </c>
      <c r="CE113">
        <f>(CE2-1)*24+CE3+CE5*10000</f>
        <v/>
      </c>
      <c r="CF113">
        <f>(CF2-1)*24+CF3+CF5*10000</f>
        <v/>
      </c>
      <c r="CG113">
        <f>(CG2-1)*24+CG3+CG5*10000</f>
        <v/>
      </c>
      <c r="CH113">
        <f>(CH2-1)*24+CH3+CH5*10000</f>
        <v/>
      </c>
      <c r="CI113">
        <f>(CI2-1)*24+CI3+CI5*10000</f>
        <v/>
      </c>
      <c r="CJ113">
        <f>(CJ2-1)*24+CJ3+CJ5*10000</f>
        <v/>
      </c>
      <c r="CK113">
        <f>(CK2-1)*24+CK3+CK5*10000</f>
        <v/>
      </c>
      <c r="CL113">
        <f>(CL2-1)*24+CL3+CL5*10000</f>
        <v/>
      </c>
      <c r="CM113">
        <f>(CM2-1)*24+CM3+CM5*10000</f>
        <v/>
      </c>
      <c r="CN113">
        <f>(CN2-1)*24+CN3+CN5*10000</f>
        <v/>
      </c>
      <c r="CO113">
        <f>(CO2-1)*24+CO3+CO5*10000</f>
        <v/>
      </c>
      <c r="CP113">
        <f>(CP2-1)*24+CP3+CP5*10000</f>
        <v/>
      </c>
      <c r="CQ113">
        <f>(CQ2-1)*24+CQ3+CQ5*10000</f>
        <v/>
      </c>
      <c r="CR113">
        <f>(CR2-1)*24+CR3+CR5*10000</f>
        <v/>
      </c>
      <c r="CS113">
        <f>(CS2-1)*24+CS3+CS5*10000</f>
        <v/>
      </c>
      <c r="CT113">
        <f>(CT2-1)*24+CT3+CT5*10000</f>
        <v/>
      </c>
      <c r="CU113">
        <f>(CU2-1)*24+CU3+CU5*10000</f>
        <v/>
      </c>
      <c r="CV113">
        <f>(CV2-1)*24+CV3+CV5*10000</f>
        <v/>
      </c>
      <c r="CW113">
        <f>(CW2-1)*24+CW3+CW5*10000</f>
        <v/>
      </c>
      <c r="CX113">
        <f>(CX2-1)*24+CX3+CX5*10000</f>
        <v/>
      </c>
      <c r="CY113">
        <f>(CY2-1)*24+CY3+CY5*10000</f>
        <v/>
      </c>
      <c r="CZ113">
        <f>(CZ2-1)*24+CZ3+CZ5*10000</f>
        <v/>
      </c>
      <c r="DA113">
        <f>(DA2-1)*24+DA3+DA5*10000</f>
        <v/>
      </c>
      <c r="DB113">
        <f>(DB2-1)*24+DB3+DB5*10000</f>
        <v/>
      </c>
      <c r="DC113">
        <f>(DC2-1)*24+DC3+DC5*10000</f>
        <v/>
      </c>
      <c r="DD113">
        <f>(DD2-1)*24+DD3+DD5*10000</f>
        <v/>
      </c>
      <c r="DE113">
        <f>(DE2-1)*24+DE3+DE5*10000</f>
        <v/>
      </c>
      <c r="DF113">
        <f>(DF2-1)*24+DF3+DF5*10000</f>
        <v/>
      </c>
      <c r="DG113">
        <f>(DG2-1)*24+DG3+DG5*10000</f>
        <v/>
      </c>
      <c r="DH113">
        <f>(DH2-1)*24+DH3+DH5*10000</f>
        <v/>
      </c>
      <c r="DI113">
        <f>(DI2-1)*24+DI3+DI5*10000</f>
        <v/>
      </c>
      <c r="DJ113">
        <f>(DJ2-1)*24+DJ3+DJ5*10000</f>
        <v/>
      </c>
      <c r="DK113">
        <f>(DK2-1)*24+DK3+DK5*10000</f>
        <v/>
      </c>
      <c r="DL113">
        <f>(DL2-1)*24+DL3+DL5*10000</f>
        <v/>
      </c>
      <c r="DM113">
        <f>(DM2-1)*24+DM3+DM5*10000</f>
        <v/>
      </c>
      <c r="DN113">
        <f>(DN2-1)*24+DN3+DN5*10000</f>
        <v/>
      </c>
      <c r="DO113">
        <f>(DO2-1)*24+DO3+DO5*10000</f>
        <v/>
      </c>
      <c r="DP113">
        <f>(DP2-1)*24+DP3+DP5*10000</f>
        <v/>
      </c>
      <c r="DQ113">
        <f>(DQ2-1)*24+DQ3+DQ5*10000</f>
        <v/>
      </c>
      <c r="DR113">
        <f>(DR2-1)*24+DR3+DR5*10000</f>
        <v/>
      </c>
      <c r="DS113">
        <f>(DS2-1)*24+DS3+DS5*10000</f>
        <v/>
      </c>
      <c r="DT113">
        <f>(DT2-1)*24+DT3+DT5*10000</f>
        <v/>
      </c>
      <c r="DU113">
        <f>(DU2-1)*24+DU3+DU5*10000</f>
        <v/>
      </c>
      <c r="DV113">
        <f>(DV2-1)*24+DV3+DV5*10000</f>
        <v/>
      </c>
      <c r="DW113">
        <f>(DW2-1)*24+DW3+DW5*10000</f>
        <v/>
      </c>
      <c r="DX113">
        <f>(DX2-1)*24+DX3+DX5*10000</f>
        <v/>
      </c>
      <c r="DY113">
        <f>(DY2-1)*24+DY3+DY5*10000</f>
        <v/>
      </c>
      <c r="DZ113">
        <f>(DZ2-1)*24+DZ3+DZ5*10000</f>
        <v/>
      </c>
      <c r="EA113">
        <f>(EA2-1)*24+EA3+EA5*10000</f>
        <v/>
      </c>
      <c r="EB113">
        <f>(EB2-1)*24+EB3+EB5*10000</f>
        <v/>
      </c>
      <c r="EC113">
        <f>(EC2-1)*24+EC3+EC5*10000</f>
        <v/>
      </c>
      <c r="ED113">
        <f>(ED2-1)*24+ED3+ED5*10000</f>
        <v/>
      </c>
      <c r="EE113">
        <f>(EE2-1)*24+EE3+EE5*10000</f>
        <v/>
      </c>
      <c r="EF113">
        <f>(EF2-1)*24+EF3+EF5*10000</f>
        <v/>
      </c>
      <c r="EG113">
        <f>(EG2-1)*24+EG3+EG5*10000</f>
        <v/>
      </c>
      <c r="EH113">
        <f>(EH2-1)*24+EH3+EH5*10000</f>
        <v/>
      </c>
      <c r="EI113">
        <f>(EI2-1)*24+EI3+EI5*10000</f>
        <v/>
      </c>
      <c r="EJ113">
        <f>(EJ2-1)*24+EJ3+EJ5*10000</f>
        <v/>
      </c>
      <c r="EK113">
        <f>(EK2-1)*24+EK3+EK5*10000</f>
        <v/>
      </c>
      <c r="EL113">
        <f>(EL2-1)*24+EL3+EL5*10000</f>
        <v/>
      </c>
      <c r="EM113">
        <f>(EM2-1)*24+EM3+EM5*10000</f>
        <v/>
      </c>
      <c r="EN113">
        <f>(EN2-1)*24+EN3+EN5*10000</f>
        <v/>
      </c>
      <c r="EO113">
        <f>(EO2-1)*24+EO3+EO5*10000</f>
        <v/>
      </c>
      <c r="EP113">
        <f>(EP2-1)*24+EP3+EP5*10000</f>
        <v/>
      </c>
      <c r="EQ113">
        <f>(EQ2-1)*24+EQ3+EQ5*10000</f>
        <v/>
      </c>
    </row>
    <row r="114">
      <c r="C114" t="inlineStr">
        <is>
          <t>遅い日</t>
        </is>
      </c>
      <c r="D114">
        <f>(6-D2)*24+D3+D5*10000</f>
        <v/>
      </c>
      <c r="E114">
        <f>(6-E2)*24+E3+E5*10000</f>
        <v/>
      </c>
      <c r="F114">
        <f>(6-F2)*24+F3+F5*10000</f>
        <v/>
      </c>
      <c r="G114">
        <f>(6-G2)*24+G3+G5*10000</f>
        <v/>
      </c>
      <c r="H114">
        <f>(6-H2)*24+H3+H5*10000</f>
        <v/>
      </c>
      <c r="I114">
        <f>(6-I2)*24+I3+I5*10000</f>
        <v/>
      </c>
      <c r="J114">
        <f>(6-J2)*24+J3+J5*10000</f>
        <v/>
      </c>
      <c r="K114">
        <f>(6-K2)*24+K3+K5*10000</f>
        <v/>
      </c>
      <c r="L114">
        <f>(6-L2)*24+L3+L5*10000</f>
        <v/>
      </c>
      <c r="M114">
        <f>(6-M2)*24+M3+M5*10000</f>
        <v/>
      </c>
      <c r="N114">
        <f>(6-N2)*24+N3+N5*10000</f>
        <v/>
      </c>
      <c r="O114">
        <f>(6-O2)*24+O3+O5*10000</f>
        <v/>
      </c>
      <c r="P114">
        <f>(6-P2)*24+P3+P5*10000</f>
        <v/>
      </c>
      <c r="Q114">
        <f>(6-Q2)*24+Q3+Q5*10000</f>
        <v/>
      </c>
      <c r="R114">
        <f>(6-R2)*24+R3+R5*10000</f>
        <v/>
      </c>
      <c r="S114">
        <f>(6-S2)*24+S3+S5*10000</f>
        <v/>
      </c>
      <c r="T114">
        <f>(6-T2)*24+T3+T5*10000</f>
        <v/>
      </c>
      <c r="U114">
        <f>(6-U2)*24+U3+U5*10000</f>
        <v/>
      </c>
      <c r="V114">
        <f>(6-V2)*24+V3+V5*10000</f>
        <v/>
      </c>
      <c r="W114">
        <f>(6-W2)*24+W3+W5*10000</f>
        <v/>
      </c>
      <c r="X114">
        <f>(6-X2)*24+X3+X5*10000</f>
        <v/>
      </c>
      <c r="Y114">
        <f>(6-Y2)*24+Y3+Y5*10000</f>
        <v/>
      </c>
      <c r="Z114">
        <f>(6-Z2)*24+Z3+Z5*10000</f>
        <v/>
      </c>
      <c r="AA114">
        <f>(6-AA2)*24+AA3+AA5*10000</f>
        <v/>
      </c>
      <c r="AB114">
        <f>(6-AB2)*24+AB3+AB5*10000</f>
        <v/>
      </c>
      <c r="AC114">
        <f>(6-AC2)*24+AC3+AC5*10000</f>
        <v/>
      </c>
      <c r="AD114">
        <f>(6-AD2)*24+AD3+AD5*10000</f>
        <v/>
      </c>
      <c r="AE114">
        <f>(6-AE2)*24+AE3+AE5*10000</f>
        <v/>
      </c>
      <c r="AF114">
        <f>(6-AF2)*24+AF3+AF5*10000</f>
        <v/>
      </c>
      <c r="AG114">
        <f>(6-AG2)*24+AG3+AG5*10000</f>
        <v/>
      </c>
      <c r="AH114">
        <f>(6-AH2)*24+AH3+AH5*10000</f>
        <v/>
      </c>
      <c r="AI114">
        <f>(6-AI2)*24+AI3+AI5*10000</f>
        <v/>
      </c>
      <c r="AJ114">
        <f>(6-AJ2)*24+AJ3+AJ5*10000</f>
        <v/>
      </c>
      <c r="AK114">
        <f>(6-AK2)*24+AK3+AK5*10000</f>
        <v/>
      </c>
      <c r="AL114">
        <f>(6-AL2)*24+AL3+AL5*10000</f>
        <v/>
      </c>
      <c r="AM114">
        <f>(6-AM2)*24+AM3+AM5*10000</f>
        <v/>
      </c>
      <c r="AN114">
        <f>(6-AN2)*24+AN3+AN5*10000</f>
        <v/>
      </c>
      <c r="AO114">
        <f>(6-AO2)*24+AO3+AO5*10000</f>
        <v/>
      </c>
      <c r="AP114">
        <f>(6-AP2)*24+AP3+AP5*10000</f>
        <v/>
      </c>
      <c r="AQ114">
        <f>(6-AQ2)*24+AQ3+AQ5*10000</f>
        <v/>
      </c>
      <c r="AR114">
        <f>(6-AR2)*24+AR3+AR5*10000</f>
        <v/>
      </c>
      <c r="AS114">
        <f>(6-AS2)*24+AS3+AS5*10000</f>
        <v/>
      </c>
      <c r="AT114">
        <f>(6-AT2)*24+AT3+AT5*10000</f>
        <v/>
      </c>
      <c r="AU114">
        <f>(6-AU2)*24+AU3+AU5*10000</f>
        <v/>
      </c>
      <c r="AV114">
        <f>(6-AV2)*24+AV3+AV5*10000</f>
        <v/>
      </c>
      <c r="AW114">
        <f>(6-AW2)*24+AW3+AW5*10000</f>
        <v/>
      </c>
      <c r="AX114">
        <f>(6-AX2)*24+AX3+AX5*10000</f>
        <v/>
      </c>
      <c r="AY114">
        <f>(6-AY2)*24+AY3+AY5*10000</f>
        <v/>
      </c>
      <c r="AZ114">
        <f>(6-AZ2)*24+AZ3+AZ5*10000</f>
        <v/>
      </c>
      <c r="BA114">
        <f>(6-BA2)*24+BA3+BA5*10000</f>
        <v/>
      </c>
      <c r="BB114">
        <f>(6-BB2)*24+BB3+BB5*10000</f>
        <v/>
      </c>
      <c r="BC114">
        <f>(6-BC2)*24+BC3+BC5*10000</f>
        <v/>
      </c>
      <c r="BD114">
        <f>(6-BD2)*24+BD3+BD5*10000</f>
        <v/>
      </c>
      <c r="BE114">
        <f>(6-BE2)*24+BE3+BE5*10000</f>
        <v/>
      </c>
      <c r="BF114">
        <f>(6-BF2)*24+BF3+BF5*10000</f>
        <v/>
      </c>
      <c r="BG114">
        <f>(6-BG2)*24+BG3+BG5*10000</f>
        <v/>
      </c>
      <c r="BH114">
        <f>(6-BH2)*24+BH3+BH5*10000</f>
        <v/>
      </c>
      <c r="BI114">
        <f>(6-BI2)*24+BI3+BI5*10000</f>
        <v/>
      </c>
      <c r="BJ114">
        <f>(6-BJ2)*24+BJ3+BJ5*10000</f>
        <v/>
      </c>
      <c r="BK114">
        <f>(6-BK2)*24+BK3+BK5*10000</f>
        <v/>
      </c>
      <c r="BL114">
        <f>(6-BL2)*24+BL3+BL5*10000</f>
        <v/>
      </c>
      <c r="BM114">
        <f>(6-BM2)*24+BM3+BM5*10000</f>
        <v/>
      </c>
      <c r="BN114">
        <f>(6-BN2)*24+BN3+BN5*10000</f>
        <v/>
      </c>
      <c r="BO114">
        <f>(6-BO2)*24+BO3+BO5*10000</f>
        <v/>
      </c>
      <c r="BP114">
        <f>(6-BP2)*24+BP3+BP5*10000</f>
        <v/>
      </c>
      <c r="BQ114">
        <f>(6-BQ2)*24+BQ3+BQ5*10000</f>
        <v/>
      </c>
      <c r="BR114">
        <f>(6-BR2)*24+BR3+BR5*10000</f>
        <v/>
      </c>
      <c r="BS114">
        <f>(6-BS2)*24+BS3+BS5*10000</f>
        <v/>
      </c>
      <c r="BT114">
        <f>(6-BT2)*24+BT3+BT5*10000</f>
        <v/>
      </c>
      <c r="BU114">
        <f>(6-BU2)*24+BU3+BU5*10000</f>
        <v/>
      </c>
      <c r="BV114">
        <f>(6-BV2)*24+BV3+BV5*10000</f>
        <v/>
      </c>
      <c r="BW114">
        <f>(6-BW2)*24+BW3+BW5*10000</f>
        <v/>
      </c>
      <c r="BX114">
        <f>(6-BX2)*24+BX3+BX5*10000</f>
        <v/>
      </c>
      <c r="BY114">
        <f>(6-BY2)*24+BY3+BY5*10000</f>
        <v/>
      </c>
      <c r="BZ114">
        <f>(6-BZ2)*24+BZ3+BZ5*10000</f>
        <v/>
      </c>
      <c r="CA114">
        <f>(6-CA2)*24+CA3+CA5*10000</f>
        <v/>
      </c>
      <c r="CB114">
        <f>(6-CB2)*24+CB3+CB5*10000</f>
        <v/>
      </c>
      <c r="CC114">
        <f>(6-CC2)*24+CC3+CC5*10000</f>
        <v/>
      </c>
      <c r="CD114">
        <f>(6-CD2)*24+CD3+CD5*10000</f>
        <v/>
      </c>
      <c r="CE114">
        <f>(6-CE2)*24+CE3+CE5*10000</f>
        <v/>
      </c>
      <c r="CF114">
        <f>(6-CF2)*24+CF3+CF5*10000</f>
        <v/>
      </c>
      <c r="CG114">
        <f>(6-CG2)*24+CG3+CG5*10000</f>
        <v/>
      </c>
      <c r="CH114">
        <f>(6-CH2)*24+CH3+CH5*10000</f>
        <v/>
      </c>
      <c r="CI114">
        <f>(6-CI2)*24+CI3+CI5*10000</f>
        <v/>
      </c>
      <c r="CJ114">
        <f>(6-CJ2)*24+CJ3+CJ5*10000</f>
        <v/>
      </c>
      <c r="CK114">
        <f>(6-CK2)*24+CK3+CK5*10000</f>
        <v/>
      </c>
      <c r="CL114">
        <f>(6-CL2)*24+CL3+CL5*10000</f>
        <v/>
      </c>
      <c r="CM114">
        <f>(6-CM2)*24+CM3+CM5*10000</f>
        <v/>
      </c>
      <c r="CN114">
        <f>(6-CN2)*24+CN3+CN5*10000</f>
        <v/>
      </c>
      <c r="CO114">
        <f>(6-CO2)*24+CO3+CO5*10000</f>
        <v/>
      </c>
      <c r="CP114">
        <f>(6-CP2)*24+CP3+CP5*10000</f>
        <v/>
      </c>
      <c r="CQ114">
        <f>(6-CQ2)*24+CQ3+CQ5*10000</f>
        <v/>
      </c>
      <c r="CR114">
        <f>(6-CR2)*24+CR3+CR5*10000</f>
        <v/>
      </c>
      <c r="CS114">
        <f>(6-CS2)*24+CS3+CS5*10000</f>
        <v/>
      </c>
      <c r="CT114">
        <f>(6-CT2)*24+CT3+CT5*10000</f>
        <v/>
      </c>
      <c r="CU114">
        <f>(6-CU2)*24+CU3+CU5*10000</f>
        <v/>
      </c>
      <c r="CV114">
        <f>(6-CV2)*24+CV3+CV5*10000</f>
        <v/>
      </c>
      <c r="CW114">
        <f>(6-CW2)*24+CW3+CW5*10000</f>
        <v/>
      </c>
      <c r="CX114">
        <f>(6-CX2)*24+CX3+CX5*10000</f>
        <v/>
      </c>
      <c r="CY114">
        <f>(6-CY2)*24+CY3+CY5*10000</f>
        <v/>
      </c>
      <c r="CZ114">
        <f>(6-CZ2)*24+CZ3+CZ5*10000</f>
        <v/>
      </c>
      <c r="DA114">
        <f>(6-DA2)*24+DA3+DA5*10000</f>
        <v/>
      </c>
      <c r="DB114">
        <f>(6-DB2)*24+DB3+DB5*10000</f>
        <v/>
      </c>
      <c r="DC114">
        <f>(6-DC2)*24+DC3+DC5*10000</f>
        <v/>
      </c>
      <c r="DD114">
        <f>(6-DD2)*24+DD3+DD5*10000</f>
        <v/>
      </c>
      <c r="DE114">
        <f>(6-DE2)*24+DE3+DE5*10000</f>
        <v/>
      </c>
      <c r="DF114">
        <f>(6-DF2)*24+DF3+DF5*10000</f>
        <v/>
      </c>
      <c r="DG114">
        <f>(6-DG2)*24+DG3+DG5*10000</f>
        <v/>
      </c>
      <c r="DH114">
        <f>(6-DH2)*24+DH3+DH5*10000</f>
        <v/>
      </c>
      <c r="DI114">
        <f>(6-DI2)*24+DI3+DI5*10000</f>
        <v/>
      </c>
      <c r="DJ114">
        <f>(6-DJ2)*24+DJ3+DJ5*10000</f>
        <v/>
      </c>
      <c r="DK114">
        <f>(6-DK2)*24+DK3+DK5*10000</f>
        <v/>
      </c>
      <c r="DL114">
        <f>(6-DL2)*24+DL3+DL5*10000</f>
        <v/>
      </c>
      <c r="DM114">
        <f>(6-DM2)*24+DM3+DM5*10000</f>
        <v/>
      </c>
      <c r="DN114">
        <f>(6-DN2)*24+DN3+DN5*10000</f>
        <v/>
      </c>
      <c r="DO114">
        <f>(6-DO2)*24+DO3+DO5*10000</f>
        <v/>
      </c>
      <c r="DP114">
        <f>(6-DP2)*24+DP3+DP5*10000</f>
        <v/>
      </c>
      <c r="DQ114">
        <f>(6-DQ2)*24+DQ3+DQ5*10000</f>
        <v/>
      </c>
      <c r="DR114">
        <f>(6-DR2)*24+DR3+DR5*10000</f>
        <v/>
      </c>
      <c r="DS114">
        <f>(6-DS2)*24+DS3+DS5*10000</f>
        <v/>
      </c>
      <c r="DT114">
        <f>(6-DT2)*24+DT3+DT5*10000</f>
        <v/>
      </c>
      <c r="DU114">
        <f>(6-DU2)*24+DU3+DU5*10000</f>
        <v/>
      </c>
      <c r="DV114">
        <f>(6-DV2)*24+DV3+DV5*10000</f>
        <v/>
      </c>
      <c r="DW114">
        <f>(6-DW2)*24+DW3+DW5*10000</f>
        <v/>
      </c>
      <c r="DX114">
        <f>(6-DX2)*24+DX3+DX5*10000</f>
        <v/>
      </c>
      <c r="DY114">
        <f>(6-DY2)*24+DY3+DY5*10000</f>
        <v/>
      </c>
      <c r="DZ114">
        <f>(6-DZ2)*24+DZ3+DZ5*10000</f>
        <v/>
      </c>
      <c r="EA114">
        <f>(6-EA2)*24+EA3+EA5*10000</f>
        <v/>
      </c>
      <c r="EB114">
        <f>(6-EB2)*24+EB3+EB5*10000</f>
        <v/>
      </c>
      <c r="EC114">
        <f>(6-EC2)*24+EC3+EC5*10000</f>
        <v/>
      </c>
      <c r="ED114">
        <f>(6-ED2)*24+ED3+ED5*10000</f>
        <v/>
      </c>
      <c r="EE114">
        <f>(6-EE2)*24+EE3+EE5*10000</f>
        <v/>
      </c>
      <c r="EF114">
        <f>(6-EF2)*24+EF3+EF5*10000</f>
        <v/>
      </c>
      <c r="EG114">
        <f>(6-EG2)*24+EG3+EG5*10000</f>
        <v/>
      </c>
      <c r="EH114">
        <f>(6-EH2)*24+EH3+EH5*10000</f>
        <v/>
      </c>
      <c r="EI114">
        <f>(6-EI2)*24+EI3+EI5*10000</f>
        <v/>
      </c>
      <c r="EJ114">
        <f>(6-EJ2)*24+EJ3+EJ5*10000</f>
        <v/>
      </c>
      <c r="EK114">
        <f>(6-EK2)*24+EK3+EK5*10000</f>
        <v/>
      </c>
      <c r="EL114">
        <f>(6-EL2)*24+EL3+EL5*10000</f>
        <v/>
      </c>
      <c r="EM114">
        <f>(6-EM2)*24+EM3+EM5*10000</f>
        <v/>
      </c>
      <c r="EN114">
        <f>(6-EN2)*24+EN3+EN5*10000</f>
        <v/>
      </c>
      <c r="EO114">
        <f>(6-EO2)*24+EO3+EO5*10000</f>
        <v/>
      </c>
      <c r="EP114">
        <f>(6-EP2)*24+EP3+EP5*10000</f>
        <v/>
      </c>
      <c r="EQ114">
        <f>(6-EQ2)*24+EQ3+EQ5*10000</f>
        <v/>
      </c>
    </row>
    <row r="115">
      <c r="C115" t="inlineStr">
        <is>
          <t>設定にある枠</t>
        </is>
      </c>
      <c r="D115">
        <f>IF(AND(INDEX('設定'!$B$11:$B$16,D2)&lt;&gt;"",D3&lt;='設定'!$B$6),1,0)</f>
        <v/>
      </c>
      <c r="E115">
        <f>IF(AND(INDEX('設定'!$B$11:$B$16,E2)&lt;&gt;"",E3&lt;='設定'!$B$6),1,0)</f>
        <v/>
      </c>
      <c r="F115">
        <f>IF(AND(INDEX('設定'!$B$11:$B$16,F2)&lt;&gt;"",F3&lt;='設定'!$B$6),1,0)</f>
        <v/>
      </c>
      <c r="G115">
        <f>IF(AND(INDEX('設定'!$B$11:$B$16,G2)&lt;&gt;"",G3&lt;='設定'!$B$6),1,0)</f>
        <v/>
      </c>
      <c r="H115">
        <f>IF(AND(INDEX('設定'!$B$11:$B$16,H2)&lt;&gt;"",H3&lt;='設定'!$B$6),1,0)</f>
        <v/>
      </c>
      <c r="I115">
        <f>IF(AND(INDEX('設定'!$B$11:$B$16,I2)&lt;&gt;"",I3&lt;='設定'!$B$6),1,0)</f>
        <v/>
      </c>
      <c r="J115">
        <f>IF(AND(INDEX('設定'!$B$11:$B$16,J2)&lt;&gt;"",J3&lt;='設定'!$B$6),1,0)</f>
        <v/>
      </c>
      <c r="K115">
        <f>IF(AND(INDEX('設定'!$B$11:$B$16,K2)&lt;&gt;"",K3&lt;='設定'!$B$6),1,0)</f>
        <v/>
      </c>
      <c r="L115">
        <f>IF(AND(INDEX('設定'!$B$11:$B$16,L2)&lt;&gt;"",L3&lt;='設定'!$B$6),1,0)</f>
        <v/>
      </c>
      <c r="M115">
        <f>IF(AND(INDEX('設定'!$B$11:$B$16,M2)&lt;&gt;"",M3&lt;='設定'!$B$6),1,0)</f>
        <v/>
      </c>
      <c r="N115">
        <f>IF(AND(INDEX('設定'!$B$11:$B$16,N2)&lt;&gt;"",N3&lt;='設定'!$B$6),1,0)</f>
        <v/>
      </c>
      <c r="O115">
        <f>IF(AND(INDEX('設定'!$B$11:$B$16,O2)&lt;&gt;"",O3&lt;='設定'!$B$6),1,0)</f>
        <v/>
      </c>
      <c r="P115">
        <f>IF(AND(INDEX('設定'!$B$11:$B$16,P2)&lt;&gt;"",P3&lt;='設定'!$B$6),1,0)</f>
        <v/>
      </c>
      <c r="Q115">
        <f>IF(AND(INDEX('設定'!$B$11:$B$16,Q2)&lt;&gt;"",Q3&lt;='設定'!$B$6),1,0)</f>
        <v/>
      </c>
      <c r="R115">
        <f>IF(AND(INDEX('設定'!$B$11:$B$16,R2)&lt;&gt;"",R3&lt;='設定'!$B$6),1,0)</f>
        <v/>
      </c>
      <c r="S115">
        <f>IF(AND(INDEX('設定'!$B$11:$B$16,S2)&lt;&gt;"",S3&lt;='設定'!$B$6),1,0)</f>
        <v/>
      </c>
      <c r="T115">
        <f>IF(AND(INDEX('設定'!$B$11:$B$16,T2)&lt;&gt;"",T3&lt;='設定'!$B$6),1,0)</f>
        <v/>
      </c>
      <c r="U115">
        <f>IF(AND(INDEX('設定'!$B$11:$B$16,U2)&lt;&gt;"",U3&lt;='設定'!$B$6),1,0)</f>
        <v/>
      </c>
      <c r="V115">
        <f>IF(AND(INDEX('設定'!$B$11:$B$16,V2)&lt;&gt;"",V3&lt;='設定'!$B$6),1,0)</f>
        <v/>
      </c>
      <c r="W115">
        <f>IF(AND(INDEX('設定'!$B$11:$B$16,W2)&lt;&gt;"",W3&lt;='設定'!$B$6),1,0)</f>
        <v/>
      </c>
      <c r="X115">
        <f>IF(AND(INDEX('設定'!$B$11:$B$16,X2)&lt;&gt;"",X3&lt;='設定'!$B$6),1,0)</f>
        <v/>
      </c>
      <c r="Y115">
        <f>IF(AND(INDEX('設定'!$B$11:$B$16,Y2)&lt;&gt;"",Y3&lt;='設定'!$B$6),1,0)</f>
        <v/>
      </c>
      <c r="Z115">
        <f>IF(AND(INDEX('設定'!$B$11:$B$16,Z2)&lt;&gt;"",Z3&lt;='設定'!$B$6),1,0)</f>
        <v/>
      </c>
      <c r="AA115">
        <f>IF(AND(INDEX('設定'!$B$11:$B$16,AA2)&lt;&gt;"",AA3&lt;='設定'!$B$6),1,0)</f>
        <v/>
      </c>
      <c r="AB115">
        <f>IF(AND(INDEX('設定'!$B$11:$B$16,AB2)&lt;&gt;"",AB3&lt;='設定'!$B$6),1,0)</f>
        <v/>
      </c>
      <c r="AC115">
        <f>IF(AND(INDEX('設定'!$B$11:$B$16,AC2)&lt;&gt;"",AC3&lt;='設定'!$B$6),1,0)</f>
        <v/>
      </c>
      <c r="AD115">
        <f>IF(AND(INDEX('設定'!$B$11:$B$16,AD2)&lt;&gt;"",AD3&lt;='設定'!$B$6),1,0)</f>
        <v/>
      </c>
      <c r="AE115">
        <f>IF(AND(INDEX('設定'!$B$11:$B$16,AE2)&lt;&gt;"",AE3&lt;='設定'!$B$6),1,0)</f>
        <v/>
      </c>
      <c r="AF115">
        <f>IF(AND(INDEX('設定'!$B$11:$B$16,AF2)&lt;&gt;"",AF3&lt;='設定'!$B$6),1,0)</f>
        <v/>
      </c>
      <c r="AG115">
        <f>IF(AND(INDEX('設定'!$B$11:$B$16,AG2)&lt;&gt;"",AG3&lt;='設定'!$B$6),1,0)</f>
        <v/>
      </c>
      <c r="AH115">
        <f>IF(AND(INDEX('設定'!$B$11:$B$16,AH2)&lt;&gt;"",AH3&lt;='設定'!$B$6),1,0)</f>
        <v/>
      </c>
      <c r="AI115">
        <f>IF(AND(INDEX('設定'!$B$11:$B$16,AI2)&lt;&gt;"",AI3&lt;='設定'!$B$6),1,0)</f>
        <v/>
      </c>
      <c r="AJ115">
        <f>IF(AND(INDEX('設定'!$B$11:$B$16,AJ2)&lt;&gt;"",AJ3&lt;='設定'!$B$6),1,0)</f>
        <v/>
      </c>
      <c r="AK115">
        <f>IF(AND(INDEX('設定'!$B$11:$B$16,AK2)&lt;&gt;"",AK3&lt;='設定'!$B$6),1,0)</f>
        <v/>
      </c>
      <c r="AL115">
        <f>IF(AND(INDEX('設定'!$B$11:$B$16,AL2)&lt;&gt;"",AL3&lt;='設定'!$B$6),1,0)</f>
        <v/>
      </c>
      <c r="AM115">
        <f>IF(AND(INDEX('設定'!$B$11:$B$16,AM2)&lt;&gt;"",AM3&lt;='設定'!$B$6),1,0)</f>
        <v/>
      </c>
      <c r="AN115">
        <f>IF(AND(INDEX('設定'!$B$11:$B$16,AN2)&lt;&gt;"",AN3&lt;='設定'!$B$6),1,0)</f>
        <v/>
      </c>
      <c r="AO115">
        <f>IF(AND(INDEX('設定'!$B$11:$B$16,AO2)&lt;&gt;"",AO3&lt;='設定'!$B$6),1,0)</f>
        <v/>
      </c>
      <c r="AP115">
        <f>IF(AND(INDEX('設定'!$B$11:$B$16,AP2)&lt;&gt;"",AP3&lt;='設定'!$B$6),1,0)</f>
        <v/>
      </c>
      <c r="AQ115">
        <f>IF(AND(INDEX('設定'!$B$11:$B$16,AQ2)&lt;&gt;"",AQ3&lt;='設定'!$B$6),1,0)</f>
        <v/>
      </c>
      <c r="AR115">
        <f>IF(AND(INDEX('設定'!$B$11:$B$16,AR2)&lt;&gt;"",AR3&lt;='設定'!$B$6),1,0)</f>
        <v/>
      </c>
      <c r="AS115">
        <f>IF(AND(INDEX('設定'!$B$11:$B$16,AS2)&lt;&gt;"",AS3&lt;='設定'!$B$6),1,0)</f>
        <v/>
      </c>
      <c r="AT115">
        <f>IF(AND(INDEX('設定'!$B$11:$B$16,AT2)&lt;&gt;"",AT3&lt;='設定'!$B$6),1,0)</f>
        <v/>
      </c>
      <c r="AU115">
        <f>IF(AND(INDEX('設定'!$B$11:$B$16,AU2)&lt;&gt;"",AU3&lt;='設定'!$B$6),1,0)</f>
        <v/>
      </c>
      <c r="AV115">
        <f>IF(AND(INDEX('設定'!$B$11:$B$16,AV2)&lt;&gt;"",AV3&lt;='設定'!$B$6),1,0)</f>
        <v/>
      </c>
      <c r="AW115">
        <f>IF(AND(INDEX('設定'!$B$11:$B$16,AW2)&lt;&gt;"",AW3&lt;='設定'!$B$6),1,0)</f>
        <v/>
      </c>
      <c r="AX115">
        <f>IF(AND(INDEX('設定'!$B$11:$B$16,AX2)&lt;&gt;"",AX3&lt;='設定'!$B$6),1,0)</f>
        <v/>
      </c>
      <c r="AY115">
        <f>IF(AND(INDEX('設定'!$B$11:$B$16,AY2)&lt;&gt;"",AY3&lt;='設定'!$B$6),1,0)</f>
        <v/>
      </c>
      <c r="AZ115">
        <f>IF(AND(INDEX('設定'!$B$11:$B$16,AZ2)&lt;&gt;"",AZ3&lt;='設定'!$B$6),1,0)</f>
        <v/>
      </c>
      <c r="BA115">
        <f>IF(AND(INDEX('設定'!$B$11:$B$16,BA2)&lt;&gt;"",BA3&lt;='設定'!$B$6),1,0)</f>
        <v/>
      </c>
      <c r="BB115">
        <f>IF(AND(INDEX('設定'!$B$11:$B$16,BB2)&lt;&gt;"",BB3&lt;='設定'!$B$6),1,0)</f>
        <v/>
      </c>
      <c r="BC115">
        <f>IF(AND(INDEX('設定'!$B$11:$B$16,BC2)&lt;&gt;"",BC3&lt;='設定'!$B$6),1,0)</f>
        <v/>
      </c>
      <c r="BD115">
        <f>IF(AND(INDEX('設定'!$B$11:$B$16,BD2)&lt;&gt;"",BD3&lt;='設定'!$B$6),1,0)</f>
        <v/>
      </c>
      <c r="BE115">
        <f>IF(AND(INDEX('設定'!$B$11:$B$16,BE2)&lt;&gt;"",BE3&lt;='設定'!$B$6),1,0)</f>
        <v/>
      </c>
      <c r="BF115">
        <f>IF(AND(INDEX('設定'!$B$11:$B$16,BF2)&lt;&gt;"",BF3&lt;='設定'!$B$6),1,0)</f>
        <v/>
      </c>
      <c r="BG115">
        <f>IF(AND(INDEX('設定'!$B$11:$B$16,BG2)&lt;&gt;"",BG3&lt;='設定'!$B$6),1,0)</f>
        <v/>
      </c>
      <c r="BH115">
        <f>IF(AND(INDEX('設定'!$B$11:$B$16,BH2)&lt;&gt;"",BH3&lt;='設定'!$B$6),1,0)</f>
        <v/>
      </c>
      <c r="BI115">
        <f>IF(AND(INDEX('設定'!$B$11:$B$16,BI2)&lt;&gt;"",BI3&lt;='設定'!$B$6),1,0)</f>
        <v/>
      </c>
      <c r="BJ115">
        <f>IF(AND(INDEX('設定'!$B$11:$B$16,BJ2)&lt;&gt;"",BJ3&lt;='設定'!$B$6),1,0)</f>
        <v/>
      </c>
      <c r="BK115">
        <f>IF(AND(INDEX('設定'!$B$11:$B$16,BK2)&lt;&gt;"",BK3&lt;='設定'!$B$6),1,0)</f>
        <v/>
      </c>
      <c r="BL115">
        <f>IF(AND(INDEX('設定'!$B$11:$B$16,BL2)&lt;&gt;"",BL3&lt;='設定'!$B$6),1,0)</f>
        <v/>
      </c>
      <c r="BM115">
        <f>IF(AND(INDEX('設定'!$B$11:$B$16,BM2)&lt;&gt;"",BM3&lt;='設定'!$B$6),1,0)</f>
        <v/>
      </c>
      <c r="BN115">
        <f>IF(AND(INDEX('設定'!$B$11:$B$16,BN2)&lt;&gt;"",BN3&lt;='設定'!$B$6),1,0)</f>
        <v/>
      </c>
      <c r="BO115">
        <f>IF(AND(INDEX('設定'!$B$11:$B$16,BO2)&lt;&gt;"",BO3&lt;='設定'!$B$6),1,0)</f>
        <v/>
      </c>
      <c r="BP115">
        <f>IF(AND(INDEX('設定'!$B$11:$B$16,BP2)&lt;&gt;"",BP3&lt;='設定'!$B$6),1,0)</f>
        <v/>
      </c>
      <c r="BQ115">
        <f>IF(AND(INDEX('設定'!$B$11:$B$16,BQ2)&lt;&gt;"",BQ3&lt;='設定'!$B$6),1,0)</f>
        <v/>
      </c>
      <c r="BR115">
        <f>IF(AND(INDEX('設定'!$B$11:$B$16,BR2)&lt;&gt;"",BR3&lt;='設定'!$B$6),1,0)</f>
        <v/>
      </c>
      <c r="BS115">
        <f>IF(AND(INDEX('設定'!$B$11:$B$16,BS2)&lt;&gt;"",BS3&lt;='設定'!$B$6),1,0)</f>
        <v/>
      </c>
      <c r="BT115">
        <f>IF(AND(INDEX('設定'!$B$11:$B$16,BT2)&lt;&gt;"",BT3&lt;='設定'!$B$6),1,0)</f>
        <v/>
      </c>
      <c r="BU115">
        <f>IF(AND(INDEX('設定'!$B$11:$B$16,BU2)&lt;&gt;"",BU3&lt;='設定'!$B$6),1,0)</f>
        <v/>
      </c>
      <c r="BV115">
        <f>IF(AND(INDEX('設定'!$B$11:$B$16,BV2)&lt;&gt;"",BV3&lt;='設定'!$B$6),1,0)</f>
        <v/>
      </c>
      <c r="BW115">
        <f>IF(AND(INDEX('設定'!$B$11:$B$16,BW2)&lt;&gt;"",BW3&lt;='設定'!$B$6),1,0)</f>
        <v/>
      </c>
      <c r="BX115">
        <f>IF(AND(INDEX('設定'!$B$11:$B$16,BX2)&lt;&gt;"",BX3&lt;='設定'!$B$6),1,0)</f>
        <v/>
      </c>
      <c r="BY115">
        <f>IF(AND(INDEX('設定'!$B$11:$B$16,BY2)&lt;&gt;"",BY3&lt;='設定'!$B$6),1,0)</f>
        <v/>
      </c>
      <c r="BZ115">
        <f>IF(AND(INDEX('設定'!$B$11:$B$16,BZ2)&lt;&gt;"",BZ3&lt;='設定'!$B$6),1,0)</f>
        <v/>
      </c>
      <c r="CA115">
        <f>IF(AND(INDEX('設定'!$B$11:$B$16,CA2)&lt;&gt;"",CA3&lt;='設定'!$B$6),1,0)</f>
        <v/>
      </c>
      <c r="CB115">
        <f>IF(AND(INDEX('設定'!$B$11:$B$16,CB2)&lt;&gt;"",CB3&lt;='設定'!$B$6),1,0)</f>
        <v/>
      </c>
      <c r="CC115">
        <f>IF(AND(INDEX('設定'!$B$11:$B$16,CC2)&lt;&gt;"",CC3&lt;='設定'!$B$6),1,0)</f>
        <v/>
      </c>
      <c r="CD115">
        <f>IF(AND(INDEX('設定'!$B$11:$B$16,CD2)&lt;&gt;"",CD3&lt;='設定'!$B$6),1,0)</f>
        <v/>
      </c>
      <c r="CE115">
        <f>IF(AND(INDEX('設定'!$B$11:$B$16,CE2)&lt;&gt;"",CE3&lt;='設定'!$B$6),1,0)</f>
        <v/>
      </c>
      <c r="CF115">
        <f>IF(AND(INDEX('設定'!$B$11:$B$16,CF2)&lt;&gt;"",CF3&lt;='設定'!$B$6),1,0)</f>
        <v/>
      </c>
      <c r="CG115">
        <f>IF(AND(INDEX('設定'!$B$11:$B$16,CG2)&lt;&gt;"",CG3&lt;='設定'!$B$6),1,0)</f>
        <v/>
      </c>
      <c r="CH115">
        <f>IF(AND(INDEX('設定'!$B$11:$B$16,CH2)&lt;&gt;"",CH3&lt;='設定'!$B$6),1,0)</f>
        <v/>
      </c>
      <c r="CI115">
        <f>IF(AND(INDEX('設定'!$B$11:$B$16,CI2)&lt;&gt;"",CI3&lt;='設定'!$B$6),1,0)</f>
        <v/>
      </c>
      <c r="CJ115">
        <f>IF(AND(INDEX('設定'!$B$11:$B$16,CJ2)&lt;&gt;"",CJ3&lt;='設定'!$B$6),1,0)</f>
        <v/>
      </c>
      <c r="CK115">
        <f>IF(AND(INDEX('設定'!$B$11:$B$16,CK2)&lt;&gt;"",CK3&lt;='設定'!$B$6),1,0)</f>
        <v/>
      </c>
      <c r="CL115">
        <f>IF(AND(INDEX('設定'!$B$11:$B$16,CL2)&lt;&gt;"",CL3&lt;='設定'!$B$6),1,0)</f>
        <v/>
      </c>
      <c r="CM115">
        <f>IF(AND(INDEX('設定'!$B$11:$B$16,CM2)&lt;&gt;"",CM3&lt;='設定'!$B$6),1,0)</f>
        <v/>
      </c>
      <c r="CN115">
        <f>IF(AND(INDEX('設定'!$B$11:$B$16,CN2)&lt;&gt;"",CN3&lt;='設定'!$B$6),1,0)</f>
        <v/>
      </c>
      <c r="CO115">
        <f>IF(AND(INDEX('設定'!$B$11:$B$16,CO2)&lt;&gt;"",CO3&lt;='設定'!$B$6),1,0)</f>
        <v/>
      </c>
      <c r="CP115">
        <f>IF(AND(INDEX('設定'!$B$11:$B$16,CP2)&lt;&gt;"",CP3&lt;='設定'!$B$6),1,0)</f>
        <v/>
      </c>
      <c r="CQ115">
        <f>IF(AND(INDEX('設定'!$B$11:$B$16,CQ2)&lt;&gt;"",CQ3&lt;='設定'!$B$6),1,0)</f>
        <v/>
      </c>
      <c r="CR115">
        <f>IF(AND(INDEX('設定'!$B$11:$B$16,CR2)&lt;&gt;"",CR3&lt;='設定'!$B$6),1,0)</f>
        <v/>
      </c>
      <c r="CS115">
        <f>IF(AND(INDEX('設定'!$B$11:$B$16,CS2)&lt;&gt;"",CS3&lt;='設定'!$B$6),1,0)</f>
        <v/>
      </c>
      <c r="CT115">
        <f>IF(AND(INDEX('設定'!$B$11:$B$16,CT2)&lt;&gt;"",CT3&lt;='設定'!$B$6),1,0)</f>
        <v/>
      </c>
      <c r="CU115">
        <f>IF(AND(INDEX('設定'!$B$11:$B$16,CU2)&lt;&gt;"",CU3&lt;='設定'!$B$6),1,0)</f>
        <v/>
      </c>
      <c r="CV115">
        <f>IF(AND(INDEX('設定'!$B$11:$B$16,CV2)&lt;&gt;"",CV3&lt;='設定'!$B$6),1,0)</f>
        <v/>
      </c>
      <c r="CW115">
        <f>IF(AND(INDEX('設定'!$B$11:$B$16,CW2)&lt;&gt;"",CW3&lt;='設定'!$B$6),1,0)</f>
        <v/>
      </c>
      <c r="CX115">
        <f>IF(AND(INDEX('設定'!$B$11:$B$16,CX2)&lt;&gt;"",CX3&lt;='設定'!$B$6),1,0)</f>
        <v/>
      </c>
      <c r="CY115">
        <f>IF(AND(INDEX('設定'!$B$11:$B$16,CY2)&lt;&gt;"",CY3&lt;='設定'!$B$6),1,0)</f>
        <v/>
      </c>
      <c r="CZ115">
        <f>IF(AND(INDEX('設定'!$B$11:$B$16,CZ2)&lt;&gt;"",CZ3&lt;='設定'!$B$6),1,0)</f>
        <v/>
      </c>
      <c r="DA115">
        <f>IF(AND(INDEX('設定'!$B$11:$B$16,DA2)&lt;&gt;"",DA3&lt;='設定'!$B$6),1,0)</f>
        <v/>
      </c>
      <c r="DB115">
        <f>IF(AND(INDEX('設定'!$B$11:$B$16,DB2)&lt;&gt;"",DB3&lt;='設定'!$B$6),1,0)</f>
        <v/>
      </c>
      <c r="DC115">
        <f>IF(AND(INDEX('設定'!$B$11:$B$16,DC2)&lt;&gt;"",DC3&lt;='設定'!$B$6),1,0)</f>
        <v/>
      </c>
      <c r="DD115">
        <f>IF(AND(INDEX('設定'!$B$11:$B$16,DD2)&lt;&gt;"",DD3&lt;='設定'!$B$6),1,0)</f>
        <v/>
      </c>
      <c r="DE115">
        <f>IF(AND(INDEX('設定'!$B$11:$B$16,DE2)&lt;&gt;"",DE3&lt;='設定'!$B$6),1,0)</f>
        <v/>
      </c>
      <c r="DF115">
        <f>IF(AND(INDEX('設定'!$B$11:$B$16,DF2)&lt;&gt;"",DF3&lt;='設定'!$B$6),1,0)</f>
        <v/>
      </c>
      <c r="DG115">
        <f>IF(AND(INDEX('設定'!$B$11:$B$16,DG2)&lt;&gt;"",DG3&lt;='設定'!$B$6),1,0)</f>
        <v/>
      </c>
      <c r="DH115">
        <f>IF(AND(INDEX('設定'!$B$11:$B$16,DH2)&lt;&gt;"",DH3&lt;='設定'!$B$6),1,0)</f>
        <v/>
      </c>
      <c r="DI115">
        <f>IF(AND(INDEX('設定'!$B$11:$B$16,DI2)&lt;&gt;"",DI3&lt;='設定'!$B$6),1,0)</f>
        <v/>
      </c>
      <c r="DJ115">
        <f>IF(AND(INDEX('設定'!$B$11:$B$16,DJ2)&lt;&gt;"",DJ3&lt;='設定'!$B$6),1,0)</f>
        <v/>
      </c>
      <c r="DK115">
        <f>IF(AND(INDEX('設定'!$B$11:$B$16,DK2)&lt;&gt;"",DK3&lt;='設定'!$B$6),1,0)</f>
        <v/>
      </c>
      <c r="DL115">
        <f>IF(AND(INDEX('設定'!$B$11:$B$16,DL2)&lt;&gt;"",DL3&lt;='設定'!$B$6),1,0)</f>
        <v/>
      </c>
      <c r="DM115">
        <f>IF(AND(INDEX('設定'!$B$11:$B$16,DM2)&lt;&gt;"",DM3&lt;='設定'!$B$6),1,0)</f>
        <v/>
      </c>
      <c r="DN115">
        <f>IF(AND(INDEX('設定'!$B$11:$B$16,DN2)&lt;&gt;"",DN3&lt;='設定'!$B$6),1,0)</f>
        <v/>
      </c>
      <c r="DO115">
        <f>IF(AND(INDEX('設定'!$B$11:$B$16,DO2)&lt;&gt;"",DO3&lt;='設定'!$B$6),1,0)</f>
        <v/>
      </c>
      <c r="DP115">
        <f>IF(AND(INDEX('設定'!$B$11:$B$16,DP2)&lt;&gt;"",DP3&lt;='設定'!$B$6),1,0)</f>
        <v/>
      </c>
      <c r="DQ115">
        <f>IF(AND(INDEX('設定'!$B$11:$B$16,DQ2)&lt;&gt;"",DQ3&lt;='設定'!$B$6),1,0)</f>
        <v/>
      </c>
      <c r="DR115">
        <f>IF(AND(INDEX('設定'!$B$11:$B$16,DR2)&lt;&gt;"",DR3&lt;='設定'!$B$6),1,0)</f>
        <v/>
      </c>
      <c r="DS115">
        <f>IF(AND(INDEX('設定'!$B$11:$B$16,DS2)&lt;&gt;"",DS3&lt;='設定'!$B$6),1,0)</f>
        <v/>
      </c>
      <c r="DT115">
        <f>IF(AND(INDEX('設定'!$B$11:$B$16,DT2)&lt;&gt;"",DT3&lt;='設定'!$B$6),1,0)</f>
        <v/>
      </c>
      <c r="DU115">
        <f>IF(AND(INDEX('設定'!$B$11:$B$16,DU2)&lt;&gt;"",DU3&lt;='設定'!$B$6),1,0)</f>
        <v/>
      </c>
      <c r="DV115">
        <f>IF(AND(INDEX('設定'!$B$11:$B$16,DV2)&lt;&gt;"",DV3&lt;='設定'!$B$6),1,0)</f>
        <v/>
      </c>
      <c r="DW115">
        <f>IF(AND(INDEX('設定'!$B$11:$B$16,DW2)&lt;&gt;"",DW3&lt;='設定'!$B$6),1,0)</f>
        <v/>
      </c>
      <c r="DX115">
        <f>IF(AND(INDEX('設定'!$B$11:$B$16,DX2)&lt;&gt;"",DX3&lt;='設定'!$B$6),1,0)</f>
        <v/>
      </c>
      <c r="DY115">
        <f>IF(AND(INDEX('設定'!$B$11:$B$16,DY2)&lt;&gt;"",DY3&lt;='設定'!$B$6),1,0)</f>
        <v/>
      </c>
      <c r="DZ115">
        <f>IF(AND(INDEX('設定'!$B$11:$B$16,DZ2)&lt;&gt;"",DZ3&lt;='設定'!$B$6),1,0)</f>
        <v/>
      </c>
      <c r="EA115">
        <f>IF(AND(INDEX('設定'!$B$11:$B$16,EA2)&lt;&gt;"",EA3&lt;='設定'!$B$6),1,0)</f>
        <v/>
      </c>
      <c r="EB115">
        <f>IF(AND(INDEX('設定'!$B$11:$B$16,EB2)&lt;&gt;"",EB3&lt;='設定'!$B$6),1,0)</f>
        <v/>
      </c>
      <c r="EC115">
        <f>IF(AND(INDEX('設定'!$B$11:$B$16,EC2)&lt;&gt;"",EC3&lt;='設定'!$B$6),1,0)</f>
        <v/>
      </c>
      <c r="ED115">
        <f>IF(AND(INDEX('設定'!$B$11:$B$16,ED2)&lt;&gt;"",ED3&lt;='設定'!$B$6),1,0)</f>
        <v/>
      </c>
      <c r="EE115">
        <f>IF(AND(INDEX('設定'!$B$11:$B$16,EE2)&lt;&gt;"",EE3&lt;='設定'!$B$6),1,0)</f>
        <v/>
      </c>
      <c r="EF115">
        <f>IF(AND(INDEX('設定'!$B$11:$B$16,EF2)&lt;&gt;"",EF3&lt;='設定'!$B$6),1,0)</f>
        <v/>
      </c>
      <c r="EG115">
        <f>IF(AND(INDEX('設定'!$B$11:$B$16,EG2)&lt;&gt;"",EG3&lt;='設定'!$B$6),1,0)</f>
        <v/>
      </c>
      <c r="EH115">
        <f>IF(AND(INDEX('設定'!$B$11:$B$16,EH2)&lt;&gt;"",EH3&lt;='設定'!$B$6),1,0)</f>
        <v/>
      </c>
      <c r="EI115">
        <f>IF(AND(INDEX('設定'!$B$11:$B$16,EI2)&lt;&gt;"",EI3&lt;='設定'!$B$6),1,0)</f>
        <v/>
      </c>
      <c r="EJ115">
        <f>IF(AND(INDEX('設定'!$B$11:$B$16,EJ2)&lt;&gt;"",EJ3&lt;='設定'!$B$6),1,0)</f>
        <v/>
      </c>
      <c r="EK115">
        <f>IF(AND(INDEX('設定'!$B$11:$B$16,EK2)&lt;&gt;"",EK3&lt;='設定'!$B$6),1,0)</f>
        <v/>
      </c>
      <c r="EL115">
        <f>IF(AND(INDEX('設定'!$B$11:$B$16,EL2)&lt;&gt;"",EL3&lt;='設定'!$B$6),1,0)</f>
        <v/>
      </c>
      <c r="EM115">
        <f>IF(AND(INDEX('設定'!$B$11:$B$16,EM2)&lt;&gt;"",EM3&lt;='設定'!$B$6),1,0)</f>
        <v/>
      </c>
      <c r="EN115">
        <f>IF(AND(INDEX('設定'!$B$11:$B$16,EN2)&lt;&gt;"",EN3&lt;='設定'!$B$6),1,0)</f>
        <v/>
      </c>
      <c r="EO115">
        <f>IF(AND(INDEX('設定'!$B$11:$B$16,EO2)&lt;&gt;"",EO3&lt;='設定'!$B$6),1,0)</f>
        <v/>
      </c>
      <c r="EP115">
        <f>IF(AND(INDEX('設定'!$B$11:$B$16,EP2)&lt;&gt;"",EP3&lt;='設定'!$B$6),1,0)</f>
        <v/>
      </c>
      <c r="EQ115">
        <f>IF(AND(INDEX('設定'!$B$11:$B$16,EQ2)&lt;&gt;"",EQ3&lt;='設定'!$B$6),1,0)</f>
        <v/>
      </c>
    </row>
    <row r="116">
      <c r="C116" t="inlineStr">
        <is>
          <t>自動Bで空ける</t>
        </is>
      </c>
      <c r="D116">
        <f>IF(COUNTIF('calcC'!$G$3:$G$47,1)&gt;0,1,0)</f>
        <v/>
      </c>
      <c r="E116">
        <f>IF(COUNTIF('calcC'!$G$3:$G$47,2)&gt;0,1,0)</f>
        <v/>
      </c>
      <c r="F116">
        <f>IF(COUNTIF('calcC'!$G$3:$G$47,3)&gt;0,1,0)</f>
        <v/>
      </c>
      <c r="G116">
        <f>IF(COUNTIF('calcC'!$G$3:$G$47,4)&gt;0,1,0)</f>
        <v/>
      </c>
      <c r="H116">
        <f>IF(COUNTIF('calcC'!$G$3:$G$47,5)&gt;0,1,0)</f>
        <v/>
      </c>
      <c r="I116">
        <f>IF(COUNTIF('calcC'!$G$3:$G$47,6)&gt;0,1,0)</f>
        <v/>
      </c>
      <c r="J116">
        <f>IF(COUNTIF('calcC'!$G$3:$G$47,7)&gt;0,1,0)</f>
        <v/>
      </c>
      <c r="K116">
        <f>IF(COUNTIF('calcC'!$G$3:$G$47,8)&gt;0,1,0)</f>
        <v/>
      </c>
      <c r="L116">
        <f>IF(COUNTIF('calcC'!$G$3:$G$47,9)&gt;0,1,0)</f>
        <v/>
      </c>
      <c r="M116">
        <f>IF(COUNTIF('calcC'!$G$3:$G$47,10)&gt;0,1,0)</f>
        <v/>
      </c>
      <c r="N116">
        <f>IF(COUNTIF('calcC'!$G$3:$G$47,11)&gt;0,1,0)</f>
        <v/>
      </c>
      <c r="O116">
        <f>IF(COUNTIF('calcC'!$G$3:$G$47,12)&gt;0,1,0)</f>
        <v/>
      </c>
      <c r="P116">
        <f>IF(COUNTIF('calcC'!$G$3:$G$47,13)&gt;0,1,0)</f>
        <v/>
      </c>
      <c r="Q116">
        <f>IF(COUNTIF('calcC'!$G$3:$G$47,14)&gt;0,1,0)</f>
        <v/>
      </c>
      <c r="R116">
        <f>IF(COUNTIF('calcC'!$G$3:$G$47,15)&gt;0,1,0)</f>
        <v/>
      </c>
      <c r="S116">
        <f>IF(COUNTIF('calcC'!$G$3:$G$47,16)&gt;0,1,0)</f>
        <v/>
      </c>
      <c r="T116">
        <f>IF(COUNTIF('calcC'!$G$3:$G$47,17)&gt;0,1,0)</f>
        <v/>
      </c>
      <c r="U116">
        <f>IF(COUNTIF('calcC'!$G$3:$G$47,18)&gt;0,1,0)</f>
        <v/>
      </c>
      <c r="V116">
        <f>IF(COUNTIF('calcC'!$G$3:$G$47,19)&gt;0,1,0)</f>
        <v/>
      </c>
      <c r="W116">
        <f>IF(COUNTIF('calcC'!$G$3:$G$47,20)&gt;0,1,0)</f>
        <v/>
      </c>
      <c r="X116">
        <f>IF(COUNTIF('calcC'!$G$3:$G$47,21)&gt;0,1,0)</f>
        <v/>
      </c>
      <c r="Y116">
        <f>IF(COUNTIF('calcC'!$G$3:$G$47,22)&gt;0,1,0)</f>
        <v/>
      </c>
      <c r="Z116">
        <f>IF(COUNTIF('calcC'!$G$3:$G$47,23)&gt;0,1,0)</f>
        <v/>
      </c>
      <c r="AA116">
        <f>IF(COUNTIF('calcC'!$G$3:$G$47,24)&gt;0,1,0)</f>
        <v/>
      </c>
      <c r="AB116">
        <f>IF(COUNTIF('calcC'!$G$3:$G$47,25)&gt;0,1,0)</f>
        <v/>
      </c>
      <c r="AC116">
        <f>IF(COUNTIF('calcC'!$G$3:$G$47,26)&gt;0,1,0)</f>
        <v/>
      </c>
      <c r="AD116">
        <f>IF(COUNTIF('calcC'!$G$3:$G$47,27)&gt;0,1,0)</f>
        <v/>
      </c>
      <c r="AE116">
        <f>IF(COUNTIF('calcC'!$G$3:$G$47,28)&gt;0,1,0)</f>
        <v/>
      </c>
      <c r="AF116">
        <f>IF(COUNTIF('calcC'!$G$3:$G$47,29)&gt;0,1,0)</f>
        <v/>
      </c>
      <c r="AG116">
        <f>IF(COUNTIF('calcC'!$G$3:$G$47,30)&gt;0,1,0)</f>
        <v/>
      </c>
      <c r="AH116">
        <f>IF(COUNTIF('calcC'!$G$3:$G$47,31)&gt;0,1,0)</f>
        <v/>
      </c>
      <c r="AI116">
        <f>IF(COUNTIF('calcC'!$G$3:$G$47,32)&gt;0,1,0)</f>
        <v/>
      </c>
      <c r="AJ116">
        <f>IF(COUNTIF('calcC'!$G$3:$G$47,33)&gt;0,1,0)</f>
        <v/>
      </c>
      <c r="AK116">
        <f>IF(COUNTIF('calcC'!$G$3:$G$47,34)&gt;0,1,0)</f>
        <v/>
      </c>
      <c r="AL116">
        <f>IF(COUNTIF('calcC'!$G$3:$G$47,35)&gt;0,1,0)</f>
        <v/>
      </c>
      <c r="AM116">
        <f>IF(COUNTIF('calcC'!$G$3:$G$47,36)&gt;0,1,0)</f>
        <v/>
      </c>
      <c r="AN116">
        <f>IF(COUNTIF('calcC'!$G$3:$G$47,37)&gt;0,1,0)</f>
        <v/>
      </c>
      <c r="AO116">
        <f>IF(COUNTIF('calcC'!$G$3:$G$47,38)&gt;0,1,0)</f>
        <v/>
      </c>
      <c r="AP116">
        <f>IF(COUNTIF('calcC'!$G$3:$G$47,39)&gt;0,1,0)</f>
        <v/>
      </c>
      <c r="AQ116">
        <f>IF(COUNTIF('calcC'!$G$3:$G$47,40)&gt;0,1,0)</f>
        <v/>
      </c>
      <c r="AR116">
        <f>IF(COUNTIF('calcC'!$G$3:$G$47,41)&gt;0,1,0)</f>
        <v/>
      </c>
      <c r="AS116">
        <f>IF(COUNTIF('calcC'!$G$3:$G$47,42)&gt;0,1,0)</f>
        <v/>
      </c>
      <c r="AT116">
        <f>IF(COUNTIF('calcC'!$G$3:$G$47,43)&gt;0,1,0)</f>
        <v/>
      </c>
      <c r="AU116">
        <f>IF(COUNTIF('calcC'!$G$3:$G$47,44)&gt;0,1,0)</f>
        <v/>
      </c>
      <c r="AV116">
        <f>IF(COUNTIF('calcC'!$G$3:$G$47,45)&gt;0,1,0)</f>
        <v/>
      </c>
      <c r="AW116">
        <f>IF(COUNTIF('calcC'!$G$3:$G$47,46)&gt;0,1,0)</f>
        <v/>
      </c>
      <c r="AX116">
        <f>IF(COUNTIF('calcC'!$G$3:$G$47,47)&gt;0,1,0)</f>
        <v/>
      </c>
      <c r="AY116">
        <f>IF(COUNTIF('calcC'!$G$3:$G$47,48)&gt;0,1,0)</f>
        <v/>
      </c>
      <c r="AZ116">
        <f>IF(COUNTIF('calcC'!$G$3:$G$47,49)&gt;0,1,0)</f>
        <v/>
      </c>
      <c r="BA116">
        <f>IF(COUNTIF('calcC'!$G$3:$G$47,50)&gt;0,1,0)</f>
        <v/>
      </c>
      <c r="BB116">
        <f>IF(COUNTIF('calcC'!$G$3:$G$47,51)&gt;0,1,0)</f>
        <v/>
      </c>
      <c r="BC116">
        <f>IF(COUNTIF('calcC'!$G$3:$G$47,52)&gt;0,1,0)</f>
        <v/>
      </c>
      <c r="BD116">
        <f>IF(COUNTIF('calcC'!$G$3:$G$47,53)&gt;0,1,0)</f>
        <v/>
      </c>
      <c r="BE116">
        <f>IF(COUNTIF('calcC'!$G$3:$G$47,54)&gt;0,1,0)</f>
        <v/>
      </c>
      <c r="BF116">
        <f>IF(COUNTIF('calcC'!$G$3:$G$47,55)&gt;0,1,0)</f>
        <v/>
      </c>
      <c r="BG116">
        <f>IF(COUNTIF('calcC'!$G$3:$G$47,56)&gt;0,1,0)</f>
        <v/>
      </c>
      <c r="BH116">
        <f>IF(COUNTIF('calcC'!$G$3:$G$47,57)&gt;0,1,0)</f>
        <v/>
      </c>
      <c r="BI116">
        <f>IF(COUNTIF('calcC'!$G$3:$G$47,58)&gt;0,1,0)</f>
        <v/>
      </c>
      <c r="BJ116">
        <f>IF(COUNTIF('calcC'!$G$3:$G$47,59)&gt;0,1,0)</f>
        <v/>
      </c>
      <c r="BK116">
        <f>IF(COUNTIF('calcC'!$G$3:$G$47,60)&gt;0,1,0)</f>
        <v/>
      </c>
      <c r="BL116">
        <f>IF(COUNTIF('calcC'!$G$3:$G$47,61)&gt;0,1,0)</f>
        <v/>
      </c>
      <c r="BM116">
        <f>IF(COUNTIF('calcC'!$G$3:$G$47,62)&gt;0,1,0)</f>
        <v/>
      </c>
      <c r="BN116">
        <f>IF(COUNTIF('calcC'!$G$3:$G$47,63)&gt;0,1,0)</f>
        <v/>
      </c>
      <c r="BO116">
        <f>IF(COUNTIF('calcC'!$G$3:$G$47,64)&gt;0,1,0)</f>
        <v/>
      </c>
      <c r="BP116">
        <f>IF(COUNTIF('calcC'!$G$3:$G$47,65)&gt;0,1,0)</f>
        <v/>
      </c>
      <c r="BQ116">
        <f>IF(COUNTIF('calcC'!$G$3:$G$47,66)&gt;0,1,0)</f>
        <v/>
      </c>
      <c r="BR116">
        <f>IF(COUNTIF('calcC'!$G$3:$G$47,67)&gt;0,1,0)</f>
        <v/>
      </c>
      <c r="BS116">
        <f>IF(COUNTIF('calcC'!$G$3:$G$47,68)&gt;0,1,0)</f>
        <v/>
      </c>
      <c r="BT116">
        <f>IF(COUNTIF('calcC'!$G$3:$G$47,69)&gt;0,1,0)</f>
        <v/>
      </c>
      <c r="BU116">
        <f>IF(COUNTIF('calcC'!$G$3:$G$47,70)&gt;0,1,0)</f>
        <v/>
      </c>
      <c r="BV116">
        <f>IF(COUNTIF('calcC'!$G$3:$G$47,71)&gt;0,1,0)</f>
        <v/>
      </c>
      <c r="BW116">
        <f>IF(COUNTIF('calcC'!$G$3:$G$47,72)&gt;0,1,0)</f>
        <v/>
      </c>
      <c r="BX116">
        <f>IF(COUNTIF('calcC'!$G$3:$G$47,73)&gt;0,1,0)</f>
        <v/>
      </c>
      <c r="BY116">
        <f>IF(COUNTIF('calcC'!$G$3:$G$47,74)&gt;0,1,0)</f>
        <v/>
      </c>
      <c r="BZ116">
        <f>IF(COUNTIF('calcC'!$G$3:$G$47,75)&gt;0,1,0)</f>
        <v/>
      </c>
      <c r="CA116">
        <f>IF(COUNTIF('calcC'!$G$3:$G$47,76)&gt;0,1,0)</f>
        <v/>
      </c>
      <c r="CB116">
        <f>IF(COUNTIF('calcC'!$G$3:$G$47,77)&gt;0,1,0)</f>
        <v/>
      </c>
      <c r="CC116">
        <f>IF(COUNTIF('calcC'!$G$3:$G$47,78)&gt;0,1,0)</f>
        <v/>
      </c>
      <c r="CD116">
        <f>IF(COUNTIF('calcC'!$G$3:$G$47,79)&gt;0,1,0)</f>
        <v/>
      </c>
      <c r="CE116">
        <f>IF(COUNTIF('calcC'!$G$3:$G$47,80)&gt;0,1,0)</f>
        <v/>
      </c>
      <c r="CF116">
        <f>IF(COUNTIF('calcC'!$G$3:$G$47,81)&gt;0,1,0)</f>
        <v/>
      </c>
      <c r="CG116">
        <f>IF(COUNTIF('calcC'!$G$3:$G$47,82)&gt;0,1,0)</f>
        <v/>
      </c>
      <c r="CH116">
        <f>IF(COUNTIF('calcC'!$G$3:$G$47,83)&gt;0,1,0)</f>
        <v/>
      </c>
      <c r="CI116">
        <f>IF(COUNTIF('calcC'!$G$3:$G$47,84)&gt;0,1,0)</f>
        <v/>
      </c>
      <c r="CJ116">
        <f>IF(COUNTIF('calcC'!$G$3:$G$47,85)&gt;0,1,0)</f>
        <v/>
      </c>
      <c r="CK116">
        <f>IF(COUNTIF('calcC'!$G$3:$G$47,86)&gt;0,1,0)</f>
        <v/>
      </c>
      <c r="CL116">
        <f>IF(COUNTIF('calcC'!$G$3:$G$47,87)&gt;0,1,0)</f>
        <v/>
      </c>
      <c r="CM116">
        <f>IF(COUNTIF('calcC'!$G$3:$G$47,88)&gt;0,1,0)</f>
        <v/>
      </c>
      <c r="CN116">
        <f>IF(COUNTIF('calcC'!$G$3:$G$47,89)&gt;0,1,0)</f>
        <v/>
      </c>
      <c r="CO116">
        <f>IF(COUNTIF('calcC'!$G$3:$G$47,90)&gt;0,1,0)</f>
        <v/>
      </c>
      <c r="CP116">
        <f>IF(COUNTIF('calcC'!$G$3:$G$47,91)&gt;0,1,0)</f>
        <v/>
      </c>
      <c r="CQ116">
        <f>IF(COUNTIF('calcC'!$G$3:$G$47,92)&gt;0,1,0)</f>
        <v/>
      </c>
      <c r="CR116">
        <f>IF(COUNTIF('calcC'!$G$3:$G$47,93)&gt;0,1,0)</f>
        <v/>
      </c>
      <c r="CS116">
        <f>IF(COUNTIF('calcC'!$G$3:$G$47,94)&gt;0,1,0)</f>
        <v/>
      </c>
      <c r="CT116">
        <f>IF(COUNTIF('calcC'!$G$3:$G$47,95)&gt;0,1,0)</f>
        <v/>
      </c>
      <c r="CU116">
        <f>IF(COUNTIF('calcC'!$G$3:$G$47,96)&gt;0,1,0)</f>
        <v/>
      </c>
      <c r="CV116">
        <f>IF(COUNTIF('calcC'!$G$3:$G$47,97)&gt;0,1,0)</f>
        <v/>
      </c>
      <c r="CW116">
        <f>IF(COUNTIF('calcC'!$G$3:$G$47,98)&gt;0,1,0)</f>
        <v/>
      </c>
      <c r="CX116">
        <f>IF(COUNTIF('calcC'!$G$3:$G$47,99)&gt;0,1,0)</f>
        <v/>
      </c>
      <c r="CY116">
        <f>IF(COUNTIF('calcC'!$G$3:$G$47,100)&gt;0,1,0)</f>
        <v/>
      </c>
      <c r="CZ116">
        <f>IF(COUNTIF('calcC'!$G$3:$G$47,101)&gt;0,1,0)</f>
        <v/>
      </c>
      <c r="DA116">
        <f>IF(COUNTIF('calcC'!$G$3:$G$47,102)&gt;0,1,0)</f>
        <v/>
      </c>
      <c r="DB116">
        <f>IF(COUNTIF('calcC'!$G$3:$G$47,103)&gt;0,1,0)</f>
        <v/>
      </c>
      <c r="DC116">
        <f>IF(COUNTIF('calcC'!$G$3:$G$47,104)&gt;0,1,0)</f>
        <v/>
      </c>
      <c r="DD116">
        <f>IF(COUNTIF('calcC'!$G$3:$G$47,105)&gt;0,1,0)</f>
        <v/>
      </c>
      <c r="DE116">
        <f>IF(COUNTIF('calcC'!$G$3:$G$47,106)&gt;0,1,0)</f>
        <v/>
      </c>
      <c r="DF116">
        <f>IF(COUNTIF('calcC'!$G$3:$G$47,107)&gt;0,1,0)</f>
        <v/>
      </c>
      <c r="DG116">
        <f>IF(COUNTIF('calcC'!$G$3:$G$47,108)&gt;0,1,0)</f>
        <v/>
      </c>
      <c r="DH116">
        <f>IF(COUNTIF('calcC'!$G$3:$G$47,109)&gt;0,1,0)</f>
        <v/>
      </c>
      <c r="DI116">
        <f>IF(COUNTIF('calcC'!$G$3:$G$47,110)&gt;0,1,0)</f>
        <v/>
      </c>
      <c r="DJ116">
        <f>IF(COUNTIF('calcC'!$G$3:$G$47,111)&gt;0,1,0)</f>
        <v/>
      </c>
      <c r="DK116">
        <f>IF(COUNTIF('calcC'!$G$3:$G$47,112)&gt;0,1,0)</f>
        <v/>
      </c>
      <c r="DL116">
        <f>IF(COUNTIF('calcC'!$G$3:$G$47,113)&gt;0,1,0)</f>
        <v/>
      </c>
      <c r="DM116">
        <f>IF(COUNTIF('calcC'!$G$3:$G$47,114)&gt;0,1,0)</f>
        <v/>
      </c>
      <c r="DN116">
        <f>IF(COUNTIF('calcC'!$G$3:$G$47,115)&gt;0,1,0)</f>
        <v/>
      </c>
      <c r="DO116">
        <f>IF(COUNTIF('calcC'!$G$3:$G$47,116)&gt;0,1,0)</f>
        <v/>
      </c>
      <c r="DP116">
        <f>IF(COUNTIF('calcC'!$G$3:$G$47,117)&gt;0,1,0)</f>
        <v/>
      </c>
      <c r="DQ116">
        <f>IF(COUNTIF('calcC'!$G$3:$G$47,118)&gt;0,1,0)</f>
        <v/>
      </c>
      <c r="DR116">
        <f>IF(COUNTIF('calcC'!$G$3:$G$47,119)&gt;0,1,0)</f>
        <v/>
      </c>
      <c r="DS116">
        <f>IF(COUNTIF('calcC'!$G$3:$G$47,120)&gt;0,1,0)</f>
        <v/>
      </c>
      <c r="DT116">
        <f>IF(COUNTIF('calcC'!$G$3:$G$47,121)&gt;0,1,0)</f>
        <v/>
      </c>
      <c r="DU116">
        <f>IF(COUNTIF('calcC'!$G$3:$G$47,122)&gt;0,1,0)</f>
        <v/>
      </c>
      <c r="DV116">
        <f>IF(COUNTIF('calcC'!$G$3:$G$47,123)&gt;0,1,0)</f>
        <v/>
      </c>
      <c r="DW116">
        <f>IF(COUNTIF('calcC'!$G$3:$G$47,124)&gt;0,1,0)</f>
        <v/>
      </c>
      <c r="DX116">
        <f>IF(COUNTIF('calcC'!$G$3:$G$47,125)&gt;0,1,0)</f>
        <v/>
      </c>
      <c r="DY116">
        <f>IF(COUNTIF('calcC'!$G$3:$G$47,126)&gt;0,1,0)</f>
        <v/>
      </c>
      <c r="DZ116">
        <f>IF(COUNTIF('calcC'!$G$3:$G$47,127)&gt;0,1,0)</f>
        <v/>
      </c>
      <c r="EA116">
        <f>IF(COUNTIF('calcC'!$G$3:$G$47,128)&gt;0,1,0)</f>
        <v/>
      </c>
      <c r="EB116">
        <f>IF(COUNTIF('calcC'!$G$3:$G$47,129)&gt;0,1,0)</f>
        <v/>
      </c>
      <c r="EC116">
        <f>IF(COUNTIF('calcC'!$G$3:$G$47,130)&gt;0,1,0)</f>
        <v/>
      </c>
      <c r="ED116">
        <f>IF(COUNTIF('calcC'!$G$3:$G$47,131)&gt;0,1,0)</f>
        <v/>
      </c>
      <c r="EE116">
        <f>IF(COUNTIF('calcC'!$G$3:$G$47,132)&gt;0,1,0)</f>
        <v/>
      </c>
      <c r="EF116">
        <f>IF(COUNTIF('calcC'!$G$3:$G$47,133)&gt;0,1,0)</f>
        <v/>
      </c>
      <c r="EG116">
        <f>IF(COUNTIF('calcC'!$G$3:$G$47,134)&gt;0,1,0)</f>
        <v/>
      </c>
      <c r="EH116">
        <f>IF(COUNTIF('calcC'!$G$3:$G$47,135)&gt;0,1,0)</f>
        <v/>
      </c>
      <c r="EI116">
        <f>IF(COUNTIF('calcC'!$G$3:$G$47,136)&gt;0,1,0)</f>
        <v/>
      </c>
      <c r="EJ116">
        <f>IF(COUNTIF('calcC'!$G$3:$G$47,137)&gt;0,1,0)</f>
        <v/>
      </c>
      <c r="EK116">
        <f>IF(COUNTIF('calcC'!$G$3:$G$47,138)&gt;0,1,0)</f>
        <v/>
      </c>
      <c r="EL116">
        <f>IF(COUNTIF('calcC'!$G$3:$G$47,139)&gt;0,1,0)</f>
        <v/>
      </c>
      <c r="EM116">
        <f>IF(COUNTIF('calcC'!$G$3:$G$47,140)&gt;0,1,0)</f>
        <v/>
      </c>
      <c r="EN116">
        <f>IF(COUNTIF('calcC'!$G$3:$G$47,141)&gt;0,1,0)</f>
        <v/>
      </c>
      <c r="EO116">
        <f>IF(COUNTIF('calcC'!$G$3:$G$47,142)&gt;0,1,0)</f>
        <v/>
      </c>
      <c r="EP116">
        <f>IF(COUNTIF('calcC'!$G$3:$G$47,143)&gt;0,1,0)</f>
        <v/>
      </c>
      <c r="EQ116">
        <f>IF(COUNTIF('calcC'!$G$3:$G$47,144)&gt;0,1,0)</f>
        <v/>
      </c>
    </row>
    <row r="117">
      <c r="C117" t="inlineStr">
        <is>
          <t>時間として次の枠</t>
        </is>
      </c>
      <c r="D117">
        <f>IF(AND(D115=1,E115=1,OR(D3&lt;&gt;$A$3,$A$4=0)),1,0)</f>
        <v/>
      </c>
      <c r="E117">
        <f>IF(AND(E115=1,F115=1,OR(E3&lt;&gt;$A$3,$A$4=0)),1,0)</f>
        <v/>
      </c>
      <c r="F117">
        <f>IF(AND(F115=1,G115=1,OR(F3&lt;&gt;$A$3,$A$4=0)),1,0)</f>
        <v/>
      </c>
      <c r="G117">
        <f>IF(AND(G115=1,H115=1,OR(G3&lt;&gt;$A$3,$A$4=0)),1,0)</f>
        <v/>
      </c>
      <c r="H117">
        <f>IF(AND(H115=1,I115=1,OR(H3&lt;&gt;$A$3,$A$4=0)),1,0)</f>
        <v/>
      </c>
      <c r="I117">
        <f>IF(AND(I115=1,J115=1,OR(I3&lt;&gt;$A$3,$A$4=0)),1,0)</f>
        <v/>
      </c>
      <c r="J117">
        <f>IF(AND(J115=1,K115=1,OR(J3&lt;&gt;$A$3,$A$4=0)),1,0)</f>
        <v/>
      </c>
      <c r="K117">
        <f>IF(AND(K115=1,L115=1,OR(K3&lt;&gt;$A$3,$A$4=0)),1,0)</f>
        <v/>
      </c>
      <c r="L117">
        <f>IF(AND(L115=1,M115=1,OR(L3&lt;&gt;$A$3,$A$4=0)),1,0)</f>
        <v/>
      </c>
      <c r="M117">
        <f>IF(AND(M115=1,N115=1,OR(M3&lt;&gt;$A$3,$A$4=0)),1,0)</f>
        <v/>
      </c>
      <c r="N117">
        <f>IF(AND(N115=1,O115=1,OR(N3&lt;&gt;$A$3,$A$4=0)),1,0)</f>
        <v/>
      </c>
      <c r="O117">
        <f>IF(AND(O115=1,P115=1,OR(O3&lt;&gt;$A$3,$A$4=0)),1,0)</f>
        <v/>
      </c>
      <c r="P117">
        <f>IF(AND(P115=1,Q115=1,OR(P3&lt;&gt;$A$3,$A$4=0)),1,0)</f>
        <v/>
      </c>
      <c r="Q117">
        <f>IF(AND(Q115=1,R115=1,OR(Q3&lt;&gt;$A$3,$A$4=0)),1,0)</f>
        <v/>
      </c>
      <c r="R117">
        <f>IF(AND(R115=1,S115=1,OR(R3&lt;&gt;$A$3,$A$4=0)),1,0)</f>
        <v/>
      </c>
      <c r="S117">
        <f>IF(AND(S115=1,T115=1,OR(S3&lt;&gt;$A$3,$A$4=0)),1,0)</f>
        <v/>
      </c>
      <c r="T117">
        <f>IF(AND(T115=1,U115=1,OR(T3&lt;&gt;$A$3,$A$4=0)),1,0)</f>
        <v/>
      </c>
      <c r="U117">
        <f>IF(AND(U115=1,V115=1,OR(U3&lt;&gt;$A$3,$A$4=0)),1,0)</f>
        <v/>
      </c>
      <c r="V117">
        <f>IF(AND(V115=1,W115=1,OR(V3&lt;&gt;$A$3,$A$4=0)),1,0)</f>
        <v/>
      </c>
      <c r="W117">
        <f>IF(AND(W115=1,X115=1,OR(W3&lt;&gt;$A$3,$A$4=0)),1,0)</f>
        <v/>
      </c>
      <c r="X117">
        <f>IF(AND(X115=1,Y115=1,OR(X3&lt;&gt;$A$3,$A$4=0)),1,0)</f>
        <v/>
      </c>
      <c r="Y117">
        <f>IF(AND(Y115=1,Z115=1,OR(Y3&lt;&gt;$A$3,$A$4=0)),1,0)</f>
        <v/>
      </c>
      <c r="Z117">
        <f>IF(AND(Z115=1,AA115=1,OR(Z3&lt;&gt;$A$3,$A$4=0)),1,0)</f>
        <v/>
      </c>
      <c r="AA117" t="n">
        <v>0</v>
      </c>
      <c r="AB117">
        <f>IF(AND(AB115=1,AC115=1,OR(AB3&lt;&gt;$A$3,$A$4=0)),1,0)</f>
        <v/>
      </c>
      <c r="AC117">
        <f>IF(AND(AC115=1,AD115=1,OR(AC3&lt;&gt;$A$3,$A$4=0)),1,0)</f>
        <v/>
      </c>
      <c r="AD117">
        <f>IF(AND(AD115=1,AE115=1,OR(AD3&lt;&gt;$A$3,$A$4=0)),1,0)</f>
        <v/>
      </c>
      <c r="AE117">
        <f>IF(AND(AE115=1,AF115=1,OR(AE3&lt;&gt;$A$3,$A$4=0)),1,0)</f>
        <v/>
      </c>
      <c r="AF117">
        <f>IF(AND(AF115=1,AG115=1,OR(AF3&lt;&gt;$A$3,$A$4=0)),1,0)</f>
        <v/>
      </c>
      <c r="AG117">
        <f>IF(AND(AG115=1,AH115=1,OR(AG3&lt;&gt;$A$3,$A$4=0)),1,0)</f>
        <v/>
      </c>
      <c r="AH117">
        <f>IF(AND(AH115=1,AI115=1,OR(AH3&lt;&gt;$A$3,$A$4=0)),1,0)</f>
        <v/>
      </c>
      <c r="AI117">
        <f>IF(AND(AI115=1,AJ115=1,OR(AI3&lt;&gt;$A$3,$A$4=0)),1,0)</f>
        <v/>
      </c>
      <c r="AJ117">
        <f>IF(AND(AJ115=1,AK115=1,OR(AJ3&lt;&gt;$A$3,$A$4=0)),1,0)</f>
        <v/>
      </c>
      <c r="AK117">
        <f>IF(AND(AK115=1,AL115=1,OR(AK3&lt;&gt;$A$3,$A$4=0)),1,0)</f>
        <v/>
      </c>
      <c r="AL117">
        <f>IF(AND(AL115=1,AM115=1,OR(AL3&lt;&gt;$A$3,$A$4=0)),1,0)</f>
        <v/>
      </c>
      <c r="AM117">
        <f>IF(AND(AM115=1,AN115=1,OR(AM3&lt;&gt;$A$3,$A$4=0)),1,0)</f>
        <v/>
      </c>
      <c r="AN117">
        <f>IF(AND(AN115=1,AO115=1,OR(AN3&lt;&gt;$A$3,$A$4=0)),1,0)</f>
        <v/>
      </c>
      <c r="AO117">
        <f>IF(AND(AO115=1,AP115=1,OR(AO3&lt;&gt;$A$3,$A$4=0)),1,0)</f>
        <v/>
      </c>
      <c r="AP117">
        <f>IF(AND(AP115=1,AQ115=1,OR(AP3&lt;&gt;$A$3,$A$4=0)),1,0)</f>
        <v/>
      </c>
      <c r="AQ117">
        <f>IF(AND(AQ115=1,AR115=1,OR(AQ3&lt;&gt;$A$3,$A$4=0)),1,0)</f>
        <v/>
      </c>
      <c r="AR117">
        <f>IF(AND(AR115=1,AS115=1,OR(AR3&lt;&gt;$A$3,$A$4=0)),1,0)</f>
        <v/>
      </c>
      <c r="AS117">
        <f>IF(AND(AS115=1,AT115=1,OR(AS3&lt;&gt;$A$3,$A$4=0)),1,0)</f>
        <v/>
      </c>
      <c r="AT117">
        <f>IF(AND(AT115=1,AU115=1,OR(AT3&lt;&gt;$A$3,$A$4=0)),1,0)</f>
        <v/>
      </c>
      <c r="AU117">
        <f>IF(AND(AU115=1,AV115=1,OR(AU3&lt;&gt;$A$3,$A$4=0)),1,0)</f>
        <v/>
      </c>
      <c r="AV117">
        <f>IF(AND(AV115=1,AW115=1,OR(AV3&lt;&gt;$A$3,$A$4=0)),1,0)</f>
        <v/>
      </c>
      <c r="AW117">
        <f>IF(AND(AW115=1,AX115=1,OR(AW3&lt;&gt;$A$3,$A$4=0)),1,0)</f>
        <v/>
      </c>
      <c r="AX117">
        <f>IF(AND(AX115=1,AY115=1,OR(AX3&lt;&gt;$A$3,$A$4=0)),1,0)</f>
        <v/>
      </c>
      <c r="AY117" t="n">
        <v>0</v>
      </c>
      <c r="AZ117">
        <f>IF(AND(AZ115=1,BA115=1,OR(AZ3&lt;&gt;$A$3,$A$4=0)),1,0)</f>
        <v/>
      </c>
      <c r="BA117">
        <f>IF(AND(BA115=1,BB115=1,OR(BA3&lt;&gt;$A$3,$A$4=0)),1,0)</f>
        <v/>
      </c>
      <c r="BB117">
        <f>IF(AND(BB115=1,BC115=1,OR(BB3&lt;&gt;$A$3,$A$4=0)),1,0)</f>
        <v/>
      </c>
      <c r="BC117">
        <f>IF(AND(BC115=1,BD115=1,OR(BC3&lt;&gt;$A$3,$A$4=0)),1,0)</f>
        <v/>
      </c>
      <c r="BD117">
        <f>IF(AND(BD115=1,BE115=1,OR(BD3&lt;&gt;$A$3,$A$4=0)),1,0)</f>
        <v/>
      </c>
      <c r="BE117">
        <f>IF(AND(BE115=1,BF115=1,OR(BE3&lt;&gt;$A$3,$A$4=0)),1,0)</f>
        <v/>
      </c>
      <c r="BF117">
        <f>IF(AND(BF115=1,BG115=1,OR(BF3&lt;&gt;$A$3,$A$4=0)),1,0)</f>
        <v/>
      </c>
      <c r="BG117">
        <f>IF(AND(BG115=1,BH115=1,OR(BG3&lt;&gt;$A$3,$A$4=0)),1,0)</f>
        <v/>
      </c>
      <c r="BH117">
        <f>IF(AND(BH115=1,BI115=1,OR(BH3&lt;&gt;$A$3,$A$4=0)),1,0)</f>
        <v/>
      </c>
      <c r="BI117">
        <f>IF(AND(BI115=1,BJ115=1,OR(BI3&lt;&gt;$A$3,$A$4=0)),1,0)</f>
        <v/>
      </c>
      <c r="BJ117">
        <f>IF(AND(BJ115=1,BK115=1,OR(BJ3&lt;&gt;$A$3,$A$4=0)),1,0)</f>
        <v/>
      </c>
      <c r="BK117">
        <f>IF(AND(BK115=1,BL115=1,OR(BK3&lt;&gt;$A$3,$A$4=0)),1,0)</f>
        <v/>
      </c>
      <c r="BL117">
        <f>IF(AND(BL115=1,BM115=1,OR(BL3&lt;&gt;$A$3,$A$4=0)),1,0)</f>
        <v/>
      </c>
      <c r="BM117">
        <f>IF(AND(BM115=1,BN115=1,OR(BM3&lt;&gt;$A$3,$A$4=0)),1,0)</f>
        <v/>
      </c>
      <c r="BN117">
        <f>IF(AND(BN115=1,BO115=1,OR(BN3&lt;&gt;$A$3,$A$4=0)),1,0)</f>
        <v/>
      </c>
      <c r="BO117">
        <f>IF(AND(BO115=1,BP115=1,OR(BO3&lt;&gt;$A$3,$A$4=0)),1,0)</f>
        <v/>
      </c>
      <c r="BP117">
        <f>IF(AND(BP115=1,BQ115=1,OR(BP3&lt;&gt;$A$3,$A$4=0)),1,0)</f>
        <v/>
      </c>
      <c r="BQ117">
        <f>IF(AND(BQ115=1,BR115=1,OR(BQ3&lt;&gt;$A$3,$A$4=0)),1,0)</f>
        <v/>
      </c>
      <c r="BR117">
        <f>IF(AND(BR115=1,BS115=1,OR(BR3&lt;&gt;$A$3,$A$4=0)),1,0)</f>
        <v/>
      </c>
      <c r="BS117">
        <f>IF(AND(BS115=1,BT115=1,OR(BS3&lt;&gt;$A$3,$A$4=0)),1,0)</f>
        <v/>
      </c>
      <c r="BT117">
        <f>IF(AND(BT115=1,BU115=1,OR(BT3&lt;&gt;$A$3,$A$4=0)),1,0)</f>
        <v/>
      </c>
      <c r="BU117">
        <f>IF(AND(BU115=1,BV115=1,OR(BU3&lt;&gt;$A$3,$A$4=0)),1,0)</f>
        <v/>
      </c>
      <c r="BV117">
        <f>IF(AND(BV115=1,BW115=1,OR(BV3&lt;&gt;$A$3,$A$4=0)),1,0)</f>
        <v/>
      </c>
      <c r="BW117" t="n">
        <v>0</v>
      </c>
      <c r="BX117">
        <f>IF(AND(BX115=1,BY115=1,OR(BX3&lt;&gt;$A$3,$A$4=0)),1,0)</f>
        <v/>
      </c>
      <c r="BY117">
        <f>IF(AND(BY115=1,BZ115=1,OR(BY3&lt;&gt;$A$3,$A$4=0)),1,0)</f>
        <v/>
      </c>
      <c r="BZ117">
        <f>IF(AND(BZ115=1,CA115=1,OR(BZ3&lt;&gt;$A$3,$A$4=0)),1,0)</f>
        <v/>
      </c>
      <c r="CA117">
        <f>IF(AND(CA115=1,CB115=1,OR(CA3&lt;&gt;$A$3,$A$4=0)),1,0)</f>
        <v/>
      </c>
      <c r="CB117">
        <f>IF(AND(CB115=1,CC115=1,OR(CB3&lt;&gt;$A$3,$A$4=0)),1,0)</f>
        <v/>
      </c>
      <c r="CC117">
        <f>IF(AND(CC115=1,CD115=1,OR(CC3&lt;&gt;$A$3,$A$4=0)),1,0)</f>
        <v/>
      </c>
      <c r="CD117">
        <f>IF(AND(CD115=1,CE115=1,OR(CD3&lt;&gt;$A$3,$A$4=0)),1,0)</f>
        <v/>
      </c>
      <c r="CE117">
        <f>IF(AND(CE115=1,CF115=1,OR(CE3&lt;&gt;$A$3,$A$4=0)),1,0)</f>
        <v/>
      </c>
      <c r="CF117">
        <f>IF(AND(CF115=1,CG115=1,OR(CF3&lt;&gt;$A$3,$A$4=0)),1,0)</f>
        <v/>
      </c>
      <c r="CG117">
        <f>IF(AND(CG115=1,CH115=1,OR(CG3&lt;&gt;$A$3,$A$4=0)),1,0)</f>
        <v/>
      </c>
      <c r="CH117">
        <f>IF(AND(CH115=1,CI115=1,OR(CH3&lt;&gt;$A$3,$A$4=0)),1,0)</f>
        <v/>
      </c>
      <c r="CI117">
        <f>IF(AND(CI115=1,CJ115=1,OR(CI3&lt;&gt;$A$3,$A$4=0)),1,0)</f>
        <v/>
      </c>
      <c r="CJ117">
        <f>IF(AND(CJ115=1,CK115=1,OR(CJ3&lt;&gt;$A$3,$A$4=0)),1,0)</f>
        <v/>
      </c>
      <c r="CK117">
        <f>IF(AND(CK115=1,CL115=1,OR(CK3&lt;&gt;$A$3,$A$4=0)),1,0)</f>
        <v/>
      </c>
      <c r="CL117">
        <f>IF(AND(CL115=1,CM115=1,OR(CL3&lt;&gt;$A$3,$A$4=0)),1,0)</f>
        <v/>
      </c>
      <c r="CM117">
        <f>IF(AND(CM115=1,CN115=1,OR(CM3&lt;&gt;$A$3,$A$4=0)),1,0)</f>
        <v/>
      </c>
      <c r="CN117">
        <f>IF(AND(CN115=1,CO115=1,OR(CN3&lt;&gt;$A$3,$A$4=0)),1,0)</f>
        <v/>
      </c>
      <c r="CO117">
        <f>IF(AND(CO115=1,CP115=1,OR(CO3&lt;&gt;$A$3,$A$4=0)),1,0)</f>
        <v/>
      </c>
      <c r="CP117">
        <f>IF(AND(CP115=1,CQ115=1,OR(CP3&lt;&gt;$A$3,$A$4=0)),1,0)</f>
        <v/>
      </c>
      <c r="CQ117">
        <f>IF(AND(CQ115=1,CR115=1,OR(CQ3&lt;&gt;$A$3,$A$4=0)),1,0)</f>
        <v/>
      </c>
      <c r="CR117">
        <f>IF(AND(CR115=1,CS115=1,OR(CR3&lt;&gt;$A$3,$A$4=0)),1,0)</f>
        <v/>
      </c>
      <c r="CS117">
        <f>IF(AND(CS115=1,CT115=1,OR(CS3&lt;&gt;$A$3,$A$4=0)),1,0)</f>
        <v/>
      </c>
      <c r="CT117">
        <f>IF(AND(CT115=1,CU115=1,OR(CT3&lt;&gt;$A$3,$A$4=0)),1,0)</f>
        <v/>
      </c>
      <c r="CU117" t="n">
        <v>0</v>
      </c>
      <c r="CV117">
        <f>IF(AND(CV115=1,CW115=1,OR(CV3&lt;&gt;$A$3,$A$4=0)),1,0)</f>
        <v/>
      </c>
      <c r="CW117">
        <f>IF(AND(CW115=1,CX115=1,OR(CW3&lt;&gt;$A$3,$A$4=0)),1,0)</f>
        <v/>
      </c>
      <c r="CX117">
        <f>IF(AND(CX115=1,CY115=1,OR(CX3&lt;&gt;$A$3,$A$4=0)),1,0)</f>
        <v/>
      </c>
      <c r="CY117">
        <f>IF(AND(CY115=1,CZ115=1,OR(CY3&lt;&gt;$A$3,$A$4=0)),1,0)</f>
        <v/>
      </c>
      <c r="CZ117">
        <f>IF(AND(CZ115=1,DA115=1,OR(CZ3&lt;&gt;$A$3,$A$4=0)),1,0)</f>
        <v/>
      </c>
      <c r="DA117">
        <f>IF(AND(DA115=1,DB115=1,OR(DA3&lt;&gt;$A$3,$A$4=0)),1,0)</f>
        <v/>
      </c>
      <c r="DB117">
        <f>IF(AND(DB115=1,DC115=1,OR(DB3&lt;&gt;$A$3,$A$4=0)),1,0)</f>
        <v/>
      </c>
      <c r="DC117">
        <f>IF(AND(DC115=1,DD115=1,OR(DC3&lt;&gt;$A$3,$A$4=0)),1,0)</f>
        <v/>
      </c>
      <c r="DD117">
        <f>IF(AND(DD115=1,DE115=1,OR(DD3&lt;&gt;$A$3,$A$4=0)),1,0)</f>
        <v/>
      </c>
      <c r="DE117">
        <f>IF(AND(DE115=1,DF115=1,OR(DE3&lt;&gt;$A$3,$A$4=0)),1,0)</f>
        <v/>
      </c>
      <c r="DF117">
        <f>IF(AND(DF115=1,DG115=1,OR(DF3&lt;&gt;$A$3,$A$4=0)),1,0)</f>
        <v/>
      </c>
      <c r="DG117">
        <f>IF(AND(DG115=1,DH115=1,OR(DG3&lt;&gt;$A$3,$A$4=0)),1,0)</f>
        <v/>
      </c>
      <c r="DH117">
        <f>IF(AND(DH115=1,DI115=1,OR(DH3&lt;&gt;$A$3,$A$4=0)),1,0)</f>
        <v/>
      </c>
      <c r="DI117">
        <f>IF(AND(DI115=1,DJ115=1,OR(DI3&lt;&gt;$A$3,$A$4=0)),1,0)</f>
        <v/>
      </c>
      <c r="DJ117">
        <f>IF(AND(DJ115=1,DK115=1,OR(DJ3&lt;&gt;$A$3,$A$4=0)),1,0)</f>
        <v/>
      </c>
      <c r="DK117">
        <f>IF(AND(DK115=1,DL115=1,OR(DK3&lt;&gt;$A$3,$A$4=0)),1,0)</f>
        <v/>
      </c>
      <c r="DL117">
        <f>IF(AND(DL115=1,DM115=1,OR(DL3&lt;&gt;$A$3,$A$4=0)),1,0)</f>
        <v/>
      </c>
      <c r="DM117">
        <f>IF(AND(DM115=1,DN115=1,OR(DM3&lt;&gt;$A$3,$A$4=0)),1,0)</f>
        <v/>
      </c>
      <c r="DN117">
        <f>IF(AND(DN115=1,DO115=1,OR(DN3&lt;&gt;$A$3,$A$4=0)),1,0)</f>
        <v/>
      </c>
      <c r="DO117">
        <f>IF(AND(DO115=1,DP115=1,OR(DO3&lt;&gt;$A$3,$A$4=0)),1,0)</f>
        <v/>
      </c>
      <c r="DP117">
        <f>IF(AND(DP115=1,DQ115=1,OR(DP3&lt;&gt;$A$3,$A$4=0)),1,0)</f>
        <v/>
      </c>
      <c r="DQ117">
        <f>IF(AND(DQ115=1,DR115=1,OR(DQ3&lt;&gt;$A$3,$A$4=0)),1,0)</f>
        <v/>
      </c>
      <c r="DR117">
        <f>IF(AND(DR115=1,DS115=1,OR(DR3&lt;&gt;$A$3,$A$4=0)),1,0)</f>
        <v/>
      </c>
      <c r="DS117" t="n">
        <v>0</v>
      </c>
      <c r="DT117">
        <f>IF(AND(DT115=1,DU115=1,OR(DT3&lt;&gt;$A$3,$A$4=0)),1,0)</f>
        <v/>
      </c>
      <c r="DU117">
        <f>IF(AND(DU115=1,DV115=1,OR(DU3&lt;&gt;$A$3,$A$4=0)),1,0)</f>
        <v/>
      </c>
      <c r="DV117">
        <f>IF(AND(DV115=1,DW115=1,OR(DV3&lt;&gt;$A$3,$A$4=0)),1,0)</f>
        <v/>
      </c>
      <c r="DW117">
        <f>IF(AND(DW115=1,DX115=1,OR(DW3&lt;&gt;$A$3,$A$4=0)),1,0)</f>
        <v/>
      </c>
      <c r="DX117">
        <f>IF(AND(DX115=1,DY115=1,OR(DX3&lt;&gt;$A$3,$A$4=0)),1,0)</f>
        <v/>
      </c>
      <c r="DY117">
        <f>IF(AND(DY115=1,DZ115=1,OR(DY3&lt;&gt;$A$3,$A$4=0)),1,0)</f>
        <v/>
      </c>
      <c r="DZ117">
        <f>IF(AND(DZ115=1,EA115=1,OR(DZ3&lt;&gt;$A$3,$A$4=0)),1,0)</f>
        <v/>
      </c>
      <c r="EA117">
        <f>IF(AND(EA115=1,EB115=1,OR(EA3&lt;&gt;$A$3,$A$4=0)),1,0)</f>
        <v/>
      </c>
      <c r="EB117">
        <f>IF(AND(EB115=1,EC115=1,OR(EB3&lt;&gt;$A$3,$A$4=0)),1,0)</f>
        <v/>
      </c>
      <c r="EC117">
        <f>IF(AND(EC115=1,ED115=1,OR(EC3&lt;&gt;$A$3,$A$4=0)),1,0)</f>
        <v/>
      </c>
      <c r="ED117">
        <f>IF(AND(ED115=1,EE115=1,OR(ED3&lt;&gt;$A$3,$A$4=0)),1,0)</f>
        <v/>
      </c>
      <c r="EE117">
        <f>IF(AND(EE115=1,EF115=1,OR(EE3&lt;&gt;$A$3,$A$4=0)),1,0)</f>
        <v/>
      </c>
      <c r="EF117">
        <f>IF(AND(EF115=1,EG115=1,OR(EF3&lt;&gt;$A$3,$A$4=0)),1,0)</f>
        <v/>
      </c>
      <c r="EG117">
        <f>IF(AND(EG115=1,EH115=1,OR(EG3&lt;&gt;$A$3,$A$4=0)),1,0)</f>
        <v/>
      </c>
      <c r="EH117">
        <f>IF(AND(EH115=1,EI115=1,OR(EH3&lt;&gt;$A$3,$A$4=0)),1,0)</f>
        <v/>
      </c>
      <c r="EI117">
        <f>IF(AND(EI115=1,EJ115=1,OR(EI3&lt;&gt;$A$3,$A$4=0)),1,0)</f>
        <v/>
      </c>
      <c r="EJ117">
        <f>IF(AND(EJ115=1,EK115=1,OR(EJ3&lt;&gt;$A$3,$A$4=0)),1,0)</f>
        <v/>
      </c>
      <c r="EK117">
        <f>IF(AND(EK115=1,EL115=1,OR(EK3&lt;&gt;$A$3,$A$4=0)),1,0)</f>
        <v/>
      </c>
      <c r="EL117">
        <f>IF(AND(EL115=1,EM115=1,OR(EL3&lt;&gt;$A$3,$A$4=0)),1,0)</f>
        <v/>
      </c>
      <c r="EM117">
        <f>IF(AND(EM115=1,EN115=1,OR(EM3&lt;&gt;$A$3,$A$4=0)),1,0)</f>
        <v/>
      </c>
      <c r="EN117">
        <f>IF(AND(EN115=1,EO115=1,OR(EN3&lt;&gt;$A$3,$A$4=0)),1,0)</f>
        <v/>
      </c>
      <c r="EO117">
        <f>IF(AND(EO115=1,EP115=1,OR(EO3&lt;&gt;$A$3,$A$4=0)),1,0)</f>
        <v/>
      </c>
      <c r="EP117">
        <f>IF(AND(EP115=1,EQ115=1,OR(EP3&lt;&gt;$A$3,$A$4=0)),1,0)</f>
        <v/>
      </c>
      <c r="EQ117" t="n">
        <v>0</v>
      </c>
    </row>
    <row r="118">
      <c r="C118" t="inlineStr">
        <is>
          <t>空けない人がいる</t>
        </is>
      </c>
      <c r="D118">
        <f>IF(INDEX('調整・決定'!$C$6:$H$29,D3,D2)="",0,IF(IFERROR(INDEX('名簿'!$D$5:$D$49,MATCH(INDEX('調整・決定'!$C$6:$H$29,D3,D2),'名簿'!$P$5:$P$49,0)),"")="空けない",1,0))</f>
        <v/>
      </c>
      <c r="E118">
        <f>IF(INDEX('調整・決定'!$C$6:$H$29,E3,E2)="",0,IF(IFERROR(INDEX('名簿'!$D$5:$D$49,MATCH(INDEX('調整・決定'!$C$6:$H$29,E3,E2),'名簿'!$P$5:$P$49,0)),"")="空けない",1,0))</f>
        <v/>
      </c>
      <c r="F118">
        <f>IF(INDEX('調整・決定'!$C$6:$H$29,F3,F2)="",0,IF(IFERROR(INDEX('名簿'!$D$5:$D$49,MATCH(INDEX('調整・決定'!$C$6:$H$29,F3,F2),'名簿'!$P$5:$P$49,0)),"")="空けない",1,0))</f>
        <v/>
      </c>
      <c r="G118">
        <f>IF(INDEX('調整・決定'!$C$6:$H$29,G3,G2)="",0,IF(IFERROR(INDEX('名簿'!$D$5:$D$49,MATCH(INDEX('調整・決定'!$C$6:$H$29,G3,G2),'名簿'!$P$5:$P$49,0)),"")="空けない",1,0))</f>
        <v/>
      </c>
      <c r="H118">
        <f>IF(INDEX('調整・決定'!$C$6:$H$29,H3,H2)="",0,IF(IFERROR(INDEX('名簿'!$D$5:$D$49,MATCH(INDEX('調整・決定'!$C$6:$H$29,H3,H2),'名簿'!$P$5:$P$49,0)),"")="空けない",1,0))</f>
        <v/>
      </c>
      <c r="I118">
        <f>IF(INDEX('調整・決定'!$C$6:$H$29,I3,I2)="",0,IF(IFERROR(INDEX('名簿'!$D$5:$D$49,MATCH(INDEX('調整・決定'!$C$6:$H$29,I3,I2),'名簿'!$P$5:$P$49,0)),"")="空けない",1,0))</f>
        <v/>
      </c>
      <c r="J118">
        <f>IF(INDEX('調整・決定'!$C$6:$H$29,J3,J2)="",0,IF(IFERROR(INDEX('名簿'!$D$5:$D$49,MATCH(INDEX('調整・決定'!$C$6:$H$29,J3,J2),'名簿'!$P$5:$P$49,0)),"")="空けない",1,0))</f>
        <v/>
      </c>
      <c r="K118">
        <f>IF(INDEX('調整・決定'!$C$6:$H$29,K3,K2)="",0,IF(IFERROR(INDEX('名簿'!$D$5:$D$49,MATCH(INDEX('調整・決定'!$C$6:$H$29,K3,K2),'名簿'!$P$5:$P$49,0)),"")="空けない",1,0))</f>
        <v/>
      </c>
      <c r="L118">
        <f>IF(INDEX('調整・決定'!$C$6:$H$29,L3,L2)="",0,IF(IFERROR(INDEX('名簿'!$D$5:$D$49,MATCH(INDEX('調整・決定'!$C$6:$H$29,L3,L2),'名簿'!$P$5:$P$49,0)),"")="空けない",1,0))</f>
        <v/>
      </c>
      <c r="M118">
        <f>IF(INDEX('調整・決定'!$C$6:$H$29,M3,M2)="",0,IF(IFERROR(INDEX('名簿'!$D$5:$D$49,MATCH(INDEX('調整・決定'!$C$6:$H$29,M3,M2),'名簿'!$P$5:$P$49,0)),"")="空けない",1,0))</f>
        <v/>
      </c>
      <c r="N118">
        <f>IF(INDEX('調整・決定'!$C$6:$H$29,N3,N2)="",0,IF(IFERROR(INDEX('名簿'!$D$5:$D$49,MATCH(INDEX('調整・決定'!$C$6:$H$29,N3,N2),'名簿'!$P$5:$P$49,0)),"")="空けない",1,0))</f>
        <v/>
      </c>
      <c r="O118">
        <f>IF(INDEX('調整・決定'!$C$6:$H$29,O3,O2)="",0,IF(IFERROR(INDEX('名簿'!$D$5:$D$49,MATCH(INDEX('調整・決定'!$C$6:$H$29,O3,O2),'名簿'!$P$5:$P$49,0)),"")="空けない",1,0))</f>
        <v/>
      </c>
      <c r="P118">
        <f>IF(INDEX('調整・決定'!$C$6:$H$29,P3,P2)="",0,IF(IFERROR(INDEX('名簿'!$D$5:$D$49,MATCH(INDEX('調整・決定'!$C$6:$H$29,P3,P2),'名簿'!$P$5:$P$49,0)),"")="空けない",1,0))</f>
        <v/>
      </c>
      <c r="Q118">
        <f>IF(INDEX('調整・決定'!$C$6:$H$29,Q3,Q2)="",0,IF(IFERROR(INDEX('名簿'!$D$5:$D$49,MATCH(INDEX('調整・決定'!$C$6:$H$29,Q3,Q2),'名簿'!$P$5:$P$49,0)),"")="空けない",1,0))</f>
        <v/>
      </c>
      <c r="R118">
        <f>IF(INDEX('調整・決定'!$C$6:$H$29,R3,R2)="",0,IF(IFERROR(INDEX('名簿'!$D$5:$D$49,MATCH(INDEX('調整・決定'!$C$6:$H$29,R3,R2),'名簿'!$P$5:$P$49,0)),"")="空けない",1,0))</f>
        <v/>
      </c>
      <c r="S118">
        <f>IF(INDEX('調整・決定'!$C$6:$H$29,S3,S2)="",0,IF(IFERROR(INDEX('名簿'!$D$5:$D$49,MATCH(INDEX('調整・決定'!$C$6:$H$29,S3,S2),'名簿'!$P$5:$P$49,0)),"")="空けない",1,0))</f>
        <v/>
      </c>
      <c r="T118">
        <f>IF(INDEX('調整・決定'!$C$6:$H$29,T3,T2)="",0,IF(IFERROR(INDEX('名簿'!$D$5:$D$49,MATCH(INDEX('調整・決定'!$C$6:$H$29,T3,T2),'名簿'!$P$5:$P$49,0)),"")="空けない",1,0))</f>
        <v/>
      </c>
      <c r="U118">
        <f>IF(INDEX('調整・決定'!$C$6:$H$29,U3,U2)="",0,IF(IFERROR(INDEX('名簿'!$D$5:$D$49,MATCH(INDEX('調整・決定'!$C$6:$H$29,U3,U2),'名簿'!$P$5:$P$49,0)),"")="空けない",1,0))</f>
        <v/>
      </c>
      <c r="V118">
        <f>IF(INDEX('調整・決定'!$C$6:$H$29,V3,V2)="",0,IF(IFERROR(INDEX('名簿'!$D$5:$D$49,MATCH(INDEX('調整・決定'!$C$6:$H$29,V3,V2),'名簿'!$P$5:$P$49,0)),"")="空けない",1,0))</f>
        <v/>
      </c>
      <c r="W118">
        <f>IF(INDEX('調整・決定'!$C$6:$H$29,W3,W2)="",0,IF(IFERROR(INDEX('名簿'!$D$5:$D$49,MATCH(INDEX('調整・決定'!$C$6:$H$29,W3,W2),'名簿'!$P$5:$P$49,0)),"")="空けない",1,0))</f>
        <v/>
      </c>
      <c r="X118">
        <f>IF(INDEX('調整・決定'!$C$6:$H$29,X3,X2)="",0,IF(IFERROR(INDEX('名簿'!$D$5:$D$49,MATCH(INDEX('調整・決定'!$C$6:$H$29,X3,X2),'名簿'!$P$5:$P$49,0)),"")="空けない",1,0))</f>
        <v/>
      </c>
      <c r="Y118">
        <f>IF(INDEX('調整・決定'!$C$6:$H$29,Y3,Y2)="",0,IF(IFERROR(INDEX('名簿'!$D$5:$D$49,MATCH(INDEX('調整・決定'!$C$6:$H$29,Y3,Y2),'名簿'!$P$5:$P$49,0)),"")="空けない",1,0))</f>
        <v/>
      </c>
      <c r="Z118">
        <f>IF(INDEX('調整・決定'!$C$6:$H$29,Z3,Z2)="",0,IF(IFERROR(INDEX('名簿'!$D$5:$D$49,MATCH(INDEX('調整・決定'!$C$6:$H$29,Z3,Z2),'名簿'!$P$5:$P$49,0)),"")="空けない",1,0))</f>
        <v/>
      </c>
      <c r="AA118">
        <f>IF(INDEX('調整・決定'!$C$6:$H$29,AA3,AA2)="",0,IF(IFERROR(INDEX('名簿'!$D$5:$D$49,MATCH(INDEX('調整・決定'!$C$6:$H$29,AA3,AA2),'名簿'!$P$5:$P$49,0)),"")="空けない",1,0))</f>
        <v/>
      </c>
      <c r="AB118">
        <f>IF(INDEX('調整・決定'!$C$6:$H$29,AB3,AB2)="",0,IF(IFERROR(INDEX('名簿'!$D$5:$D$49,MATCH(INDEX('調整・決定'!$C$6:$H$29,AB3,AB2),'名簿'!$P$5:$P$49,0)),"")="空けない",1,0))</f>
        <v/>
      </c>
      <c r="AC118">
        <f>IF(INDEX('調整・決定'!$C$6:$H$29,AC3,AC2)="",0,IF(IFERROR(INDEX('名簿'!$D$5:$D$49,MATCH(INDEX('調整・決定'!$C$6:$H$29,AC3,AC2),'名簿'!$P$5:$P$49,0)),"")="空けない",1,0))</f>
        <v/>
      </c>
      <c r="AD118">
        <f>IF(INDEX('調整・決定'!$C$6:$H$29,AD3,AD2)="",0,IF(IFERROR(INDEX('名簿'!$D$5:$D$49,MATCH(INDEX('調整・決定'!$C$6:$H$29,AD3,AD2),'名簿'!$P$5:$P$49,0)),"")="空けない",1,0))</f>
        <v/>
      </c>
      <c r="AE118">
        <f>IF(INDEX('調整・決定'!$C$6:$H$29,AE3,AE2)="",0,IF(IFERROR(INDEX('名簿'!$D$5:$D$49,MATCH(INDEX('調整・決定'!$C$6:$H$29,AE3,AE2),'名簿'!$P$5:$P$49,0)),"")="空けない",1,0))</f>
        <v/>
      </c>
      <c r="AF118">
        <f>IF(INDEX('調整・決定'!$C$6:$H$29,AF3,AF2)="",0,IF(IFERROR(INDEX('名簿'!$D$5:$D$49,MATCH(INDEX('調整・決定'!$C$6:$H$29,AF3,AF2),'名簿'!$P$5:$P$49,0)),"")="空けない",1,0))</f>
        <v/>
      </c>
      <c r="AG118">
        <f>IF(INDEX('調整・決定'!$C$6:$H$29,AG3,AG2)="",0,IF(IFERROR(INDEX('名簿'!$D$5:$D$49,MATCH(INDEX('調整・決定'!$C$6:$H$29,AG3,AG2),'名簿'!$P$5:$P$49,0)),"")="空けない",1,0))</f>
        <v/>
      </c>
      <c r="AH118">
        <f>IF(INDEX('調整・決定'!$C$6:$H$29,AH3,AH2)="",0,IF(IFERROR(INDEX('名簿'!$D$5:$D$49,MATCH(INDEX('調整・決定'!$C$6:$H$29,AH3,AH2),'名簿'!$P$5:$P$49,0)),"")="空けない",1,0))</f>
        <v/>
      </c>
      <c r="AI118">
        <f>IF(INDEX('調整・決定'!$C$6:$H$29,AI3,AI2)="",0,IF(IFERROR(INDEX('名簿'!$D$5:$D$49,MATCH(INDEX('調整・決定'!$C$6:$H$29,AI3,AI2),'名簿'!$P$5:$P$49,0)),"")="空けない",1,0))</f>
        <v/>
      </c>
      <c r="AJ118">
        <f>IF(INDEX('調整・決定'!$C$6:$H$29,AJ3,AJ2)="",0,IF(IFERROR(INDEX('名簿'!$D$5:$D$49,MATCH(INDEX('調整・決定'!$C$6:$H$29,AJ3,AJ2),'名簿'!$P$5:$P$49,0)),"")="空けない",1,0))</f>
        <v/>
      </c>
      <c r="AK118">
        <f>IF(INDEX('調整・決定'!$C$6:$H$29,AK3,AK2)="",0,IF(IFERROR(INDEX('名簿'!$D$5:$D$49,MATCH(INDEX('調整・決定'!$C$6:$H$29,AK3,AK2),'名簿'!$P$5:$P$49,0)),"")="空けない",1,0))</f>
        <v/>
      </c>
      <c r="AL118">
        <f>IF(INDEX('調整・決定'!$C$6:$H$29,AL3,AL2)="",0,IF(IFERROR(INDEX('名簿'!$D$5:$D$49,MATCH(INDEX('調整・決定'!$C$6:$H$29,AL3,AL2),'名簿'!$P$5:$P$49,0)),"")="空けない",1,0))</f>
        <v/>
      </c>
      <c r="AM118">
        <f>IF(INDEX('調整・決定'!$C$6:$H$29,AM3,AM2)="",0,IF(IFERROR(INDEX('名簿'!$D$5:$D$49,MATCH(INDEX('調整・決定'!$C$6:$H$29,AM3,AM2),'名簿'!$P$5:$P$49,0)),"")="空けない",1,0))</f>
        <v/>
      </c>
      <c r="AN118">
        <f>IF(INDEX('調整・決定'!$C$6:$H$29,AN3,AN2)="",0,IF(IFERROR(INDEX('名簿'!$D$5:$D$49,MATCH(INDEX('調整・決定'!$C$6:$H$29,AN3,AN2),'名簿'!$P$5:$P$49,0)),"")="空けない",1,0))</f>
        <v/>
      </c>
      <c r="AO118">
        <f>IF(INDEX('調整・決定'!$C$6:$H$29,AO3,AO2)="",0,IF(IFERROR(INDEX('名簿'!$D$5:$D$49,MATCH(INDEX('調整・決定'!$C$6:$H$29,AO3,AO2),'名簿'!$P$5:$P$49,0)),"")="空けない",1,0))</f>
        <v/>
      </c>
      <c r="AP118">
        <f>IF(INDEX('調整・決定'!$C$6:$H$29,AP3,AP2)="",0,IF(IFERROR(INDEX('名簿'!$D$5:$D$49,MATCH(INDEX('調整・決定'!$C$6:$H$29,AP3,AP2),'名簿'!$P$5:$P$49,0)),"")="空けない",1,0))</f>
        <v/>
      </c>
      <c r="AQ118">
        <f>IF(INDEX('調整・決定'!$C$6:$H$29,AQ3,AQ2)="",0,IF(IFERROR(INDEX('名簿'!$D$5:$D$49,MATCH(INDEX('調整・決定'!$C$6:$H$29,AQ3,AQ2),'名簿'!$P$5:$P$49,0)),"")="空けない",1,0))</f>
        <v/>
      </c>
      <c r="AR118">
        <f>IF(INDEX('調整・決定'!$C$6:$H$29,AR3,AR2)="",0,IF(IFERROR(INDEX('名簿'!$D$5:$D$49,MATCH(INDEX('調整・決定'!$C$6:$H$29,AR3,AR2),'名簿'!$P$5:$P$49,0)),"")="空けない",1,0))</f>
        <v/>
      </c>
      <c r="AS118">
        <f>IF(INDEX('調整・決定'!$C$6:$H$29,AS3,AS2)="",0,IF(IFERROR(INDEX('名簿'!$D$5:$D$49,MATCH(INDEX('調整・決定'!$C$6:$H$29,AS3,AS2),'名簿'!$P$5:$P$49,0)),"")="空けない",1,0))</f>
        <v/>
      </c>
      <c r="AT118">
        <f>IF(INDEX('調整・決定'!$C$6:$H$29,AT3,AT2)="",0,IF(IFERROR(INDEX('名簿'!$D$5:$D$49,MATCH(INDEX('調整・決定'!$C$6:$H$29,AT3,AT2),'名簿'!$P$5:$P$49,0)),"")="空けない",1,0))</f>
        <v/>
      </c>
      <c r="AU118">
        <f>IF(INDEX('調整・決定'!$C$6:$H$29,AU3,AU2)="",0,IF(IFERROR(INDEX('名簿'!$D$5:$D$49,MATCH(INDEX('調整・決定'!$C$6:$H$29,AU3,AU2),'名簿'!$P$5:$P$49,0)),"")="空けない",1,0))</f>
        <v/>
      </c>
      <c r="AV118">
        <f>IF(INDEX('調整・決定'!$C$6:$H$29,AV3,AV2)="",0,IF(IFERROR(INDEX('名簿'!$D$5:$D$49,MATCH(INDEX('調整・決定'!$C$6:$H$29,AV3,AV2),'名簿'!$P$5:$P$49,0)),"")="空けない",1,0))</f>
        <v/>
      </c>
      <c r="AW118">
        <f>IF(INDEX('調整・決定'!$C$6:$H$29,AW3,AW2)="",0,IF(IFERROR(INDEX('名簿'!$D$5:$D$49,MATCH(INDEX('調整・決定'!$C$6:$H$29,AW3,AW2),'名簿'!$P$5:$P$49,0)),"")="空けない",1,0))</f>
        <v/>
      </c>
      <c r="AX118">
        <f>IF(INDEX('調整・決定'!$C$6:$H$29,AX3,AX2)="",0,IF(IFERROR(INDEX('名簿'!$D$5:$D$49,MATCH(INDEX('調整・決定'!$C$6:$H$29,AX3,AX2),'名簿'!$P$5:$P$49,0)),"")="空けない",1,0))</f>
        <v/>
      </c>
      <c r="AY118">
        <f>IF(INDEX('調整・決定'!$C$6:$H$29,AY3,AY2)="",0,IF(IFERROR(INDEX('名簿'!$D$5:$D$49,MATCH(INDEX('調整・決定'!$C$6:$H$29,AY3,AY2),'名簿'!$P$5:$P$49,0)),"")="空けない",1,0))</f>
        <v/>
      </c>
      <c r="AZ118">
        <f>IF(INDEX('調整・決定'!$C$6:$H$29,AZ3,AZ2)="",0,IF(IFERROR(INDEX('名簿'!$D$5:$D$49,MATCH(INDEX('調整・決定'!$C$6:$H$29,AZ3,AZ2),'名簿'!$P$5:$P$49,0)),"")="空けない",1,0))</f>
        <v/>
      </c>
      <c r="BA118">
        <f>IF(INDEX('調整・決定'!$C$6:$H$29,BA3,BA2)="",0,IF(IFERROR(INDEX('名簿'!$D$5:$D$49,MATCH(INDEX('調整・決定'!$C$6:$H$29,BA3,BA2),'名簿'!$P$5:$P$49,0)),"")="空けない",1,0))</f>
        <v/>
      </c>
      <c r="BB118">
        <f>IF(INDEX('調整・決定'!$C$6:$H$29,BB3,BB2)="",0,IF(IFERROR(INDEX('名簿'!$D$5:$D$49,MATCH(INDEX('調整・決定'!$C$6:$H$29,BB3,BB2),'名簿'!$P$5:$P$49,0)),"")="空けない",1,0))</f>
        <v/>
      </c>
      <c r="BC118">
        <f>IF(INDEX('調整・決定'!$C$6:$H$29,BC3,BC2)="",0,IF(IFERROR(INDEX('名簿'!$D$5:$D$49,MATCH(INDEX('調整・決定'!$C$6:$H$29,BC3,BC2),'名簿'!$P$5:$P$49,0)),"")="空けない",1,0))</f>
        <v/>
      </c>
      <c r="BD118">
        <f>IF(INDEX('調整・決定'!$C$6:$H$29,BD3,BD2)="",0,IF(IFERROR(INDEX('名簿'!$D$5:$D$49,MATCH(INDEX('調整・決定'!$C$6:$H$29,BD3,BD2),'名簿'!$P$5:$P$49,0)),"")="空けない",1,0))</f>
        <v/>
      </c>
      <c r="BE118">
        <f>IF(INDEX('調整・決定'!$C$6:$H$29,BE3,BE2)="",0,IF(IFERROR(INDEX('名簿'!$D$5:$D$49,MATCH(INDEX('調整・決定'!$C$6:$H$29,BE3,BE2),'名簿'!$P$5:$P$49,0)),"")="空けない",1,0))</f>
        <v/>
      </c>
      <c r="BF118">
        <f>IF(INDEX('調整・決定'!$C$6:$H$29,BF3,BF2)="",0,IF(IFERROR(INDEX('名簿'!$D$5:$D$49,MATCH(INDEX('調整・決定'!$C$6:$H$29,BF3,BF2),'名簿'!$P$5:$P$49,0)),"")="空けない",1,0))</f>
        <v/>
      </c>
      <c r="BG118">
        <f>IF(INDEX('調整・決定'!$C$6:$H$29,BG3,BG2)="",0,IF(IFERROR(INDEX('名簿'!$D$5:$D$49,MATCH(INDEX('調整・決定'!$C$6:$H$29,BG3,BG2),'名簿'!$P$5:$P$49,0)),"")="空けない",1,0))</f>
        <v/>
      </c>
      <c r="BH118">
        <f>IF(INDEX('調整・決定'!$C$6:$H$29,BH3,BH2)="",0,IF(IFERROR(INDEX('名簿'!$D$5:$D$49,MATCH(INDEX('調整・決定'!$C$6:$H$29,BH3,BH2),'名簿'!$P$5:$P$49,0)),"")="空けない",1,0))</f>
        <v/>
      </c>
      <c r="BI118">
        <f>IF(INDEX('調整・決定'!$C$6:$H$29,BI3,BI2)="",0,IF(IFERROR(INDEX('名簿'!$D$5:$D$49,MATCH(INDEX('調整・決定'!$C$6:$H$29,BI3,BI2),'名簿'!$P$5:$P$49,0)),"")="空けない",1,0))</f>
        <v/>
      </c>
      <c r="BJ118">
        <f>IF(INDEX('調整・決定'!$C$6:$H$29,BJ3,BJ2)="",0,IF(IFERROR(INDEX('名簿'!$D$5:$D$49,MATCH(INDEX('調整・決定'!$C$6:$H$29,BJ3,BJ2),'名簿'!$P$5:$P$49,0)),"")="空けない",1,0))</f>
        <v/>
      </c>
      <c r="BK118">
        <f>IF(INDEX('調整・決定'!$C$6:$H$29,BK3,BK2)="",0,IF(IFERROR(INDEX('名簿'!$D$5:$D$49,MATCH(INDEX('調整・決定'!$C$6:$H$29,BK3,BK2),'名簿'!$P$5:$P$49,0)),"")="空けない",1,0))</f>
        <v/>
      </c>
      <c r="BL118">
        <f>IF(INDEX('調整・決定'!$C$6:$H$29,BL3,BL2)="",0,IF(IFERROR(INDEX('名簿'!$D$5:$D$49,MATCH(INDEX('調整・決定'!$C$6:$H$29,BL3,BL2),'名簿'!$P$5:$P$49,0)),"")="空けない",1,0))</f>
        <v/>
      </c>
      <c r="BM118">
        <f>IF(INDEX('調整・決定'!$C$6:$H$29,BM3,BM2)="",0,IF(IFERROR(INDEX('名簿'!$D$5:$D$49,MATCH(INDEX('調整・決定'!$C$6:$H$29,BM3,BM2),'名簿'!$P$5:$P$49,0)),"")="空けない",1,0))</f>
        <v/>
      </c>
      <c r="BN118">
        <f>IF(INDEX('調整・決定'!$C$6:$H$29,BN3,BN2)="",0,IF(IFERROR(INDEX('名簿'!$D$5:$D$49,MATCH(INDEX('調整・決定'!$C$6:$H$29,BN3,BN2),'名簿'!$P$5:$P$49,0)),"")="空けない",1,0))</f>
        <v/>
      </c>
      <c r="BO118">
        <f>IF(INDEX('調整・決定'!$C$6:$H$29,BO3,BO2)="",0,IF(IFERROR(INDEX('名簿'!$D$5:$D$49,MATCH(INDEX('調整・決定'!$C$6:$H$29,BO3,BO2),'名簿'!$P$5:$P$49,0)),"")="空けない",1,0))</f>
        <v/>
      </c>
      <c r="BP118">
        <f>IF(INDEX('調整・決定'!$C$6:$H$29,BP3,BP2)="",0,IF(IFERROR(INDEX('名簿'!$D$5:$D$49,MATCH(INDEX('調整・決定'!$C$6:$H$29,BP3,BP2),'名簿'!$P$5:$P$49,0)),"")="空けない",1,0))</f>
        <v/>
      </c>
      <c r="BQ118">
        <f>IF(INDEX('調整・決定'!$C$6:$H$29,BQ3,BQ2)="",0,IF(IFERROR(INDEX('名簿'!$D$5:$D$49,MATCH(INDEX('調整・決定'!$C$6:$H$29,BQ3,BQ2),'名簿'!$P$5:$P$49,0)),"")="空けない",1,0))</f>
        <v/>
      </c>
      <c r="BR118">
        <f>IF(INDEX('調整・決定'!$C$6:$H$29,BR3,BR2)="",0,IF(IFERROR(INDEX('名簿'!$D$5:$D$49,MATCH(INDEX('調整・決定'!$C$6:$H$29,BR3,BR2),'名簿'!$P$5:$P$49,0)),"")="空けない",1,0))</f>
        <v/>
      </c>
      <c r="BS118">
        <f>IF(INDEX('調整・決定'!$C$6:$H$29,BS3,BS2)="",0,IF(IFERROR(INDEX('名簿'!$D$5:$D$49,MATCH(INDEX('調整・決定'!$C$6:$H$29,BS3,BS2),'名簿'!$P$5:$P$49,0)),"")="空けない",1,0))</f>
        <v/>
      </c>
      <c r="BT118">
        <f>IF(INDEX('調整・決定'!$C$6:$H$29,BT3,BT2)="",0,IF(IFERROR(INDEX('名簿'!$D$5:$D$49,MATCH(INDEX('調整・決定'!$C$6:$H$29,BT3,BT2),'名簿'!$P$5:$P$49,0)),"")="空けない",1,0))</f>
        <v/>
      </c>
      <c r="BU118">
        <f>IF(INDEX('調整・決定'!$C$6:$H$29,BU3,BU2)="",0,IF(IFERROR(INDEX('名簿'!$D$5:$D$49,MATCH(INDEX('調整・決定'!$C$6:$H$29,BU3,BU2),'名簿'!$P$5:$P$49,0)),"")="空けない",1,0))</f>
        <v/>
      </c>
      <c r="BV118">
        <f>IF(INDEX('調整・決定'!$C$6:$H$29,BV3,BV2)="",0,IF(IFERROR(INDEX('名簿'!$D$5:$D$49,MATCH(INDEX('調整・決定'!$C$6:$H$29,BV3,BV2),'名簿'!$P$5:$P$49,0)),"")="空けない",1,0))</f>
        <v/>
      </c>
      <c r="BW118">
        <f>IF(INDEX('調整・決定'!$C$6:$H$29,BW3,BW2)="",0,IF(IFERROR(INDEX('名簿'!$D$5:$D$49,MATCH(INDEX('調整・決定'!$C$6:$H$29,BW3,BW2),'名簿'!$P$5:$P$49,0)),"")="空けない",1,0))</f>
        <v/>
      </c>
      <c r="BX118">
        <f>IF(INDEX('調整・決定'!$C$6:$H$29,BX3,BX2)="",0,IF(IFERROR(INDEX('名簿'!$D$5:$D$49,MATCH(INDEX('調整・決定'!$C$6:$H$29,BX3,BX2),'名簿'!$P$5:$P$49,0)),"")="空けない",1,0))</f>
        <v/>
      </c>
      <c r="BY118">
        <f>IF(INDEX('調整・決定'!$C$6:$H$29,BY3,BY2)="",0,IF(IFERROR(INDEX('名簿'!$D$5:$D$49,MATCH(INDEX('調整・決定'!$C$6:$H$29,BY3,BY2),'名簿'!$P$5:$P$49,0)),"")="空けない",1,0))</f>
        <v/>
      </c>
      <c r="BZ118">
        <f>IF(INDEX('調整・決定'!$C$6:$H$29,BZ3,BZ2)="",0,IF(IFERROR(INDEX('名簿'!$D$5:$D$49,MATCH(INDEX('調整・決定'!$C$6:$H$29,BZ3,BZ2),'名簿'!$P$5:$P$49,0)),"")="空けない",1,0))</f>
        <v/>
      </c>
      <c r="CA118">
        <f>IF(INDEX('調整・決定'!$C$6:$H$29,CA3,CA2)="",0,IF(IFERROR(INDEX('名簿'!$D$5:$D$49,MATCH(INDEX('調整・決定'!$C$6:$H$29,CA3,CA2),'名簿'!$P$5:$P$49,0)),"")="空けない",1,0))</f>
        <v/>
      </c>
      <c r="CB118">
        <f>IF(INDEX('調整・決定'!$C$6:$H$29,CB3,CB2)="",0,IF(IFERROR(INDEX('名簿'!$D$5:$D$49,MATCH(INDEX('調整・決定'!$C$6:$H$29,CB3,CB2),'名簿'!$P$5:$P$49,0)),"")="空けない",1,0))</f>
        <v/>
      </c>
      <c r="CC118">
        <f>IF(INDEX('調整・決定'!$C$6:$H$29,CC3,CC2)="",0,IF(IFERROR(INDEX('名簿'!$D$5:$D$49,MATCH(INDEX('調整・決定'!$C$6:$H$29,CC3,CC2),'名簿'!$P$5:$P$49,0)),"")="空けない",1,0))</f>
        <v/>
      </c>
      <c r="CD118">
        <f>IF(INDEX('調整・決定'!$C$6:$H$29,CD3,CD2)="",0,IF(IFERROR(INDEX('名簿'!$D$5:$D$49,MATCH(INDEX('調整・決定'!$C$6:$H$29,CD3,CD2),'名簿'!$P$5:$P$49,0)),"")="空けない",1,0))</f>
        <v/>
      </c>
      <c r="CE118">
        <f>IF(INDEX('調整・決定'!$C$6:$H$29,CE3,CE2)="",0,IF(IFERROR(INDEX('名簿'!$D$5:$D$49,MATCH(INDEX('調整・決定'!$C$6:$H$29,CE3,CE2),'名簿'!$P$5:$P$49,0)),"")="空けない",1,0))</f>
        <v/>
      </c>
      <c r="CF118">
        <f>IF(INDEX('調整・決定'!$C$6:$H$29,CF3,CF2)="",0,IF(IFERROR(INDEX('名簿'!$D$5:$D$49,MATCH(INDEX('調整・決定'!$C$6:$H$29,CF3,CF2),'名簿'!$P$5:$P$49,0)),"")="空けない",1,0))</f>
        <v/>
      </c>
      <c r="CG118">
        <f>IF(INDEX('調整・決定'!$C$6:$H$29,CG3,CG2)="",0,IF(IFERROR(INDEX('名簿'!$D$5:$D$49,MATCH(INDEX('調整・決定'!$C$6:$H$29,CG3,CG2),'名簿'!$P$5:$P$49,0)),"")="空けない",1,0))</f>
        <v/>
      </c>
      <c r="CH118">
        <f>IF(INDEX('調整・決定'!$C$6:$H$29,CH3,CH2)="",0,IF(IFERROR(INDEX('名簿'!$D$5:$D$49,MATCH(INDEX('調整・決定'!$C$6:$H$29,CH3,CH2),'名簿'!$P$5:$P$49,0)),"")="空けない",1,0))</f>
        <v/>
      </c>
      <c r="CI118">
        <f>IF(INDEX('調整・決定'!$C$6:$H$29,CI3,CI2)="",0,IF(IFERROR(INDEX('名簿'!$D$5:$D$49,MATCH(INDEX('調整・決定'!$C$6:$H$29,CI3,CI2),'名簿'!$P$5:$P$49,0)),"")="空けない",1,0))</f>
        <v/>
      </c>
      <c r="CJ118">
        <f>IF(INDEX('調整・決定'!$C$6:$H$29,CJ3,CJ2)="",0,IF(IFERROR(INDEX('名簿'!$D$5:$D$49,MATCH(INDEX('調整・決定'!$C$6:$H$29,CJ3,CJ2),'名簿'!$P$5:$P$49,0)),"")="空けない",1,0))</f>
        <v/>
      </c>
      <c r="CK118">
        <f>IF(INDEX('調整・決定'!$C$6:$H$29,CK3,CK2)="",0,IF(IFERROR(INDEX('名簿'!$D$5:$D$49,MATCH(INDEX('調整・決定'!$C$6:$H$29,CK3,CK2),'名簿'!$P$5:$P$49,0)),"")="空けない",1,0))</f>
        <v/>
      </c>
      <c r="CL118">
        <f>IF(INDEX('調整・決定'!$C$6:$H$29,CL3,CL2)="",0,IF(IFERROR(INDEX('名簿'!$D$5:$D$49,MATCH(INDEX('調整・決定'!$C$6:$H$29,CL3,CL2),'名簿'!$P$5:$P$49,0)),"")="空けない",1,0))</f>
        <v/>
      </c>
      <c r="CM118">
        <f>IF(INDEX('調整・決定'!$C$6:$H$29,CM3,CM2)="",0,IF(IFERROR(INDEX('名簿'!$D$5:$D$49,MATCH(INDEX('調整・決定'!$C$6:$H$29,CM3,CM2),'名簿'!$P$5:$P$49,0)),"")="空けない",1,0))</f>
        <v/>
      </c>
      <c r="CN118">
        <f>IF(INDEX('調整・決定'!$C$6:$H$29,CN3,CN2)="",0,IF(IFERROR(INDEX('名簿'!$D$5:$D$49,MATCH(INDEX('調整・決定'!$C$6:$H$29,CN3,CN2),'名簿'!$P$5:$P$49,0)),"")="空けない",1,0))</f>
        <v/>
      </c>
      <c r="CO118">
        <f>IF(INDEX('調整・決定'!$C$6:$H$29,CO3,CO2)="",0,IF(IFERROR(INDEX('名簿'!$D$5:$D$49,MATCH(INDEX('調整・決定'!$C$6:$H$29,CO3,CO2),'名簿'!$P$5:$P$49,0)),"")="空けない",1,0))</f>
        <v/>
      </c>
      <c r="CP118">
        <f>IF(INDEX('調整・決定'!$C$6:$H$29,CP3,CP2)="",0,IF(IFERROR(INDEX('名簿'!$D$5:$D$49,MATCH(INDEX('調整・決定'!$C$6:$H$29,CP3,CP2),'名簿'!$P$5:$P$49,0)),"")="空けない",1,0))</f>
        <v/>
      </c>
      <c r="CQ118">
        <f>IF(INDEX('調整・決定'!$C$6:$H$29,CQ3,CQ2)="",0,IF(IFERROR(INDEX('名簿'!$D$5:$D$49,MATCH(INDEX('調整・決定'!$C$6:$H$29,CQ3,CQ2),'名簿'!$P$5:$P$49,0)),"")="空けない",1,0))</f>
        <v/>
      </c>
      <c r="CR118">
        <f>IF(INDEX('調整・決定'!$C$6:$H$29,CR3,CR2)="",0,IF(IFERROR(INDEX('名簿'!$D$5:$D$49,MATCH(INDEX('調整・決定'!$C$6:$H$29,CR3,CR2),'名簿'!$P$5:$P$49,0)),"")="空けない",1,0))</f>
        <v/>
      </c>
      <c r="CS118">
        <f>IF(INDEX('調整・決定'!$C$6:$H$29,CS3,CS2)="",0,IF(IFERROR(INDEX('名簿'!$D$5:$D$49,MATCH(INDEX('調整・決定'!$C$6:$H$29,CS3,CS2),'名簿'!$P$5:$P$49,0)),"")="空けない",1,0))</f>
        <v/>
      </c>
      <c r="CT118">
        <f>IF(INDEX('調整・決定'!$C$6:$H$29,CT3,CT2)="",0,IF(IFERROR(INDEX('名簿'!$D$5:$D$49,MATCH(INDEX('調整・決定'!$C$6:$H$29,CT3,CT2),'名簿'!$P$5:$P$49,0)),"")="空けない",1,0))</f>
        <v/>
      </c>
      <c r="CU118">
        <f>IF(INDEX('調整・決定'!$C$6:$H$29,CU3,CU2)="",0,IF(IFERROR(INDEX('名簿'!$D$5:$D$49,MATCH(INDEX('調整・決定'!$C$6:$H$29,CU3,CU2),'名簿'!$P$5:$P$49,0)),"")="空けない",1,0))</f>
        <v/>
      </c>
      <c r="CV118">
        <f>IF(INDEX('調整・決定'!$C$6:$H$29,CV3,CV2)="",0,IF(IFERROR(INDEX('名簿'!$D$5:$D$49,MATCH(INDEX('調整・決定'!$C$6:$H$29,CV3,CV2),'名簿'!$P$5:$P$49,0)),"")="空けない",1,0))</f>
        <v/>
      </c>
      <c r="CW118">
        <f>IF(INDEX('調整・決定'!$C$6:$H$29,CW3,CW2)="",0,IF(IFERROR(INDEX('名簿'!$D$5:$D$49,MATCH(INDEX('調整・決定'!$C$6:$H$29,CW3,CW2),'名簿'!$P$5:$P$49,0)),"")="空けない",1,0))</f>
        <v/>
      </c>
      <c r="CX118">
        <f>IF(INDEX('調整・決定'!$C$6:$H$29,CX3,CX2)="",0,IF(IFERROR(INDEX('名簿'!$D$5:$D$49,MATCH(INDEX('調整・決定'!$C$6:$H$29,CX3,CX2),'名簿'!$P$5:$P$49,0)),"")="空けない",1,0))</f>
        <v/>
      </c>
      <c r="CY118">
        <f>IF(INDEX('調整・決定'!$C$6:$H$29,CY3,CY2)="",0,IF(IFERROR(INDEX('名簿'!$D$5:$D$49,MATCH(INDEX('調整・決定'!$C$6:$H$29,CY3,CY2),'名簿'!$P$5:$P$49,0)),"")="空けない",1,0))</f>
        <v/>
      </c>
      <c r="CZ118">
        <f>IF(INDEX('調整・決定'!$C$6:$H$29,CZ3,CZ2)="",0,IF(IFERROR(INDEX('名簿'!$D$5:$D$49,MATCH(INDEX('調整・決定'!$C$6:$H$29,CZ3,CZ2),'名簿'!$P$5:$P$49,0)),"")="空けない",1,0))</f>
        <v/>
      </c>
      <c r="DA118">
        <f>IF(INDEX('調整・決定'!$C$6:$H$29,DA3,DA2)="",0,IF(IFERROR(INDEX('名簿'!$D$5:$D$49,MATCH(INDEX('調整・決定'!$C$6:$H$29,DA3,DA2),'名簿'!$P$5:$P$49,0)),"")="空けない",1,0))</f>
        <v/>
      </c>
      <c r="DB118">
        <f>IF(INDEX('調整・決定'!$C$6:$H$29,DB3,DB2)="",0,IF(IFERROR(INDEX('名簿'!$D$5:$D$49,MATCH(INDEX('調整・決定'!$C$6:$H$29,DB3,DB2),'名簿'!$P$5:$P$49,0)),"")="空けない",1,0))</f>
        <v/>
      </c>
      <c r="DC118">
        <f>IF(INDEX('調整・決定'!$C$6:$H$29,DC3,DC2)="",0,IF(IFERROR(INDEX('名簿'!$D$5:$D$49,MATCH(INDEX('調整・決定'!$C$6:$H$29,DC3,DC2),'名簿'!$P$5:$P$49,0)),"")="空けない",1,0))</f>
        <v/>
      </c>
      <c r="DD118">
        <f>IF(INDEX('調整・決定'!$C$6:$H$29,DD3,DD2)="",0,IF(IFERROR(INDEX('名簿'!$D$5:$D$49,MATCH(INDEX('調整・決定'!$C$6:$H$29,DD3,DD2),'名簿'!$P$5:$P$49,0)),"")="空けない",1,0))</f>
        <v/>
      </c>
      <c r="DE118">
        <f>IF(INDEX('調整・決定'!$C$6:$H$29,DE3,DE2)="",0,IF(IFERROR(INDEX('名簿'!$D$5:$D$49,MATCH(INDEX('調整・決定'!$C$6:$H$29,DE3,DE2),'名簿'!$P$5:$P$49,0)),"")="空けない",1,0))</f>
        <v/>
      </c>
      <c r="DF118">
        <f>IF(INDEX('調整・決定'!$C$6:$H$29,DF3,DF2)="",0,IF(IFERROR(INDEX('名簿'!$D$5:$D$49,MATCH(INDEX('調整・決定'!$C$6:$H$29,DF3,DF2),'名簿'!$P$5:$P$49,0)),"")="空けない",1,0))</f>
        <v/>
      </c>
      <c r="DG118">
        <f>IF(INDEX('調整・決定'!$C$6:$H$29,DG3,DG2)="",0,IF(IFERROR(INDEX('名簿'!$D$5:$D$49,MATCH(INDEX('調整・決定'!$C$6:$H$29,DG3,DG2),'名簿'!$P$5:$P$49,0)),"")="空けない",1,0))</f>
        <v/>
      </c>
      <c r="DH118">
        <f>IF(INDEX('調整・決定'!$C$6:$H$29,DH3,DH2)="",0,IF(IFERROR(INDEX('名簿'!$D$5:$D$49,MATCH(INDEX('調整・決定'!$C$6:$H$29,DH3,DH2),'名簿'!$P$5:$P$49,0)),"")="空けない",1,0))</f>
        <v/>
      </c>
      <c r="DI118">
        <f>IF(INDEX('調整・決定'!$C$6:$H$29,DI3,DI2)="",0,IF(IFERROR(INDEX('名簿'!$D$5:$D$49,MATCH(INDEX('調整・決定'!$C$6:$H$29,DI3,DI2),'名簿'!$P$5:$P$49,0)),"")="空けない",1,0))</f>
        <v/>
      </c>
      <c r="DJ118">
        <f>IF(INDEX('調整・決定'!$C$6:$H$29,DJ3,DJ2)="",0,IF(IFERROR(INDEX('名簿'!$D$5:$D$49,MATCH(INDEX('調整・決定'!$C$6:$H$29,DJ3,DJ2),'名簿'!$P$5:$P$49,0)),"")="空けない",1,0))</f>
        <v/>
      </c>
      <c r="DK118">
        <f>IF(INDEX('調整・決定'!$C$6:$H$29,DK3,DK2)="",0,IF(IFERROR(INDEX('名簿'!$D$5:$D$49,MATCH(INDEX('調整・決定'!$C$6:$H$29,DK3,DK2),'名簿'!$P$5:$P$49,0)),"")="空けない",1,0))</f>
        <v/>
      </c>
      <c r="DL118">
        <f>IF(INDEX('調整・決定'!$C$6:$H$29,DL3,DL2)="",0,IF(IFERROR(INDEX('名簿'!$D$5:$D$49,MATCH(INDEX('調整・決定'!$C$6:$H$29,DL3,DL2),'名簿'!$P$5:$P$49,0)),"")="空けない",1,0))</f>
        <v/>
      </c>
      <c r="DM118">
        <f>IF(INDEX('調整・決定'!$C$6:$H$29,DM3,DM2)="",0,IF(IFERROR(INDEX('名簿'!$D$5:$D$49,MATCH(INDEX('調整・決定'!$C$6:$H$29,DM3,DM2),'名簿'!$P$5:$P$49,0)),"")="空けない",1,0))</f>
        <v/>
      </c>
      <c r="DN118">
        <f>IF(INDEX('調整・決定'!$C$6:$H$29,DN3,DN2)="",0,IF(IFERROR(INDEX('名簿'!$D$5:$D$49,MATCH(INDEX('調整・決定'!$C$6:$H$29,DN3,DN2),'名簿'!$P$5:$P$49,0)),"")="空けない",1,0))</f>
        <v/>
      </c>
      <c r="DO118">
        <f>IF(INDEX('調整・決定'!$C$6:$H$29,DO3,DO2)="",0,IF(IFERROR(INDEX('名簿'!$D$5:$D$49,MATCH(INDEX('調整・決定'!$C$6:$H$29,DO3,DO2),'名簿'!$P$5:$P$49,0)),"")="空けない",1,0))</f>
        <v/>
      </c>
      <c r="DP118">
        <f>IF(INDEX('調整・決定'!$C$6:$H$29,DP3,DP2)="",0,IF(IFERROR(INDEX('名簿'!$D$5:$D$49,MATCH(INDEX('調整・決定'!$C$6:$H$29,DP3,DP2),'名簿'!$P$5:$P$49,0)),"")="空けない",1,0))</f>
        <v/>
      </c>
      <c r="DQ118">
        <f>IF(INDEX('調整・決定'!$C$6:$H$29,DQ3,DQ2)="",0,IF(IFERROR(INDEX('名簿'!$D$5:$D$49,MATCH(INDEX('調整・決定'!$C$6:$H$29,DQ3,DQ2),'名簿'!$P$5:$P$49,0)),"")="空けない",1,0))</f>
        <v/>
      </c>
      <c r="DR118">
        <f>IF(INDEX('調整・決定'!$C$6:$H$29,DR3,DR2)="",0,IF(IFERROR(INDEX('名簿'!$D$5:$D$49,MATCH(INDEX('調整・決定'!$C$6:$H$29,DR3,DR2),'名簿'!$P$5:$P$49,0)),"")="空けない",1,0))</f>
        <v/>
      </c>
      <c r="DS118">
        <f>IF(INDEX('調整・決定'!$C$6:$H$29,DS3,DS2)="",0,IF(IFERROR(INDEX('名簿'!$D$5:$D$49,MATCH(INDEX('調整・決定'!$C$6:$H$29,DS3,DS2),'名簿'!$P$5:$P$49,0)),"")="空けない",1,0))</f>
        <v/>
      </c>
      <c r="DT118">
        <f>IF(INDEX('調整・決定'!$C$6:$H$29,DT3,DT2)="",0,IF(IFERROR(INDEX('名簿'!$D$5:$D$49,MATCH(INDEX('調整・決定'!$C$6:$H$29,DT3,DT2),'名簿'!$P$5:$P$49,0)),"")="空けない",1,0))</f>
        <v/>
      </c>
      <c r="DU118">
        <f>IF(INDEX('調整・決定'!$C$6:$H$29,DU3,DU2)="",0,IF(IFERROR(INDEX('名簿'!$D$5:$D$49,MATCH(INDEX('調整・決定'!$C$6:$H$29,DU3,DU2),'名簿'!$P$5:$P$49,0)),"")="空けない",1,0))</f>
        <v/>
      </c>
      <c r="DV118">
        <f>IF(INDEX('調整・決定'!$C$6:$H$29,DV3,DV2)="",0,IF(IFERROR(INDEX('名簿'!$D$5:$D$49,MATCH(INDEX('調整・決定'!$C$6:$H$29,DV3,DV2),'名簿'!$P$5:$P$49,0)),"")="空けない",1,0))</f>
        <v/>
      </c>
      <c r="DW118">
        <f>IF(INDEX('調整・決定'!$C$6:$H$29,DW3,DW2)="",0,IF(IFERROR(INDEX('名簿'!$D$5:$D$49,MATCH(INDEX('調整・決定'!$C$6:$H$29,DW3,DW2),'名簿'!$P$5:$P$49,0)),"")="空けない",1,0))</f>
        <v/>
      </c>
      <c r="DX118">
        <f>IF(INDEX('調整・決定'!$C$6:$H$29,DX3,DX2)="",0,IF(IFERROR(INDEX('名簿'!$D$5:$D$49,MATCH(INDEX('調整・決定'!$C$6:$H$29,DX3,DX2),'名簿'!$P$5:$P$49,0)),"")="空けない",1,0))</f>
        <v/>
      </c>
      <c r="DY118">
        <f>IF(INDEX('調整・決定'!$C$6:$H$29,DY3,DY2)="",0,IF(IFERROR(INDEX('名簿'!$D$5:$D$49,MATCH(INDEX('調整・決定'!$C$6:$H$29,DY3,DY2),'名簿'!$P$5:$P$49,0)),"")="空けない",1,0))</f>
        <v/>
      </c>
      <c r="DZ118">
        <f>IF(INDEX('調整・決定'!$C$6:$H$29,DZ3,DZ2)="",0,IF(IFERROR(INDEX('名簿'!$D$5:$D$49,MATCH(INDEX('調整・決定'!$C$6:$H$29,DZ3,DZ2),'名簿'!$P$5:$P$49,0)),"")="空けない",1,0))</f>
        <v/>
      </c>
      <c r="EA118">
        <f>IF(INDEX('調整・決定'!$C$6:$H$29,EA3,EA2)="",0,IF(IFERROR(INDEX('名簿'!$D$5:$D$49,MATCH(INDEX('調整・決定'!$C$6:$H$29,EA3,EA2),'名簿'!$P$5:$P$49,0)),"")="空けない",1,0))</f>
        <v/>
      </c>
      <c r="EB118">
        <f>IF(INDEX('調整・決定'!$C$6:$H$29,EB3,EB2)="",0,IF(IFERROR(INDEX('名簿'!$D$5:$D$49,MATCH(INDEX('調整・決定'!$C$6:$H$29,EB3,EB2),'名簿'!$P$5:$P$49,0)),"")="空けない",1,0))</f>
        <v/>
      </c>
      <c r="EC118">
        <f>IF(INDEX('調整・決定'!$C$6:$H$29,EC3,EC2)="",0,IF(IFERROR(INDEX('名簿'!$D$5:$D$49,MATCH(INDEX('調整・決定'!$C$6:$H$29,EC3,EC2),'名簿'!$P$5:$P$49,0)),"")="空けない",1,0))</f>
        <v/>
      </c>
      <c r="ED118">
        <f>IF(INDEX('調整・決定'!$C$6:$H$29,ED3,ED2)="",0,IF(IFERROR(INDEX('名簿'!$D$5:$D$49,MATCH(INDEX('調整・決定'!$C$6:$H$29,ED3,ED2),'名簿'!$P$5:$P$49,0)),"")="空けない",1,0))</f>
        <v/>
      </c>
      <c r="EE118">
        <f>IF(INDEX('調整・決定'!$C$6:$H$29,EE3,EE2)="",0,IF(IFERROR(INDEX('名簿'!$D$5:$D$49,MATCH(INDEX('調整・決定'!$C$6:$H$29,EE3,EE2),'名簿'!$P$5:$P$49,0)),"")="空けない",1,0))</f>
        <v/>
      </c>
      <c r="EF118">
        <f>IF(INDEX('調整・決定'!$C$6:$H$29,EF3,EF2)="",0,IF(IFERROR(INDEX('名簿'!$D$5:$D$49,MATCH(INDEX('調整・決定'!$C$6:$H$29,EF3,EF2),'名簿'!$P$5:$P$49,0)),"")="空けない",1,0))</f>
        <v/>
      </c>
      <c r="EG118">
        <f>IF(INDEX('調整・決定'!$C$6:$H$29,EG3,EG2)="",0,IF(IFERROR(INDEX('名簿'!$D$5:$D$49,MATCH(INDEX('調整・決定'!$C$6:$H$29,EG3,EG2),'名簿'!$P$5:$P$49,0)),"")="空けない",1,0))</f>
        <v/>
      </c>
      <c r="EH118">
        <f>IF(INDEX('調整・決定'!$C$6:$H$29,EH3,EH2)="",0,IF(IFERROR(INDEX('名簿'!$D$5:$D$49,MATCH(INDEX('調整・決定'!$C$6:$H$29,EH3,EH2),'名簿'!$P$5:$P$49,0)),"")="空けない",1,0))</f>
        <v/>
      </c>
      <c r="EI118">
        <f>IF(INDEX('調整・決定'!$C$6:$H$29,EI3,EI2)="",0,IF(IFERROR(INDEX('名簿'!$D$5:$D$49,MATCH(INDEX('調整・決定'!$C$6:$H$29,EI3,EI2),'名簿'!$P$5:$P$49,0)),"")="空けない",1,0))</f>
        <v/>
      </c>
      <c r="EJ118">
        <f>IF(INDEX('調整・決定'!$C$6:$H$29,EJ3,EJ2)="",0,IF(IFERROR(INDEX('名簿'!$D$5:$D$49,MATCH(INDEX('調整・決定'!$C$6:$H$29,EJ3,EJ2),'名簿'!$P$5:$P$49,0)),"")="空けない",1,0))</f>
        <v/>
      </c>
      <c r="EK118">
        <f>IF(INDEX('調整・決定'!$C$6:$H$29,EK3,EK2)="",0,IF(IFERROR(INDEX('名簿'!$D$5:$D$49,MATCH(INDEX('調整・決定'!$C$6:$H$29,EK3,EK2),'名簿'!$P$5:$P$49,0)),"")="空けない",1,0))</f>
        <v/>
      </c>
      <c r="EL118">
        <f>IF(INDEX('調整・決定'!$C$6:$H$29,EL3,EL2)="",0,IF(IFERROR(INDEX('名簿'!$D$5:$D$49,MATCH(INDEX('調整・決定'!$C$6:$H$29,EL3,EL2),'名簿'!$P$5:$P$49,0)),"")="空けない",1,0))</f>
        <v/>
      </c>
      <c r="EM118">
        <f>IF(INDEX('調整・決定'!$C$6:$H$29,EM3,EM2)="",0,IF(IFERROR(INDEX('名簿'!$D$5:$D$49,MATCH(INDEX('調整・決定'!$C$6:$H$29,EM3,EM2),'名簿'!$P$5:$P$49,0)),"")="空けない",1,0))</f>
        <v/>
      </c>
      <c r="EN118">
        <f>IF(INDEX('調整・決定'!$C$6:$H$29,EN3,EN2)="",0,IF(IFERROR(INDEX('名簿'!$D$5:$D$49,MATCH(INDEX('調整・決定'!$C$6:$H$29,EN3,EN2),'名簿'!$P$5:$P$49,0)),"")="空けない",1,0))</f>
        <v/>
      </c>
      <c r="EO118">
        <f>IF(INDEX('調整・決定'!$C$6:$H$29,EO3,EO2)="",0,IF(IFERROR(INDEX('名簿'!$D$5:$D$49,MATCH(INDEX('調整・決定'!$C$6:$H$29,EO3,EO2),'名簿'!$P$5:$P$49,0)),"")="空けない",1,0))</f>
        <v/>
      </c>
      <c r="EP118">
        <f>IF(INDEX('調整・決定'!$C$6:$H$29,EP3,EP2)="",0,IF(IFERROR(INDEX('名簿'!$D$5:$D$49,MATCH(INDEX('調整・決定'!$C$6:$H$29,EP3,EP2),'名簿'!$P$5:$P$49,0)),"")="空けない",1,0))</f>
        <v/>
      </c>
      <c r="EQ118">
        <f>IF(INDEX('調整・決定'!$C$6:$H$29,EQ3,EQ2)="",0,IF(IFERROR(INDEX('名簿'!$D$5:$D$49,MATCH(INDEX('調整・決定'!$C$6:$H$29,EQ3,EQ2),'名簿'!$P$5:$P$49,0)),"")="空けない",1,0))</f>
        <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c r="A1" s="97" t="inlineStr">
        <is>
          <t>自動案の結果（マクロが書きます。さわらないでください）</t>
        </is>
      </c>
      <c r="B1" t="n">
        <v>0</v>
      </c>
      <c r="E1" t="inlineStr">
        <is>
          <t>B1：1＝作った　C1：作ったときの入力の合計　D1：作った時刻</t>
        </is>
      </c>
    </row>
    <row r="2">
      <c r="A2" t="inlineStr">
        <is>
          <t>k</t>
        </is>
      </c>
      <c r="B2" t="inlineStr">
        <is>
          <t>児童</t>
        </is>
      </c>
      <c r="C2" t="inlineStr">
        <is>
          <t>枠</t>
        </is>
      </c>
      <c r="D2" t="inlineStr">
        <is>
          <t>空けたい枠</t>
        </is>
      </c>
      <c r="G2" t="inlineStr">
        <is>
          <t>空けた枠</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2"/>
  <sheetViews>
    <sheetView showGridLines="0" workbookViewId="0">
      <selection activeCell="A1" sqref="A1"/>
    </sheetView>
  </sheetViews>
  <sheetFormatPr baseColWidth="8" defaultRowHeight="15"/>
  <sheetData>
    <row r="1">
      <c r="A1" s="97" t="inlineStr">
        <is>
          <t>自動案の結果（マクロが書きます。さわらないでください）</t>
        </is>
      </c>
    </row>
    <row r="2">
      <c r="A2" t="inlineStr">
        <is>
          <t>k</t>
        </is>
      </c>
      <c r="B2" t="inlineStr">
        <is>
          <t>児童</t>
        </is>
      </c>
      <c r="C2" t="inlineStr">
        <is>
          <t>枠</t>
        </is>
      </c>
      <c r="D2" t="inlineStr">
        <is>
          <t>空けたい枠</t>
        </is>
      </c>
      <c r="G2" t="inlineStr">
        <is>
          <t>空けた枠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2026-10-28T16:18:44Z</dcterms:created>
  <dcterms:modified xmlns:dcterms="http://purl.org/dc/terms/" xmlns:xsi="http://www.w3.org/2001/XMLSchema-instance" xsi:type="dcterms:W3CDTF">2026-10-28T16:18:47Z</dcterms:modified>
</cp:coreProperties>
</file>